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externalLinks/externalLink32.xml" ContentType="application/vnd.openxmlformats-officedocument.spreadsheetml.externalLink+xml"/>
  <Override PartName="/xl/externalLinks/externalLink33.xml" ContentType="application/vnd.openxmlformats-officedocument.spreadsheetml.externalLink+xml"/>
  <Override PartName="/xl/externalLinks/externalLink34.xml" ContentType="application/vnd.openxmlformats-officedocument.spreadsheetml.externalLink+xml"/>
  <Override PartName="/xl/externalLinks/externalLink35.xml" ContentType="application/vnd.openxmlformats-officedocument.spreadsheetml.externalLink+xml"/>
  <Override PartName="/xl/externalLinks/externalLink36.xml" ContentType="application/vnd.openxmlformats-officedocument.spreadsheetml.externalLink+xml"/>
  <Override PartName="/xl/externalLinks/externalLink37.xml" ContentType="application/vnd.openxmlformats-officedocument.spreadsheetml.externalLink+xml"/>
  <Override PartName="/xl/externalLinks/externalLink38.xml" ContentType="application/vnd.openxmlformats-officedocument.spreadsheetml.externalLink+xml"/>
  <Override PartName="/xl/externalLinks/externalLink39.xml" ContentType="application/vnd.openxmlformats-officedocument.spreadsheetml.externalLink+xml"/>
  <Override PartName="/xl/externalLinks/externalLink40.xml" ContentType="application/vnd.openxmlformats-officedocument.spreadsheetml.externalLink+xml"/>
  <Override PartName="/xl/externalLinks/externalLink41.xml" ContentType="application/vnd.openxmlformats-officedocument.spreadsheetml.externalLink+xml"/>
  <Override PartName="/xl/externalLinks/externalLink42.xml" ContentType="application/vnd.openxmlformats-officedocument.spreadsheetml.externalLink+xml"/>
  <Override PartName="/xl/externalLinks/externalLink43.xml" ContentType="application/vnd.openxmlformats-officedocument.spreadsheetml.externalLink+xml"/>
  <Override PartName="/xl/externalLinks/externalLink44.xml" ContentType="application/vnd.openxmlformats-officedocument.spreadsheetml.externalLink+xml"/>
  <Override PartName="/xl/externalLinks/externalLink45.xml" ContentType="application/vnd.openxmlformats-officedocument.spreadsheetml.externalLink+xml"/>
  <Override PartName="/xl/externalLinks/externalLink46.xml" ContentType="application/vnd.openxmlformats-officedocument.spreadsheetml.externalLink+xml"/>
  <Override PartName="/xl/externalLinks/externalLink47.xml" ContentType="application/vnd.openxmlformats-officedocument.spreadsheetml.externalLink+xml"/>
  <Override PartName="/xl/externalLinks/externalLink48.xml" ContentType="application/vnd.openxmlformats-officedocument.spreadsheetml.externalLink+xml"/>
  <Override PartName="/xl/externalLinks/externalLink49.xml" ContentType="application/vnd.openxmlformats-officedocument.spreadsheetml.externalLink+xml"/>
  <Override PartName="/xl/externalLinks/externalLink50.xml" ContentType="application/vnd.openxmlformats-officedocument.spreadsheetml.externalLink+xml"/>
  <Override PartName="/xl/externalLinks/externalLink51.xml" ContentType="application/vnd.openxmlformats-officedocument.spreadsheetml.externalLink+xml"/>
  <Override PartName="/xl/externalLinks/externalLink52.xml" ContentType="application/vnd.openxmlformats-officedocument.spreadsheetml.externalLink+xml"/>
  <Override PartName="/xl/externalLinks/externalLink53.xml" ContentType="application/vnd.openxmlformats-officedocument.spreadsheetml.externalLink+xml"/>
  <Override PartName="/xl/externalLinks/externalLink54.xml" ContentType="application/vnd.openxmlformats-officedocument.spreadsheetml.externalLink+xml"/>
  <Override PartName="/xl/externalLinks/externalLink55.xml" ContentType="application/vnd.openxmlformats-officedocument.spreadsheetml.externalLink+xml"/>
  <Override PartName="/xl/externalLinks/externalLink56.xml" ContentType="application/vnd.openxmlformats-officedocument.spreadsheetml.externalLink+xml"/>
  <Override PartName="/xl/externalLinks/externalLink57.xml" ContentType="application/vnd.openxmlformats-officedocument.spreadsheetml.externalLink+xml"/>
  <Override PartName="/xl/externalLinks/externalLink58.xml" ContentType="application/vnd.openxmlformats-officedocument.spreadsheetml.externalLink+xml"/>
  <Override PartName="/xl/externalLinks/externalLink59.xml" ContentType="application/vnd.openxmlformats-officedocument.spreadsheetml.externalLink+xml"/>
  <Override PartName="/xl/externalLinks/externalLink60.xml" ContentType="application/vnd.openxmlformats-officedocument.spreadsheetml.externalLink+xml"/>
  <Override PartName="/xl/externalLinks/externalLink61.xml" ContentType="application/vnd.openxmlformats-officedocument.spreadsheetml.externalLink+xml"/>
  <Override PartName="/xl/externalLinks/externalLink62.xml" ContentType="application/vnd.openxmlformats-officedocument.spreadsheetml.externalLink+xml"/>
  <Override PartName="/xl/externalLinks/externalLink63.xml" ContentType="application/vnd.openxmlformats-officedocument.spreadsheetml.externalLink+xml"/>
  <Override PartName="/xl/externalLinks/externalLink64.xml" ContentType="application/vnd.openxmlformats-officedocument.spreadsheetml.externalLink+xml"/>
  <Override PartName="/xl/externalLinks/externalLink65.xml" ContentType="application/vnd.openxmlformats-officedocument.spreadsheetml.externalLink+xml"/>
  <Override PartName="/xl/externalLinks/externalLink66.xml" ContentType="application/vnd.openxmlformats-officedocument.spreadsheetml.externalLink+xml"/>
  <Override PartName="/xl/externalLinks/externalLink67.xml" ContentType="application/vnd.openxmlformats-officedocument.spreadsheetml.externalLink+xml"/>
  <Override PartName="/xl/externalLinks/externalLink68.xml" ContentType="application/vnd.openxmlformats-officedocument.spreadsheetml.externalLink+xml"/>
  <Override PartName="/xl/externalLinks/externalLink69.xml" ContentType="application/vnd.openxmlformats-officedocument.spreadsheetml.externalLink+xml"/>
  <Override PartName="/xl/externalLinks/externalLink70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held\Desktop\"/>
    </mc:Choice>
  </mc:AlternateContent>
  <xr:revisionPtr revIDLastSave="0" documentId="8_{C3A6CE73-AA7C-4FA2-8132-11C8D53CE3FC}" xr6:coauthVersionLast="47" xr6:coauthVersionMax="47" xr10:uidLastSave="{00000000-0000-0000-0000-000000000000}"/>
  <bookViews>
    <workbookView xWindow="-19298" yWindow="3022" windowWidth="19396" windowHeight="10395" xr2:uid="{504CF991-31F2-48CA-9CAE-696A424624F9}"/>
  </bookViews>
  <sheets>
    <sheet name="Summary" sheetId="1" r:id="rId1"/>
    <sheet name="Model-BS" sheetId="2" r:id="rId2"/>
    <sheet name="点评模板" sheetId="28" r:id="rId3"/>
    <sheet name="评级报告模板" sheetId="26" r:id="rId4"/>
  </sheets>
  <externalReferences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  <externalReference r:id="rId66"/>
    <externalReference r:id="rId67"/>
    <externalReference r:id="rId68"/>
    <externalReference r:id="rId69"/>
    <externalReference r:id="rId70"/>
    <externalReference r:id="rId71"/>
    <externalReference r:id="rId72"/>
    <externalReference r:id="rId73"/>
    <externalReference r:id="rId74"/>
  </externalReferences>
  <definedNames>
    <definedName name="\I">#REF!</definedName>
    <definedName name="\P">#REF!</definedName>
    <definedName name="________sum2">#REF!</definedName>
    <definedName name="_______sum2">#REF!</definedName>
    <definedName name="______sum2">#REF!</definedName>
    <definedName name="_____sum2">#REF!</definedName>
    <definedName name="____sum2">#REF!</definedName>
    <definedName name="___sum2">#REF!</definedName>
    <definedName name="__123Graph_AGRAPH1" hidden="1">[1]A!#REF!</definedName>
    <definedName name="__123Graph_BGRAPH1" hidden="1">[1]A!#REF!</definedName>
    <definedName name="__123Graph_CGRAPH1" hidden="1">[1]A!#REF!</definedName>
    <definedName name="__123Graph_DGRAPH1" hidden="1">[1]A!#REF!</definedName>
    <definedName name="__123Graph_E" hidden="1">[2]Pub!#REF!</definedName>
    <definedName name="__123Graph_F" hidden="1">[3]deve!#REF!</definedName>
    <definedName name="__123Graph_XGRAPH1" hidden="1">[1]A!#REF!</definedName>
    <definedName name="__a1">{"Client Name or Project Name"}</definedName>
    <definedName name="__a2">{"Client Name or Project Name"}</definedName>
    <definedName name="__FDS_HYPERLINK_TOGGLE_STATE__" hidden="1">"ON"</definedName>
    <definedName name="__FDS_UNIQUE_RANGE_ID_GENERATOR_COUNTER" hidden="1">1</definedName>
    <definedName name="__sum2">#REF!</definedName>
    <definedName name="_1__FDSAUDITLINK__" hidden="1">{"fdsup://IBCentral/FAT Viewer?action=UPDATE&amp;creator=factset&amp;DOC_NAME=fat:reuters_annual_pshs_src_window.fat&amp;display_string=Audit&amp;DYN_ARGS=TRUE&amp;VAR:ID1=649300&amp;VAR:RCODE=FDSEPS&amp;VAR:SDATE=20090399&amp;VAR:FREQ=Y&amp;VAR:RELITEM=RP&amp;VAR:CURRENCY=&amp;VAR:CURRSOURCE=EXSHARE","&amp;VAR:NATFREQ=ANNUAL&amp;VAR:RFIELD=FINALIZED&amp;VAR:DB_TYPE=&amp;VAR:UNITS=M&amp;window=popup&amp;width=450&amp;height=300&amp;START_MAXIMIZED=FALSE"}</definedName>
    <definedName name="_10__12121" hidden="1">{"fdsup://IBCentral/FAT Viewer?action=UPDATE&amp;creator=factset&amp;DOC_NAME=fat:reuters_annual_pshs_src_window.fat&amp;display_string=Audit&amp;DYN_ARGS=TRUE&amp;VAR:ID1=B0DJ8Q&amp;VAR:RCODE=FDSEPS&amp;VAR:SDATE=20090399&amp;VAR:FREQ=Y&amp;VAR:RELITEM=RP&amp;VAR:CURRENCY=&amp;VAR:CURRSOURCE=EXSHARE","&amp;VAR:NATFREQ=ANNUAL&amp;VAR:RFIELD=FINALIZED&amp;VAR:DB_TYPE=&amp;VAR:UNITS=M&amp;window=popup&amp;width=450&amp;height=300&amp;START_MAXIMIZED=FALSE"}</definedName>
    <definedName name="_10__FDSAUDITLINK__" hidden="1">{"fdsup://IBCentral/FAT Viewer?action=UPDATE&amp;creator=factset&amp;DOC_NAME=fat:reuters_annual_pshs_src_window.fat&amp;display_string=Audit&amp;DYN_ARGS=TRUE&amp;VAR:ID1=B0DJ8Q&amp;VAR:RCODE=FDSEPS&amp;VAR:SDATE=20090399&amp;VAR:FREQ=Y&amp;VAR:RELITEM=RP&amp;VAR:CURRENCY=&amp;VAR:CURRSOURCE=EXSHARE","&amp;VAR:NATFREQ=ANNUAL&amp;VAR:RFIELD=FINALIZED&amp;VAR:DB_TYPE=&amp;VAR:UNITS=M&amp;window=popup&amp;width=450&amp;height=300&amp;START_MAXIMIZED=FALSE"}</definedName>
    <definedName name="_11__FDSAUDITLINK__" hidden="1">{"fdsup://IBCentral/FAT Viewer?action=UPDATE&amp;creator=factset&amp;DOC_NAME=fat:reuters_annual_pshs_src_window.fat&amp;display_string=Audit&amp;DYN_ARGS=TRUE&amp;VAR:ID1=B0MSW5&amp;VAR:RCODE=FDSEPS&amp;VAR:SDATE=20081299&amp;VAR:FREQ=Y&amp;VAR:RELITEM=RP&amp;VAR:CURRENCY=&amp;VAR:CURRSOURCE=EXSHARE","&amp;VAR:NATFREQ=ANNUAL&amp;VAR:RFIELD=FINALIZED&amp;VAR:DB_TYPE=&amp;VAR:UNITS=M&amp;window=popup&amp;width=450&amp;height=300&amp;START_MAXIMIZED=FALSE"}</definedName>
    <definedName name="_11_121212" hidden="1">{"fdsup://IBCentral/FAT Viewer?action=UPDATE&amp;creator=factset&amp;DOC_NAME=fat:reuters_annual_pshs_src_window.fat&amp;display_string=Audit&amp;DYN_ARGS=TRUE&amp;VAR:ID1=B0MSW5&amp;VAR:RCODE=FDSEPS&amp;VAR:SDATE=20081299&amp;VAR:FREQ=Y&amp;VAR:RELITEM=RP&amp;VAR:CURRENCY=&amp;VAR:CURRSOURCE=EXSHARE","&amp;VAR:NATFREQ=ANNUAL&amp;VAR:RFIELD=FINALIZED&amp;VAR:DB_TYPE=&amp;VAR:UNITS=M&amp;window=popup&amp;width=450&amp;height=300&amp;START_MAXIMIZED=FALSE"}</definedName>
    <definedName name="_12__FDSAUDITLINK__" hidden="1">{"fdsup://IBCentral/FAT Viewer?action=UPDATE&amp;creator=factset&amp;DOC_NAME=fat:reuters_annual_pshs_src_window.fat&amp;display_string=Audit&amp;DYN_ARGS=TRUE&amp;VAR:ID1=642276&amp;VAR:RCODE=FDSEPS&amp;VAR:SDATE=20081299&amp;VAR:FREQ=Y&amp;VAR:RELITEM=RP&amp;VAR:CURRENCY=&amp;VAR:CURRSOURCE=EXSHARE","&amp;VAR:NATFREQ=ANNUAL&amp;VAR:RFIELD=FINALIZED&amp;VAR:DB_TYPE=&amp;VAR:UNITS=M&amp;window=popup&amp;width=450&amp;height=300&amp;START_MAXIMIZED=FALSE"}</definedName>
    <definedName name="_13__FDSAUDITLINK__" hidden="1">{"fdsup://IBCentral/FAT Viewer?action=UPDATE&amp;creator=factset&amp;DOC_NAME=fat:reuters_annual_pshs_src_window.fat&amp;display_string=Audit&amp;DYN_ARGS=TRUE&amp;VAR:ID1=674395&amp;VAR:RCODE=FDSEPS&amp;VAR:SDATE=20081299&amp;VAR:FREQ=Y&amp;VAR:RELITEM=RP&amp;VAR:CURRENCY=&amp;VAR:CURRSOURCE=EXSHARE","&amp;VAR:NATFREQ=ANNUAL&amp;VAR:RFIELD=FINALIZED&amp;VAR:DB_TYPE=&amp;VAR:UNITS=M&amp;window=popup&amp;width=450&amp;height=300&amp;START_MAXIMIZED=FALSE"}</definedName>
    <definedName name="_14__FDSAUDITLINK__" hidden="1">{"fdsup://IBCentral/FAT Viewer?action=UPDATE&amp;creator=factset&amp;DOC_NAME=fat:reuters_annual_source_window.fat&amp;display_string=Audit&amp;DYN_ARGS=TRUE&amp;VAR:ID1=B0DJ8Q&amp;VAR:RCODE=SALES&amp;VAR:SDATE=20080399&amp;VAR:FREQ=Y&amp;VAR:RELITEM=RP&amp;VAR:CURRENCY=USD&amp;VAR:CURRSOURCE=EXSHARE","&amp;VAR:NATFREQ=ANNUAL&amp;VAR:RFIELD=FINALIZED&amp;VAR:DB_TYPE=&amp;VAR:UNITS=M&amp;window=popup&amp;width=450&amp;height=300&amp;START_MAXIMIZED=FALSE"}</definedName>
    <definedName name="_15__FDSAUDITLINK__" hidden="1">{"fdsup://IBCentral/FAT Viewer?action=UPDATE&amp;creator=factset&amp;DOC_NAME=fat:reuters_annual_source_window.fat&amp;display_string=Audit&amp;DYN_ARGS=TRUE&amp;VAR:ID1=89652210&amp;VAR:RCODE=NIBX&amp;VAR:SDATE=20081299&amp;VAR:FREQ=Y&amp;VAR:RELITEM=USD&amp;VAR:CURRENCY=&amp;VAR:CURRSOURCE=EXSHARE&amp;","VAR:NATFREQ=ANNUAL&amp;VAR:RFIELD=FINALIZED&amp;VAR:DB_TYPE=&amp;VAR:UNITS=M&amp;window=popup&amp;width=450&amp;height=300&amp;START_MAXIMIZED=FALSE"}</definedName>
    <definedName name="_16__FDSAUDITLINK__" hidden="1">{"fdsup://IBCentral/FAT Viewer?action=UPDATE&amp;creator=factset&amp;DOC_NAME=fat:reuters_annual_source_window.fat&amp;display_string=Audit&amp;DYN_ARGS=TRUE&amp;VAR:ID1=648462&amp;VAR:RCODE=NIBX&amp;VAR:SDATE=20080399&amp;VAR:FREQ=Y&amp;VAR:RELITEM=USD&amp;VAR:CURRENCY=&amp;VAR:CURRSOURCE=EXSHARE&amp;VA","R:NATFREQ=ANNUAL&amp;VAR:RFIELD=FINALIZED&amp;VAR:DB_TYPE=&amp;VAR:UNITS=M&amp;window=popup&amp;width=450&amp;height=300&amp;START_MAXIMIZED=FALSE"}</definedName>
    <definedName name="_17__FDSAUDITLINK__" hidden="1">{"fdsup://IBCentral/FAT Viewer?action=UPDATE&amp;creator=factset&amp;DOC_NAME=fat:reuters_annual_source_window.fat&amp;display_string=Audit&amp;DYN_ARGS=TRUE&amp;VAR:ID1=572797&amp;VAR:RCODE=NIBX&amp;VAR:SDATE=20080999&amp;VAR:FREQ=Y&amp;VAR:RELITEM=USD&amp;VAR:CURRENCY=&amp;VAR:CURRSOURCE=EXSHARE&amp;VA","R:NATFREQ=ANNUAL&amp;VAR:RFIELD=FINALIZED&amp;VAR:DB_TYPE=&amp;VAR:UNITS=M&amp;window=popup&amp;width=450&amp;height=300&amp;START_MAXIMIZED=FALSE"}</definedName>
    <definedName name="_18__FDSAUDITLINK__" hidden="1">{"fdsup://IBCentral/FAT Viewer?action=UPDATE&amp;creator=factset&amp;DOC_NAME=fat:reuters_annual_source_window.fat&amp;display_string=Audit&amp;DYN_ARGS=TRUE&amp;VAR:ID1=36960410&amp;VAR:RCODE=NIBX&amp;VAR:SDATE=20081299&amp;VAR:FREQ=Y&amp;VAR:RELITEM=USD&amp;VAR:CURRENCY=&amp;VAR:CURRSOURCE=EXSHARE&amp;","VAR:NATFREQ=ANNUAL&amp;VAR:RFIELD=FINALIZED&amp;VAR:DB_TYPE=&amp;VAR:UNITS=M&amp;window=popup&amp;width=450&amp;height=300&amp;START_MAXIMIZED=FALSE"}</definedName>
    <definedName name="_19__FDSAUDITLINK__" hidden="1">{"fdsup://IBCentral/FAT Viewer?action=UPDATE&amp;creator=factset&amp;DOC_NAME=fat:reuters_annual_source_window.fat&amp;display_string=Audit&amp;DYN_ARGS=TRUE&amp;VAR:ID1=210972&amp;VAR:RCODE=NIBX&amp;VAR:SDATE=20090199&amp;VAR:FREQ=Y&amp;VAR:RELITEM=USD&amp;VAR:CURRENCY=&amp;VAR:CURRSOURCE=EXSHARE&amp;VA","R:NATFREQ=ANNUAL&amp;VAR:RFIELD=FINALIZED&amp;VAR:DB_TYPE=&amp;VAR:UNITS=M&amp;window=popup&amp;width=450&amp;height=300&amp;START_MAXIMIZED=FALSE"}</definedName>
    <definedName name="_2__FDSAUDITLINK__" hidden="1">{"fdsup://IBCentral/FAT Viewer?action=UPDATE&amp;creator=factset&amp;DOC_NAME=fat:reuters_annual_pshs_src_window.fat&amp;display_string=Audit&amp;DYN_ARGS=TRUE&amp;VAR:ID1=39365710&amp;VAR:RCODE=FDSEPS&amp;VAR:SDATE=20080899&amp;VAR:FREQ=Y&amp;VAR:RELITEM=RP&amp;VAR:CURRENCY=&amp;VAR:CURRSOURCE=EXSHA","RE&amp;VAR:NATFREQ=ANNUAL&amp;VAR:RFIELD=FINALIZED&amp;VAR:DB_TYPE=&amp;VAR:UNITS=M&amp;window=popup&amp;width=450&amp;height=300&amp;START_MAXIMIZED=FALSE"}</definedName>
    <definedName name="_20__FDSAUDITLINK__" hidden="1">{"fdsup://IBCentral/FAT Viewer?action=UPDATE&amp;creator=factset&amp;DOC_NAME=fat:reuters_annual_source_window.fat&amp;display_string=Audit&amp;DYN_ARGS=TRUE&amp;VAR:ID1=B0DJ8Q&amp;VAR:RCODE=NIBX&amp;VAR:SDATE=20080399&amp;VAR:FREQ=Y&amp;VAR:RELITEM=USD&amp;VAR:CURRENCY=&amp;VAR:CURRSOURCE=EXSHARE&amp;VA","R:NATFREQ=ANNUAL&amp;VAR:RFIELD=FINALIZED&amp;VAR:DB_TYPE=&amp;VAR:UNITS=M&amp;window=popup&amp;width=450&amp;height=300&amp;START_MAXIMIZED=FALSE"}</definedName>
    <definedName name="_21__FDSAUDITLINK__" hidden="1">{"fdsup://IBCentral/FAT Viewer?action=UPDATE&amp;creator=factset&amp;DOC_NAME=fat:reuters_annual_source_window.fat&amp;display_string=Audit&amp;DYN_ARGS=TRUE&amp;VAR:ID1=649300&amp;VAR:RCODE=SALES&amp;VAR:SDATE=20080399&amp;VAR:FREQ=Y&amp;VAR:RELITEM=USD&amp;VAR:CURRENCY=&amp;VAR:CURRSOURCE=EXSHARE&amp;V","AR:NATFREQ=ANNUAL&amp;VAR:RFIELD=FINALIZED&amp;VAR:DB_TYPE=&amp;VAR:UNITS=M&amp;window=popup&amp;width=450&amp;height=300&amp;START_MAXIMIZED=FALSE"}</definedName>
    <definedName name="_22__FDSAUDITLINK__" hidden="1">{"fdsup://IBCentral/FAT Viewer?action=UPDATE&amp;creator=factset&amp;DOC_NAME=fat:reuters_annual_source_window.fat&amp;display_string=Audit&amp;DYN_ARGS=TRUE&amp;VAR:ID1=39365710&amp;VAR:RCODE=SALES&amp;VAR:SDATE=20080899&amp;VAR:FREQ=Y&amp;VAR:RELITEM=USD&amp;VAR:CURRENCY=&amp;VAR:CURRSOURCE=EXSHARE","&amp;VAR:NATFREQ=ANNUAL&amp;VAR:RFIELD=FINALIZED&amp;VAR:DB_TYPE=&amp;VAR:UNITS=M&amp;window=popup&amp;width=450&amp;height=300&amp;START_MAXIMIZED=FALSE"}</definedName>
    <definedName name="_23__FDSAUDITLINK__" hidden="1">{"fdsup://IBCentral/FAT Viewer?action=UPDATE&amp;creator=factset&amp;DOC_NAME=fat:reuters_annual_source_window.fat&amp;display_string=Audit&amp;DYN_ARGS=TRUE&amp;VAR:ID1=35702310&amp;VAR:RCODE=SALES&amp;VAR:SDATE=20081299&amp;VAR:FREQ=Y&amp;VAR:RELITEM=USD&amp;VAR:CURRENCY=&amp;VAR:CURRSOURCE=EXSHARE","&amp;VAR:NATFREQ=ANNUAL&amp;VAR:RFIELD=FINALIZED&amp;VAR:DB_TYPE=&amp;VAR:UNITS=M&amp;window=popup&amp;width=450&amp;height=300&amp;START_MAXIMIZED=FALSE"}</definedName>
    <definedName name="_24__FDSAUDITLINK__" hidden="1">{"fdsup://IBCentral/FAT Viewer?action=UPDATE&amp;creator=factset&amp;DOC_NAME=fat:reuters_annual_source_window.fat&amp;display_string=Audit&amp;DYN_ARGS=TRUE&amp;VAR:ID1=02916P10&amp;VAR:RCODE=SALES&amp;VAR:SDATE=20081299&amp;VAR:FREQ=Y&amp;VAR:RELITEM=USD&amp;VAR:CURRENCY=&amp;VAR:CURRSOURCE=EXSHARE","&amp;VAR:NATFREQ=ANNUAL&amp;VAR:RFIELD=FINALIZED&amp;VAR:DB_TYPE=&amp;VAR:UNITS=M&amp;window=popup&amp;width=450&amp;height=300&amp;START_MAXIMIZED=FALSE"}</definedName>
    <definedName name="_25__FDSAUDITLINK__" hidden="1">{"fdsup://IBCentral/FAT Viewer?action=UPDATE&amp;creator=factset&amp;DOC_NAME=fat:reuters_annual_source_window.fat&amp;display_string=Audit&amp;DYN_ARGS=TRUE&amp;VAR:ID1=613970&amp;VAR:RCODE=SALES&amp;VAR:SDATE=20080399&amp;VAR:FREQ=Y&amp;VAR:RELITEM=USD&amp;VAR:CURRENCY=&amp;VAR:CURRSOURCE=EXSHARE&amp;V","AR:NATFREQ=ANNUAL&amp;VAR:RFIELD=FINALIZED&amp;VAR:DB_TYPE=&amp;VAR:UNITS=M&amp;window=popup&amp;width=450&amp;height=300&amp;START_MAXIMIZED=FALSE"}</definedName>
    <definedName name="_26__FDSAUDITLINK__" hidden="1">{"fdsup://IBCentral/FAT Viewer?action=UPDATE&amp;creator=factset&amp;DOC_NAME=fat:reuters_annual_source_window.fat&amp;display_string=Audit&amp;DYN_ARGS=TRUE&amp;VAR:ID1=89652210&amp;VAR:RCODE=SALES&amp;VAR:SDATE=20081299&amp;VAR:FREQ=Y&amp;VAR:RELITEM=USD&amp;VAR:CURRENCY=&amp;VAR:CURRSOURCE=EXSHARE","&amp;VAR:NATFREQ=ANNUAL&amp;VAR:RFIELD=FINALIZED&amp;VAR:DB_TYPE=&amp;VAR:UNITS=M&amp;window=popup&amp;width=450&amp;height=300&amp;START_MAXIMIZED=FALSE"}</definedName>
    <definedName name="_27__FDSAUDITLINK__" hidden="1">{"fdsup://IBCentral/FAT Viewer?action=UPDATE&amp;creator=factset&amp;DOC_NAME=fat:reuters_annual_source_window.fat&amp;display_string=Audit&amp;DYN_ARGS=TRUE&amp;VAR:ID1=648462&amp;VAR:RCODE=SALES&amp;VAR:SDATE=20080399&amp;VAR:FREQ=Y&amp;VAR:RELITEM=USD&amp;VAR:CURRENCY=&amp;VAR:CURRSOURCE=EXSHARE&amp;V","AR:NATFREQ=ANNUAL&amp;VAR:RFIELD=FINALIZED&amp;VAR:DB_TYPE=&amp;VAR:UNITS=M&amp;window=popup&amp;width=450&amp;height=300&amp;START_MAXIMIZED=FALSE"}</definedName>
    <definedName name="_28__FDSAUDITLINK__" hidden="1">{"fdsup://IBCentral/FAT Viewer?action=UPDATE&amp;creator=factset&amp;DOC_NAME=fat:reuters_annual_source_window.fat&amp;display_string=Audit&amp;DYN_ARGS=TRUE&amp;VAR:ID1=572797&amp;VAR:RCODE=SALES&amp;VAR:SDATE=20080999&amp;VAR:FREQ=Y&amp;VAR:RELITEM=USD&amp;VAR:CURRENCY=&amp;VAR:CURRSOURCE=EXSHARE&amp;V","AR:NATFREQ=ANNUAL&amp;VAR:RFIELD=FINALIZED&amp;VAR:DB_TYPE=&amp;VAR:UNITS=M&amp;window=popup&amp;width=450&amp;height=300&amp;START_MAXIMIZED=FALSE"}</definedName>
    <definedName name="_29__FDSAUDITLINK__" hidden="1">{"fdsup://IBCentral/FAT Viewer?action=UPDATE&amp;creator=factset&amp;DOC_NAME=fat:reuters_annual_source_window.fat&amp;display_string=Audit&amp;DYN_ARGS=TRUE&amp;VAR:ID1=36960410&amp;VAR:RCODE=SALES&amp;VAR:SDATE=20081299&amp;VAR:FREQ=Y&amp;VAR:RELITEM=USD&amp;VAR:CURRENCY=&amp;VAR:CURRSOURCE=EXSHARE","&amp;VAR:NATFREQ=ANNUAL&amp;VAR:RFIELD=FINALIZED&amp;VAR:DB_TYPE=&amp;VAR:UNITS=M&amp;window=popup&amp;width=450&amp;height=300&amp;START_MAXIMIZED=FALSE"}</definedName>
    <definedName name="_3__FDSAUDITLINK__" hidden="1">{"fdsup://IBCentral/FAT Viewer?action=UPDATE&amp;creator=factset&amp;DOC_NAME=fat:reuters_annual_pshs_src_window.fat&amp;display_string=Audit&amp;DYN_ARGS=TRUE&amp;VAR:ID1=35702310&amp;VAR:RCODE=FDSEPS&amp;VAR:SDATE=20081299&amp;VAR:FREQ=Y&amp;VAR:RELITEM=RP&amp;VAR:CURRENCY=&amp;VAR:CURRSOURCE=EXSHA","RE&amp;VAR:NATFREQ=ANNUAL&amp;VAR:RFIELD=FINALIZED&amp;VAR:DB_TYPE=&amp;VAR:UNITS=M&amp;window=popup&amp;width=450&amp;height=300&amp;START_MAXIMIZED=FALSE"}</definedName>
    <definedName name="_30__FDSAUDITLINK__" hidden="1">{"fdsup://IBCentral/FAT Viewer?action=UPDATE&amp;creator=factset&amp;DOC_NAME=fat:reuters_annual_source_window.fat&amp;display_string=Audit&amp;DYN_ARGS=TRUE&amp;VAR:ID1=210972&amp;VAR:RCODE=SALES&amp;VAR:SDATE=20090199&amp;VAR:FREQ=Y&amp;VAR:RELITEM=USD&amp;VAR:CURRENCY=&amp;VAR:CURRSOURCE=EXSHARE&amp;V","AR:NATFREQ=ANNUAL&amp;VAR:RFIELD=FINALIZED&amp;VAR:DB_TYPE=&amp;VAR:UNITS=M&amp;window=popup&amp;width=450&amp;height=300&amp;START_MAXIMIZED=FALSE"}</definedName>
    <definedName name="_31__FDSAUDITLINK__" hidden="1">{"fdsup://IBCentral/FAT Viewer?action=UPDATE&amp;creator=factset&amp;DOC_NAME=fat:reuters_annual_source_window.fat&amp;display_string=Audit&amp;DYN_ARGS=TRUE&amp;VAR:ID1=B0DJ8Q&amp;VAR:RCODE=SALES&amp;VAR:SDATE=20080399&amp;VAR:FREQ=Y&amp;VAR:RELITEM=USD&amp;VAR:CURRENCY=&amp;VAR:CURRSOURCE=EXSHARE&amp;V","AR:NATFREQ=ANNUAL&amp;VAR:RFIELD=FINALIZED&amp;VAR:DB_TYPE=&amp;VAR:UNITS=M&amp;window=popup&amp;width=450&amp;height=300&amp;START_MAXIMIZED=FALSE"}</definedName>
    <definedName name="_32__FDSAUDITLINK__" hidden="1">{"fdsup://IBCentral/FAT Viewer?action=UPDATE&amp;creator=factset&amp;DOC_NAME=fat:reuters_annual_source_window.fat&amp;display_string=Audit&amp;DYN_ARGS=TRUE&amp;VAR:ID1=B0MSW5&amp;VAR:RCODE=NIBX&amp;VAR:SDATE=20081299&amp;VAR:FREQ=Y&amp;VAR:RELITEM=USD&amp;VAR:CURRENCY=&amp;VAR:CURRSOURCE=EXSHARE&amp;VA","R:NATFREQ=ANNUAL&amp;VAR:RFIELD=FINALIZED&amp;VAR:DB_TYPE=&amp;VAR:UNITS=M&amp;window=popup&amp;width=450&amp;height=300&amp;START_MAXIMIZED=FALSE"}</definedName>
    <definedName name="_33__FDSAUDITLINK__" hidden="1">{"fdsup://IBCentral/FAT Viewer?action=UPDATE&amp;creator=factset&amp;DOC_NAME=fat:reuters_annual_source_window.fat&amp;display_string=Audit&amp;DYN_ARGS=TRUE&amp;VAR:ID1=B1YC2B&amp;VAR:RCODE=NIBX&amp;VAR:SDATE=20071299&amp;VAR:FREQ=Y&amp;VAR:RELITEM=USD&amp;VAR:CURRENCY=&amp;VAR:CURRSOURCE=EXSHARE&amp;VA","R:NATFREQ=ANNUAL&amp;VAR:RFIELD=FINALIZED&amp;VAR:DB_TYPE=&amp;VAR:UNITS=M&amp;window=popup&amp;width=450&amp;height=300&amp;START_MAXIMIZED=FALSE"}</definedName>
    <definedName name="_34__FDSAUDITLINK__" hidden="1">{"fdsup://IBCentral/FAT Viewer?action=UPDATE&amp;creator=factset&amp;DOC_NAME=fat:reuters_annual_source_window.fat&amp;display_string=Audit&amp;DYN_ARGS=TRUE&amp;VAR:ID1=642276&amp;VAR:RCODE=NIBX&amp;VAR:SDATE=20071299&amp;VAR:FREQ=Y&amp;VAR:RELITEM=USD&amp;VAR:CURRENCY=&amp;VAR:CURRSOURCE=EXSHARE&amp;VA","R:NATFREQ=ANNUAL&amp;VAR:RFIELD=FINALIZED&amp;VAR:DB_TYPE=&amp;VAR:UNITS=M&amp;window=popup&amp;width=450&amp;height=300&amp;START_MAXIMIZED=FALSE"}</definedName>
    <definedName name="_35__FDSAUDITLINK__" hidden="1">{"fdsup://IBCentral/FAT Viewer?action=UPDATE&amp;creator=factset&amp;DOC_NAME=fat:reuters_annual_source_window.fat&amp;display_string=Audit&amp;DYN_ARGS=TRUE&amp;VAR:ID1=639331&amp;VAR:RCODE=NIBX&amp;VAR:SDATE=20081299&amp;VAR:FREQ=Y&amp;VAR:RELITEM=USD&amp;VAR:CURRENCY=&amp;VAR:CURRSOURCE=EXSHARE&amp;VA","R:NATFREQ=ANNUAL&amp;VAR:RFIELD=FINALIZED&amp;VAR:DB_TYPE=&amp;VAR:UNITS=M&amp;window=popup&amp;width=450&amp;height=300&amp;START_MAXIMIZED=FALSE"}</definedName>
    <definedName name="_36__FDSAUDITLINK__" hidden="1">{"fdsup://IBCentral/FAT Viewer?action=UPDATE&amp;creator=factset&amp;DOC_NAME=fat:reuters_annual_source_window.fat&amp;display_string=Audit&amp;DYN_ARGS=TRUE&amp;VAR:ID1=B296ZH&amp;VAR:RCODE=NIBX&amp;VAR:SDATE=20071299&amp;VAR:FREQ=Y&amp;VAR:RELITEM=USD&amp;VAR:CURRENCY=&amp;VAR:CURRSOURCE=EXSHARE&amp;VA","R:NATFREQ=ANNUAL&amp;VAR:RFIELD=FINALIZED&amp;VAR:DB_TYPE=&amp;VAR:UNITS=M&amp;window=popup&amp;width=450&amp;height=300&amp;START_MAXIMIZED=FALSE"}</definedName>
    <definedName name="_37__FDSAUDITLINK__" hidden="1">{"fdsup://IBCentral/FAT Viewer?action=UPDATE&amp;creator=factset&amp;DOC_NAME=fat:reuters_annual_source_window.fat&amp;display_string=Audit&amp;DYN_ARGS=TRUE&amp;VAR:ID1=674395&amp;VAR:RCODE=NIBX&amp;VAR:SDATE=20071299&amp;VAR:FREQ=Y&amp;VAR:RELITEM=USD&amp;VAR:CURRENCY=&amp;VAR:CURRSOURCE=EXSHARE&amp;VA","R:NATFREQ=ANNUAL&amp;VAR:RFIELD=FINALIZED&amp;VAR:DB_TYPE=&amp;VAR:UNITS=M&amp;window=popup&amp;width=450&amp;height=300&amp;START_MAXIMIZED=FALSE"}</definedName>
    <definedName name="_38__FDSAUDITLINK__" hidden="1">{"fdsup://IBCentral/FAT Viewer?action=UPDATE&amp;creator=factset&amp;DOC_NAME=fat:reuters_annual_source_window.fat&amp;display_string=Audit&amp;DYN_ARGS=TRUE&amp;VAR:ID1=B07J65&amp;VAR:RCODE=NIBX&amp;VAR:SDATE=20071299&amp;VAR:FREQ=Y&amp;VAR:RELITEM=USD&amp;VAR:CURRENCY=&amp;VAR:CURRSOURCE=EXSHARE&amp;VA","R:NATFREQ=ANNUAL&amp;VAR:RFIELD=FINALIZED&amp;VAR:DB_TYPE=&amp;VAR:UNITS=M&amp;window=popup&amp;width=450&amp;height=300&amp;START_MAXIMIZED=FALSE"}</definedName>
    <definedName name="_39__FDSAUDITLINK__" hidden="1">{"fdsup://IBCentral/FAT Viewer?action=UPDATE&amp;creator=factset&amp;DOC_NAME=fat:reuters_annual_source_window.fat&amp;display_string=Audit&amp;DYN_ARGS=TRUE&amp;VAR:ID1=B0MSW5&amp;VAR:RCODE=SALES&amp;VAR:SDATE=20081299&amp;VAR:FREQ=Y&amp;VAR:RELITEM=USD&amp;VAR:CURRENCY=&amp;VAR:CURRSOURCE=EXSHARE&amp;V","AR:NATFREQ=ANNUAL&amp;VAR:RFIELD=FINALIZED&amp;VAR:DB_TYPE=&amp;VAR:UNITS=M&amp;window=popup&amp;width=450&amp;height=300&amp;START_MAXIMIZED=FALSE"}</definedName>
    <definedName name="_4__FDSAUDITLINK__" hidden="1">{"fdsup://IBCentral/FAT Viewer?action=UPDATE&amp;creator=factset&amp;DOC_NAME=fat:reuters_annual_pshs_src_window.fat&amp;display_string=Audit&amp;DYN_ARGS=TRUE&amp;VAR:ID1=02916P10&amp;VAR:RCODE=FDSEPS&amp;VAR:SDATE=20081299&amp;VAR:FREQ=Y&amp;VAR:RELITEM=RP&amp;VAR:CURRENCY=&amp;VAR:CURRSOURCE=EXSHA","RE&amp;VAR:NATFREQ=ANNUAL&amp;VAR:RFIELD=FINALIZED&amp;VAR:DB_TYPE=&amp;VAR:UNITS=M&amp;window=popup&amp;width=450&amp;height=300&amp;START_MAXIMIZED=FALSE"}</definedName>
    <definedName name="_40__FDSAUDITLINK__" hidden="1">{"fdsup://IBCentral/FAT Viewer?action=UPDATE&amp;creator=factset&amp;DOC_NAME=fat:reuters_annual_source_window.fat&amp;display_string=Audit&amp;DYN_ARGS=TRUE&amp;VAR:ID1=B1YC2B&amp;VAR:RCODE=SALES&amp;VAR:SDATE=20071299&amp;VAR:FREQ=Y&amp;VAR:RELITEM=USD&amp;VAR:CURRENCY=&amp;VAR:CURRSOURCE=EXSHARE&amp;V","AR:NATFREQ=ANNUAL&amp;VAR:RFIELD=FINALIZED&amp;VAR:DB_TYPE=&amp;VAR:UNITS=M&amp;window=popup&amp;width=450&amp;height=300&amp;START_MAXIMIZED=FALSE"}</definedName>
    <definedName name="_41__FDSAUDITLINK__" hidden="1">{"fdsup://IBCentral/FAT Viewer?action=UPDATE&amp;creator=factset&amp;DOC_NAME=fat:reuters_annual_source_window.fat&amp;display_string=Audit&amp;DYN_ARGS=TRUE&amp;VAR:ID1=642276&amp;VAR:RCODE=SALES&amp;VAR:SDATE=20071299&amp;VAR:FREQ=Y&amp;VAR:RELITEM=USD&amp;VAR:CURRENCY=&amp;VAR:CURRSOURCE=EXSHARE&amp;V","AR:NATFREQ=ANNUAL&amp;VAR:RFIELD=FINALIZED&amp;VAR:DB_TYPE=&amp;VAR:UNITS=M&amp;window=popup&amp;width=450&amp;height=300&amp;START_MAXIMIZED=FALSE"}</definedName>
    <definedName name="_42__FDSAUDITLINK__" hidden="1">{"fdsup://IBCentral/FAT Viewer?action=UPDATE&amp;creator=factset&amp;DOC_NAME=fat:reuters_annual_source_window.fat&amp;display_string=Audit&amp;DYN_ARGS=TRUE&amp;VAR:ID1=639331&amp;VAR:RCODE=SALES&amp;VAR:SDATE=20081299&amp;VAR:FREQ=Y&amp;VAR:RELITEM=USD&amp;VAR:CURRENCY=&amp;VAR:CURRSOURCE=EXSHARE&amp;V","AR:NATFREQ=ANNUAL&amp;VAR:RFIELD=FINALIZED&amp;VAR:DB_TYPE=&amp;VAR:UNITS=M&amp;window=popup&amp;width=450&amp;height=300&amp;START_MAXIMIZED=FALSE"}</definedName>
    <definedName name="_43__FDSAUDITLINK__" hidden="1">{"fdsup://IBCentral/FAT Viewer?action=UPDATE&amp;creator=factset&amp;DOC_NAME=fat:reuters_annual_source_window.fat&amp;display_string=Audit&amp;DYN_ARGS=TRUE&amp;VAR:ID1=B296ZH&amp;VAR:RCODE=SALES&amp;VAR:SDATE=20071299&amp;VAR:FREQ=Y&amp;VAR:RELITEM=USD&amp;VAR:CURRENCY=&amp;VAR:CURRSOURCE=EXSHARE&amp;V","AR:NATFREQ=ANNUAL&amp;VAR:RFIELD=FINALIZED&amp;VAR:DB_TYPE=&amp;VAR:UNITS=M&amp;window=popup&amp;width=450&amp;height=300&amp;START_MAXIMIZED=FALSE"}</definedName>
    <definedName name="_44__FDSAUDITLINK__" hidden="1">{"fdsup://IBCentral/FAT Viewer?action=UPDATE&amp;creator=factset&amp;DOC_NAME=fat:reuters_annual_source_window.fat&amp;display_string=Audit&amp;DYN_ARGS=TRUE&amp;VAR:ID1=674395&amp;VAR:RCODE=SALES&amp;VAR:SDATE=20071299&amp;VAR:FREQ=Y&amp;VAR:RELITEM=USD&amp;VAR:CURRENCY=&amp;VAR:CURRSOURCE=EXSHARE&amp;V","AR:NATFREQ=ANNUAL&amp;VAR:RFIELD=FINALIZED&amp;VAR:DB_TYPE=&amp;VAR:UNITS=M&amp;window=popup&amp;width=450&amp;height=300&amp;START_MAXIMIZED=FALSE"}</definedName>
    <definedName name="_45__FDSAUDITLINK__" hidden="1">{"fdsup://IBCentral/FAT Viewer?action=UPDATE&amp;creator=factset&amp;DOC_NAME=fat:reuters_annual_source_window.fat&amp;display_string=Audit&amp;DYN_ARGS=TRUE&amp;VAR:ID1=B07J65&amp;VAR:RCODE=SALES&amp;VAR:SDATE=20071299&amp;VAR:FREQ=Y&amp;VAR:RELITEM=USD&amp;VAR:CURRENCY=&amp;VAR:CURRSOURCE=EXSHARE&amp;V","AR:NATFREQ=ANNUAL&amp;VAR:RFIELD=FINALIZED&amp;VAR:DB_TYPE=&amp;VAR:UNITS=M&amp;window=popup&amp;width=450&amp;height=300&amp;START_MAXIMIZED=FALSE"}</definedName>
    <definedName name="_46__FDSAUDITLINK__" hidden="1">{"fdsup://IBCentral/FAT Viewer?action=UPDATE&amp;creator=factset&amp;DOC_NAME=fat:reuters_annual_source_window.fat&amp;display_string=Audit&amp;DYN_ARGS=TRUE&amp;VAR:ID1=B2PFVH&amp;VAR:RCODE=NIBX&amp;VAR:SDATE=20071299&amp;VAR:FREQ=Y&amp;VAR:RELITEM=USD&amp;VAR:CURRENCY=&amp;VAR:CURRSOURCE=EXSHARE&amp;VA","R:NATFREQ=ANNUAL&amp;VAR:RFIELD=FINALIZED&amp;VAR:DB_TYPE=&amp;VAR:UNITS=M&amp;window=popup&amp;width=450&amp;height=300&amp;START_MAXIMIZED=FALSE"}</definedName>
    <definedName name="_47__FDSAUDITLINK__" hidden="1">{"fdsup://IBCentral/FAT Viewer?action=UPDATE&amp;creator=factset&amp;DOC_NAME=fat:reuters_annual_source_window.fat&amp;display_string=Audit&amp;DYN_ARGS=TRUE&amp;VAR:ID1=B297KM&amp;VAR:RCODE=NIBX&amp;VAR:SDATE=20071299&amp;VAR:FREQ=Y&amp;VAR:RELITEM=USD&amp;VAR:CURRENCY=&amp;VAR:CURRSOURCE=EXSHARE&amp;VA","R:NATFREQ=ANNUAL&amp;VAR:RFIELD=FINALIZED&amp;VAR:DB_TYPE=&amp;VAR:UNITS=M&amp;window=popup&amp;width=450&amp;height=300&amp;START_MAXIMIZED=FALSE"}</definedName>
    <definedName name="_48__FDSAUDITLINK__" hidden="1">{"fdsup://IBCentral/FAT Viewer?action=UPDATE&amp;creator=factset&amp;DOC_NAME=fat:reuters_annual_source_window.fat&amp;display_string=Audit&amp;DYN_ARGS=TRUE&amp;VAR:ID1=B2PFVH&amp;VAR:RCODE=SALES&amp;VAR:SDATE=20071299&amp;VAR:FREQ=Y&amp;VAR:RELITEM=USD&amp;VAR:CURRENCY=&amp;VAR:CURRSOURCE=EXSHARE&amp;V","AR:NATFREQ=ANNUAL&amp;VAR:RFIELD=FINALIZED&amp;VAR:DB_TYPE=&amp;VAR:UNITS=M&amp;window=popup&amp;width=450&amp;height=300&amp;START_MAXIMIZED=FALSE"}</definedName>
    <definedName name="_49__FDSAUDITLINK__" hidden="1">{"fdsup://IBCentral/FAT Viewer?action=UPDATE&amp;creator=factset&amp;DOC_NAME=fat:reuters_annual_source_window.fat&amp;display_string=Audit&amp;DYN_ARGS=TRUE&amp;VAR:ID1=B297KM&amp;VAR:RCODE=SALES&amp;VAR:SDATE=20071299&amp;VAR:FREQ=Y&amp;VAR:RELITEM=USD&amp;VAR:CURRENCY=&amp;VAR:CURRSOURCE=EXSHARE&amp;V","AR:NATFREQ=ANNUAL&amp;VAR:RFIELD=FINALIZED&amp;VAR:DB_TYPE=&amp;VAR:UNITS=M&amp;window=popup&amp;width=450&amp;height=300&amp;START_MAXIMIZED=FALSE"}</definedName>
    <definedName name="_5__FDSAUDITLINK__" hidden="1">{"fdsup://IBCentral/FAT Viewer?action=UPDATE&amp;creator=factset&amp;DOC_NAME=fat:reuters_annual_pshs_src_window.fat&amp;display_string=Audit&amp;DYN_ARGS=TRUE&amp;VAR:ID1=89652210&amp;VAR:RCODE=FDSEPS&amp;VAR:SDATE=20081299&amp;VAR:FREQ=Y&amp;VAR:RELITEM=RP&amp;VAR:CURRENCY=&amp;VAR:CURRSOURCE=EXSHA","RE&amp;VAR:NATFREQ=ANNUAL&amp;VAR:RFIELD=FINALIZED&amp;VAR:DB_TYPE=&amp;VAR:UNITS=M&amp;window=popup&amp;width=450&amp;height=300&amp;START_MAXIMIZED=FALSE"}</definedName>
    <definedName name="_50__FDSAUDITLINK__" hidden="1">{"fdsup://IBCentral/FAT Viewer?action=UPDATE&amp;creator=factset&amp;DOC_NAME=fat:reuters_annual_source_window.fat&amp;display_string=Audit&amp;DYN_ARGS=TRUE&amp;VAR:ID1=B1L3XL&amp;VAR:RCODE=NIBX&amp;VAR:SDATE=20071299&amp;VAR:FREQ=Y&amp;VAR:RELITEM=USD&amp;VAR:CURRENCY=&amp;VAR:CURRSOURCE=EXSHARE&amp;VA","R:NATFREQ=ANNUAL&amp;VAR:RFIELD=FINALIZED&amp;VAR:DB_TYPE=&amp;VAR:UNITS=M&amp;window=popup&amp;width=450&amp;height=300&amp;START_MAXIMIZED=FALSE"}</definedName>
    <definedName name="_51__FDSAUDITLINK__" hidden="1">{"fdsup://IBCentral/FAT Viewer?action=UPDATE&amp;creator=factset&amp;DOC_NAME=fat:reuters_annual_source_window.fat&amp;display_string=Audit&amp;DYN_ARGS=TRUE&amp;VAR:ID1=B2R2ZC&amp;VAR:RCODE=NIBX&amp;VAR:SDATE=20071299&amp;VAR:FREQ=Y&amp;VAR:RELITEM=USD&amp;VAR:CURRENCY=&amp;VAR:CURRSOURCE=EXSHARE&amp;VA","R:NATFREQ=ANNUAL&amp;VAR:RFIELD=FINALIZED&amp;VAR:DB_TYPE=&amp;VAR:UNITS=M&amp;window=popup&amp;width=450&amp;height=300&amp;START_MAXIMIZED=FALSE"}</definedName>
    <definedName name="_52__FDSAUDITLINK__" hidden="1">{"fdsup://IBCentral/FAT Viewer?action=UPDATE&amp;creator=factset&amp;DOC_NAME=fat:reuters_annual_source_window.fat&amp;display_string=Audit&amp;DYN_ARGS=TRUE&amp;VAR:ID1=B1L3XL&amp;VAR:RCODE=SALES&amp;VAR:SDATE=20071299&amp;VAR:FREQ=Y&amp;VAR:RELITEM=USD&amp;VAR:CURRENCY=&amp;VAR:CURRSOURCE=EXSHARE&amp;V","AR:NATFREQ=ANNUAL&amp;VAR:RFIELD=FINALIZED&amp;VAR:DB_TYPE=&amp;VAR:UNITS=M&amp;window=popup&amp;width=450&amp;height=300&amp;START_MAXIMIZED=FALSE"}</definedName>
    <definedName name="_53__FDSAUDITLINK__" hidden="1">{"fdsup://IBCentral/FAT Viewer?action=UPDATE&amp;creator=factset&amp;DOC_NAME=fat:reuters_annual_source_window.fat&amp;display_string=Audit&amp;DYN_ARGS=TRUE&amp;VAR:ID1=B2R2ZC&amp;VAR:RCODE=SALES&amp;VAR:SDATE=20071299&amp;VAR:FREQ=Y&amp;VAR:RELITEM=USD&amp;VAR:CURRENCY=&amp;VAR:CURRSOURCE=EXSHARE&amp;V","AR:NATFREQ=ANNUAL&amp;VAR:RFIELD=FINALIZED&amp;VAR:DB_TYPE=&amp;VAR:UNITS=M&amp;window=popup&amp;width=450&amp;height=300&amp;START_MAXIMIZED=FALSE"}</definedName>
    <definedName name="_6__FDSAUDITLINK__" hidden="1">{"fdsup://IBCentral/FAT Viewer?action=UPDATE&amp;creator=factset&amp;DOC_NAME=fat:reuters_annual_pshs_src_window.fat&amp;display_string=Audit&amp;DYN_ARGS=TRUE&amp;VAR:ID1=648462&amp;VAR:RCODE=FDSEPS&amp;VAR:SDATE=20090399&amp;VAR:FREQ=Y&amp;VAR:RELITEM=RP&amp;VAR:CURRENCY=&amp;VAR:CURRSOURCE=EXSHARE","&amp;VAR:NATFREQ=ANNUAL&amp;VAR:RFIELD=FINALIZED&amp;VAR:DB_TYPE=&amp;VAR:UNITS=M&amp;window=popup&amp;width=450&amp;height=300&amp;START_MAXIMIZED=FALSE"}</definedName>
    <definedName name="_7__FDSAUDITLINK__" hidden="1">{"fdsup://IBCentral/FAT Viewer?action=UPDATE&amp;creator=factset&amp;DOC_NAME=fat:reuters_annual_pshs_src_window.fat&amp;display_string=Audit&amp;DYN_ARGS=TRUE&amp;VAR:ID1=572797&amp;VAR:RCODE=FDSEPS&amp;VAR:SDATE=20080999&amp;VAR:FREQ=Y&amp;VAR:RELITEM=RP&amp;VAR:CURRENCY=&amp;VAR:CURRSOURCE=EXSHARE","&amp;VAR:NATFREQ=ANNUAL&amp;VAR:RFIELD=FINALIZED&amp;VAR:DB_TYPE=&amp;VAR:UNITS=M&amp;window=popup&amp;width=450&amp;height=300&amp;START_MAXIMIZED=FALSE"}</definedName>
    <definedName name="_8__FDSAUDITLINK__" hidden="1">{"fdsup://IBCentral/FAT Viewer?action=UPDATE&amp;creator=factset&amp;DOC_NAME=fat:reuters_annual_pshs_src_window.fat&amp;display_string=Audit&amp;DYN_ARGS=TRUE&amp;VAR:ID1=36960410&amp;VAR:RCODE=FDSEPS&amp;VAR:SDATE=20081299&amp;VAR:FREQ=Y&amp;VAR:RELITEM=RP&amp;VAR:CURRENCY=&amp;VAR:CURRSOURCE=EXSHA","RE&amp;VAR:NATFREQ=ANNUAL&amp;VAR:RFIELD=FINALIZED&amp;VAR:DB_TYPE=&amp;VAR:UNITS=M&amp;window=popup&amp;width=450&amp;height=300&amp;START_MAXIMIZED=FALSE"}</definedName>
    <definedName name="_9__FDSAUDITLINK__" hidden="1">{"fdsup://IBCentral/FAT Viewer?action=UPDATE&amp;creator=factset&amp;DOC_NAME=fat:reuters_annual_pshs_src_window.fat&amp;display_string=Audit&amp;DYN_ARGS=TRUE&amp;VAR:ID1=210972&amp;VAR:RCODE=FDSEPS&amp;VAR:SDATE=20090199&amp;VAR:FREQ=Y&amp;VAR:RELITEM=RP&amp;VAR:CURRENCY=&amp;VAR:CURRSOURCE=EXSHARE","&amp;VAR:NATFREQ=ANNUAL&amp;VAR:RFIELD=FINALIZED&amp;VAR:DB_TYPE=&amp;VAR:UNITS=M&amp;window=popup&amp;width=450&amp;height=300&amp;START_MAXIMIZED=FALSE"}</definedName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0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date">[4]首页!$M$14</definedName>
    <definedName name="_end">[4]首页!$I$33</definedName>
    <definedName name="_FiscalYear">[4]首页!$D$19</definedName>
    <definedName name="_Order1" hidden="1">255</definedName>
    <definedName name="_Order2" hidden="1">255</definedName>
    <definedName name="_Regression_Int" hidden="1">1</definedName>
    <definedName name="_start">[4]首页!$I$32</definedName>
    <definedName name="_sum2">#REF!</definedName>
    <definedName name="_TEM1">#REF!</definedName>
    <definedName name="_TEM2">#REF!</definedName>
    <definedName name="_ticker">[4]首页!$L$6</definedName>
    <definedName name="_TV1">[5]Summary!#REF!</definedName>
    <definedName name="_TV2">[5]Summary!#REF!</definedName>
    <definedName name="_TV3">[5]Summary!#REF!</definedName>
    <definedName name="_xx100">#REF!</definedName>
    <definedName name="_xx101">#REF!</definedName>
    <definedName name="_xx200">#REF!</definedName>
    <definedName name="_xx201">#REF!</definedName>
    <definedName name="_xx300">#REF!</definedName>
    <definedName name="_xx301">#REF!</definedName>
    <definedName name="_xx302">#REF!</definedName>
    <definedName name="_xx400">#REF!</definedName>
    <definedName name="_xx500">#REF!</definedName>
    <definedName name="_xx600">#REF!</definedName>
    <definedName name="aa">OFFSET(#REF!,0,#REF!-1,#REF!,1)</definedName>
    <definedName name="AccountMethod">[6]投资!$C$64</definedName>
    <definedName name="actionlist">#REF!</definedName>
    <definedName name="Add__Cash">#REF!</definedName>
    <definedName name="Add__Listed_Investments">#REF!</definedName>
    <definedName name="Add__Other_Investments">#REF!</definedName>
    <definedName name="adwesw">{"Client Name or Project Name"}</definedName>
    <definedName name="AllTables">{7}</definedName>
    <definedName name="analyst">#REF!</definedName>
    <definedName name="AREA1">#REF!</definedName>
    <definedName name="AREA2">'[7]P&amp;L'!#REF!</definedName>
    <definedName name="AS2DocOpenMode" hidden="1">"AS2DocumentEdit"</definedName>
    <definedName name="AS2HasNoAutoHeaderFooter" hidden="1">" "</definedName>
    <definedName name="Asset_Beta">[8]复杂FCFF!#REF!</definedName>
    <definedName name="A股和B股公司历史股价与NAV" hidden="1">[1]A!#REF!</definedName>
    <definedName name="A股加权市净率">[9]CHART!$G$49</definedName>
    <definedName name="A股加权市盈率">[9]CHART!$A$49</definedName>
    <definedName name="A股与H股加权溢价">[9]CHART!$A$80</definedName>
    <definedName name="b">[10]Data!#REF!</definedName>
    <definedName name="bad">#REF!</definedName>
    <definedName name="bae">#REF!</definedName>
    <definedName name="baikapapercws1">IF(#REF!,#REF!,0)</definedName>
    <definedName name="baikapapercws2">IF(#REF!,#REF!,0)</definedName>
    <definedName name="baikapapercws3">IF(#REF!,#REF!,0)</definedName>
    <definedName name="baikapapercws4">IF(#REF!,#REF!,0)</definedName>
    <definedName name="baikapapercws5">IF(#REF!,#REF!,0)</definedName>
    <definedName name="bao">#REF!</definedName>
    <definedName name="bap">#REF!</definedName>
    <definedName name="BASE">[11]data!$A$1:$Z$65536</definedName>
    <definedName name="BaseName">#REF!</definedName>
    <definedName name="bat">#REF!</definedName>
    <definedName name="bay">#REF!</definedName>
    <definedName name="bb">[12]假设!$A$89</definedName>
    <definedName name="bca">#REF!</definedName>
    <definedName name="bcb">#REF!</definedName>
    <definedName name="bce">#REF!</definedName>
    <definedName name="bcl">#REF!</definedName>
    <definedName name="bcm">#REF!</definedName>
    <definedName name="bcp">#REF!</definedName>
    <definedName name="bd_title">#REF!</definedName>
    <definedName name="bdp">#REF!</definedName>
    <definedName name="bet">#REF!</definedName>
    <definedName name="BETA">[8]复杂FCFF!#REF!</definedName>
    <definedName name="bfc">#REF!</definedName>
    <definedName name="bia">#REF!</definedName>
    <definedName name="bin">#REF!</definedName>
    <definedName name="bio">#REF!</definedName>
    <definedName name="bir">#REF!</definedName>
    <definedName name="bit">#REF!</definedName>
    <definedName name="bll">#REF!</definedName>
    <definedName name="block.Assumptions.blue">#REF!</definedName>
    <definedName name="block.Author.blue">#REF!</definedName>
    <definedName name="block.BalanceSheet.blue">#REF!</definedName>
    <definedName name="block.BusinessBackground.blue">#REF!</definedName>
    <definedName name="block.CapitalHistory.blue">#REF!</definedName>
    <definedName name="block.Cashflow.blue">#REF!</definedName>
    <definedName name="block.DividendData.blue">#REF!</definedName>
    <definedName name="block.Expansion.blue">#REF!</definedName>
    <definedName name="block.expansionplans.blue">#REF!</definedName>
    <definedName name="block.forecastandratings.blue">#REF!</definedName>
    <definedName name="block.Forecasts.blue">#REF!</definedName>
    <definedName name="block.identity.blue">#REF!</definedName>
    <definedName name="block.mainpoints.red">#REF!</definedName>
    <definedName name="block.MajorShareholders.blue">#REF!</definedName>
    <definedName name="block.Miscellaneous.blue">#REF!</definedName>
    <definedName name="block.miscellaneous.none">#REF!</definedName>
    <definedName name="block.Outlook.blue">#REF!</definedName>
    <definedName name="block.PriceChart.none">#REF!</definedName>
    <definedName name="block.profitassumptions.blue">#REF!</definedName>
    <definedName name="block.ProfitBreakdown.blue">#REF!</definedName>
    <definedName name="block.rationanalysis.blue">#REF!</definedName>
    <definedName name="block.ShareData.blue">#REF!</definedName>
    <definedName name="block.Subsidiaries.blue">#REF!</definedName>
    <definedName name="block.Title.blue">#REF!</definedName>
    <definedName name="BLPH1" hidden="1">#REF!</definedName>
    <definedName name="BLPH10" hidden="1">#REF!</definedName>
    <definedName name="BLPH11" hidden="1">#REF!</definedName>
    <definedName name="BLPH12" hidden="1">#REF!</definedName>
    <definedName name="BLPH13" hidden="1">#REF!</definedName>
    <definedName name="BLPH14" hidden="1">#REF!</definedName>
    <definedName name="BLPH15" hidden="1">#REF!</definedName>
    <definedName name="BLPH16" hidden="1">#REF!</definedName>
    <definedName name="BLPH17" hidden="1">#REF!</definedName>
    <definedName name="BLPH18" hidden="1">#REF!</definedName>
    <definedName name="BLPH19" hidden="1">#REF!</definedName>
    <definedName name="BLPH2" hidden="1">#REF!</definedName>
    <definedName name="BLPH20" hidden="1">#REF!</definedName>
    <definedName name="BLPH21" hidden="1">#REF!</definedName>
    <definedName name="BLPH22" hidden="1">#REF!</definedName>
    <definedName name="BLPH23" hidden="1">#REF!</definedName>
    <definedName name="BLPH24" hidden="1">#REF!</definedName>
    <definedName name="BLPH25" hidden="1">#REF!</definedName>
    <definedName name="BLPH26" hidden="1">#REF!</definedName>
    <definedName name="BLPH27" hidden="1">#REF!</definedName>
    <definedName name="BLPH28" hidden="1">#REF!</definedName>
    <definedName name="BLPH29" hidden="1">#REF!</definedName>
    <definedName name="BLPH3" hidden="1">#REF!</definedName>
    <definedName name="BLPH30" hidden="1">#REF!</definedName>
    <definedName name="BLPH31" hidden="1">#REF!</definedName>
    <definedName name="BLPH32" hidden="1">#REF!</definedName>
    <definedName name="BLPH33" hidden="1">#REF!</definedName>
    <definedName name="BLPH34" hidden="1">#REF!</definedName>
    <definedName name="BLPH35" hidden="1">#REF!</definedName>
    <definedName name="BLPH36" hidden="1">#REF!</definedName>
    <definedName name="BLPH37" hidden="1">#REF!</definedName>
    <definedName name="BLPH38" hidden="1">#REF!</definedName>
    <definedName name="BLPH39" hidden="1">#REF!</definedName>
    <definedName name="BLPH4" hidden="1">#REF!</definedName>
    <definedName name="BLPH40" hidden="1">#REF!</definedName>
    <definedName name="BLPH41" hidden="1">#REF!</definedName>
    <definedName name="BLPH42" hidden="1">#REF!</definedName>
    <definedName name="BLPH43" hidden="1">#REF!</definedName>
    <definedName name="BLPH44" hidden="1">#REF!</definedName>
    <definedName name="BLPH5" hidden="1">#REF!</definedName>
    <definedName name="BLPH6" hidden="1">[13]耀皮B股!$H$4</definedName>
    <definedName name="BLPH7" hidden="1">[13]耀皮B股!$K$4</definedName>
    <definedName name="BLPH8" hidden="1">#REF!</definedName>
    <definedName name="BLPH9" hidden="1">#REF!</definedName>
    <definedName name="blt">#REF!</definedName>
    <definedName name="bmi">#REF!</definedName>
    <definedName name="bnd">#REF!</definedName>
    <definedName name="bnf">#REF!</definedName>
    <definedName name="boc">#REF!</definedName>
    <definedName name="bol">#REF!</definedName>
    <definedName name="bor">#REF!</definedName>
    <definedName name="bot">#REF!</definedName>
    <definedName name="bpp">#REF!</definedName>
    <definedName name="bpu">#REF!</definedName>
    <definedName name="bre">#REF!</definedName>
    <definedName name="bsf">#REF!</definedName>
    <definedName name="bst">#REF!</definedName>
    <definedName name="bta">#REF!</definedName>
    <definedName name="btd">#REF!</definedName>
    <definedName name="bte">#REF!</definedName>
    <definedName name="btl">#REF!</definedName>
    <definedName name="btp">#REF!</definedName>
    <definedName name="cac">#REF!</definedName>
    <definedName name="cam">#REF!</definedName>
    <definedName name="Cash_earnings">'[14]Jihe WestCashEarnings'!$A$58:$IV$58</definedName>
    <definedName name="cbyieldcurve_rg">OFFSET(#REF!,0,0,COUNTA(#REF!),10)</definedName>
    <definedName name="cc">[15]BS!$D$4</definedName>
    <definedName name="cccc">[16]复杂FCFF!#REF!</definedName>
    <definedName name="ccccccc">[16]复杂FCFF!#REF!</definedName>
    <definedName name="cce">#REF!</definedName>
    <definedName name="ccn">#REF!</definedName>
    <definedName name="cde">#REF!</definedName>
    <definedName name="cdi">#REF!</definedName>
    <definedName name="cdp">#REF!</definedName>
    <definedName name="cell8">[8]复杂FCFF!#REF!</definedName>
    <definedName name="cellVersion">[17]公司说明!$C$1</definedName>
    <definedName name="cellYears1">#REF!</definedName>
    <definedName name="cellYears1b">#REF!</definedName>
    <definedName name="cellYears1c">[17]DDM!$C$4</definedName>
    <definedName name="cellYears2">#REF!</definedName>
    <definedName name="cellYears21">'[17]复杂FCFF(2)'!$C$5</definedName>
    <definedName name="cellYears21b">'[17]复杂FCFF(2)'!$C$1</definedName>
    <definedName name="cellYears22">'[17]复杂FCFF(2)'!$C$6</definedName>
    <definedName name="cellYears22b">'[17]复杂FCFF(2)'!$D$1</definedName>
    <definedName name="cellYears2b">#REF!</definedName>
    <definedName name="cellYears2c">[17]DDM!$C$5</definedName>
    <definedName name="cfc">#REF!</definedName>
    <definedName name="cfx">#REF!</definedName>
    <definedName name="Chongqing">#REF!</definedName>
    <definedName name="cii">#REF!</definedName>
    <definedName name="civ">#REF!</definedName>
    <definedName name="cmdOK2_click">[18]!cmdOK2_click</definedName>
    <definedName name="cni">#REF!</definedName>
    <definedName name="Co_Name">[19]常数表!$C$2</definedName>
    <definedName name="coc">#REF!</definedName>
    <definedName name="code">#REF!</definedName>
    <definedName name="code1">[20]参数!$C$2</definedName>
    <definedName name="code2">[20]参数!$C$4</definedName>
    <definedName name="coe">#REF!</definedName>
    <definedName name="coi">#REF!</definedName>
    <definedName name="comFaxRate">[21]单产品敏感性分析!$C$8</definedName>
    <definedName name="companyname">#REF!</definedName>
    <definedName name="cop">#REF!</definedName>
    <definedName name="CopyArea">#REF!</definedName>
    <definedName name="cordata10y">OFFSET(corfintop,corfinstart-1,6,corfinend-corfinstart+1)</definedName>
    <definedName name="cordata5y">OFFSET(corfintop,corfinstart-1,5,corfinend-corfinstart+1)</definedName>
    <definedName name="cordate">OFFSET(cortop,corstart-1,0,corend-corstart+1)</definedName>
    <definedName name="corend">#REF!</definedName>
    <definedName name="corfindate">OFFSET(corfintop,corfinstart-1,0,corfinend-corfinstart+1)</definedName>
    <definedName name="corfinend">#REF!</definedName>
    <definedName name="corfinstart">#REF!</definedName>
    <definedName name="corfintop">#REF!</definedName>
    <definedName name="corstart">#REF!</definedName>
    <definedName name="cortop">#REF!</definedName>
    <definedName name="Cost_of_Debt">[8]复杂FCFF!#REF!</definedName>
    <definedName name="costofdebt">[19]常数表!$C$6</definedName>
    <definedName name="cot">#REF!</definedName>
    <definedName name="Country">#REF!</definedName>
    <definedName name="csi">#REF!</definedName>
    <definedName name="cta">#REF!</definedName>
    <definedName name="currency">#REF!</definedName>
    <definedName name="CurrencyTable">#REF!</definedName>
    <definedName name="CurrList">[22]GEMiner!$O$18:$O$45</definedName>
    <definedName name="CurYr">[19]常数表!$C$3</definedName>
    <definedName name="cwo">#REF!</definedName>
    <definedName name="cwsex1">IF(#REF!,#REF!,0)</definedName>
    <definedName name="cwsex2">IF(#REF!,#REF!,0)</definedName>
    <definedName name="cwsex3">IF(#REF!,#REF!,0)</definedName>
    <definedName name="cwsex4">IF(#REF!,#REF!,0)</definedName>
    <definedName name="cwsex5">IF(#REF!,#REF!,0)</definedName>
    <definedName name="cwsttest2">IF(#REF!,#REF!,0)</definedName>
    <definedName name="cwsttest3">IF(#REF!,#REF!,0)</definedName>
    <definedName name="cwt">#REF!</definedName>
    <definedName name="d">#REF!</definedName>
    <definedName name="D_bdg">[23]Assumptions!$E$45</definedName>
    <definedName name="D_elec">[23]Assumptions!$E$47</definedName>
    <definedName name="D_machine">[23]Assumptions!$E$46</definedName>
    <definedName name="D_other">[23]Assumptions!$E$49</definedName>
    <definedName name="D_rate">'[24]Dev Sum'!$B$123</definedName>
    <definedName name="D_trans">[23]Assumptions!$E$48</definedName>
    <definedName name="daf">#REF!</definedName>
    <definedName name="dai">#REF!</definedName>
    <definedName name="das">#REF!</definedName>
    <definedName name="data">[25]Investment!$B$6</definedName>
    <definedName name="data2series">'[26]PE-Band(港股)'!$G$29:$G$274</definedName>
    <definedName name="data3series">'[26]PE-Band(港股)'!$H$29:$H$274</definedName>
    <definedName name="data4series">'[26]PE-Band(港股)'!$I$29:$I$274</definedName>
    <definedName name="data5series">'[26]PE-Band(港股)'!$J$29:$J$274</definedName>
    <definedName name="data6series">'[26]PE-Band(港股)'!$K$29:$K$274</definedName>
    <definedName name="DataFundAction">[27]Data!#REF!</definedName>
    <definedName name="DataPreRec">[27]Data!#REF!</definedName>
    <definedName name="dataseries">'[26]PE-Band(港股)'!$E$29:$E$274</definedName>
    <definedName name="datayear">'[28]PE-Band(港股)'!$H$29:$H$274</definedName>
    <definedName name="date">[29]Bloomberg即时版!$C$1</definedName>
    <definedName name="DATES">'[30]No. of passengers carried(1)'!$A$11:$A$122</definedName>
    <definedName name="dbteq99">'[31]Consolidated Financials'!$O$250</definedName>
    <definedName name="DCF1A">#REF!</definedName>
    <definedName name="DCF1B">#REF!</definedName>
    <definedName name="DCF2A">#REF!</definedName>
    <definedName name="DCF2B">#REF!</definedName>
    <definedName name="DCF3A">#REF!</definedName>
    <definedName name="DCF3B">#REF!</definedName>
    <definedName name="DCF4A">#REF!</definedName>
    <definedName name="DCF4B">#REF!</definedName>
    <definedName name="DCF5B">#REF!</definedName>
    <definedName name="DCF6A">#REF!</definedName>
    <definedName name="DCF6B">#REF!</definedName>
    <definedName name="DCF7A">#REF!</definedName>
    <definedName name="DCF7B">#REF!</definedName>
    <definedName name="DCF8A">#REF!</definedName>
    <definedName name="DCF8B">#REF!</definedName>
    <definedName name="DCF9A">#REF!</definedName>
    <definedName name="DCF9B">#REF!</definedName>
    <definedName name="DCFTOOLSNAME1">#REF!</definedName>
    <definedName name="dd">[16]公司说明!#REF!</definedName>
    <definedName name="dddfs">#REF!</definedName>
    <definedName name="dds">[16]复杂FCFF!#REF!</definedName>
    <definedName name="de">[32]Sheet1!$B$6:$M$6</definedName>
    <definedName name="Debt_Premium">[8]复杂FCFF!#REF!</definedName>
    <definedName name="DebtFinancing">[6]筹资!$E$22</definedName>
    <definedName name="deposit_growth">'[33]LD monthly data'!$N$56:$AF$56</definedName>
    <definedName name="DepositRate">[6]筹资!$B$6</definedName>
    <definedName name="Depreciation_of_roads">#REF!</definedName>
    <definedName name="DES">'[30]No. of passengers carried(1)'!$A$124:$A$125</definedName>
    <definedName name="dfd">#REF!</definedName>
    <definedName name="did">#REF!</definedName>
    <definedName name="Dis_Rate">16%</definedName>
    <definedName name="dpy">#REF!</definedName>
    <definedName name="dsd">#REF!</definedName>
    <definedName name="dtd">#REF!</definedName>
    <definedName name="E">#REF!</definedName>
    <definedName name="eaa">#REF!</definedName>
    <definedName name="eap">#REF!</definedName>
    <definedName name="eat">#REF!</definedName>
    <definedName name="ee">[16]复杂FCFF!#REF!</definedName>
    <definedName name="end">[34]分离债利率走势!$B$5</definedName>
    <definedName name="EndYear">[35]首页!$C$9</definedName>
    <definedName name="enp">#REF!</definedName>
    <definedName name="epa">#REF!</definedName>
    <definedName name="epc">#REF!</definedName>
    <definedName name="epw">#REF!</definedName>
    <definedName name="epx">#REF!</definedName>
    <definedName name="equity_beta">[8]复杂FCFF!#REF!</definedName>
    <definedName name="Equity_Price_per_unit">[8]复杂FCFF!#REF!</definedName>
    <definedName name="equity_risk_premium">[8]复杂FCFF!#REF!</definedName>
    <definedName name="EQUITYPREMIUM">[36]EQUITYPREMIUM!$A$1:$D$58</definedName>
    <definedName name="estaterate">[19]常数表!$C$7</definedName>
    <definedName name="EstiDate">[35]首页!$C$7</definedName>
    <definedName name="etr">#REF!</definedName>
    <definedName name="euroyieldcurve_rg">OFFSET(#REF!,0,0,COUNTA(#REF!),7)</definedName>
    <definedName name="event">#REF!</definedName>
    <definedName name="Ex_Shares">[37]PL!$H$97</definedName>
    <definedName name="Exchange">#REF!</definedName>
    <definedName name="ext">#REF!</definedName>
    <definedName name="f">#REF!</definedName>
    <definedName name="fbyieldcurve_rg">OFFSET(#REF!,0,0,COUNTA(#REF!),10)</definedName>
    <definedName name="fgfgfgfg">OFFSET(#REF!,0,#REF!,#REF!,1)</definedName>
    <definedName name="fgh">[32]Sheet1!$B$8:$M$162</definedName>
    <definedName name="FinalYear">#REF!</definedName>
    <definedName name="FinancingMethod">[6]筹资!$B$18</definedName>
    <definedName name="findata3y">OFFSET(corfintop,corfinstart-1,12,corfinend-corfinstart+1)</definedName>
    <definedName name="findata7y">OFFSET(corfintop,corfinstart-1,13,corfinend-corfinstart+1)</definedName>
    <definedName name="FORECAST_OUTSAM">[38]FORECAST_OUTSAM!$C$1:$D$26</definedName>
    <definedName name="fxa">#REF!</definedName>
    <definedName name="fxe">#REF!</definedName>
    <definedName name="FY1993_">#REF!</definedName>
    <definedName name="FY1994_">#REF!</definedName>
    <definedName name="FY1995_">#REF!</definedName>
    <definedName name="FY1996_">#REF!</definedName>
    <definedName name="FY1997_">#REF!</definedName>
    <definedName name="FY1998_">#REF!</definedName>
    <definedName name="FY1999_">#REF!</definedName>
    <definedName name="FY2000_">#REF!</definedName>
    <definedName name="FY2001_">#REF!</definedName>
    <definedName name="FY2002_">#REF!</definedName>
    <definedName name="FY2003_">#REF!</definedName>
    <definedName name="FY2004_">#REF!</definedName>
    <definedName name="FY2005_">#REF!</definedName>
    <definedName name="G">#REF!</definedName>
    <definedName name="Guangxi">#REF!</definedName>
    <definedName name="half">'[28]PE-Band(港股)'!$K$29:$K$274</definedName>
    <definedName name="halfyear">'[28]PE-Band(港股)'!$D$29:$D$274</definedName>
    <definedName name="Hei">#REF!</definedName>
    <definedName name="Heilongjiang">#REF!</definedName>
    <definedName name="Henan">#REF!</definedName>
    <definedName name="hg_title">#REF!</definedName>
    <definedName name="hh">'[39]PE-Band(港股)'!$D$29:$D$1040</definedName>
    <definedName name="hljkjo">'[40]ACE-OUT'!$A$2:$H$98</definedName>
    <definedName name="HTML_Description" hidden="1">""</definedName>
    <definedName name="HTML_Email" hidden="1">""</definedName>
    <definedName name="HTML_Header" hidden="1">""</definedName>
    <definedName name="HTML_LastUpdate" hidden="1">"00-4-17"</definedName>
    <definedName name="HTML_LineAfter" hidden="1">FALSE</definedName>
    <definedName name="HTML_LineBefore" hidden="1">FALSE</definedName>
    <definedName name="HTML_Name" hidden="1">"luo"</definedName>
    <definedName name="HTML_OBDlg2" hidden="1">TRUE</definedName>
    <definedName name="HTML_OBDlg4" hidden="1">TRUE</definedName>
    <definedName name="HTML_OS" hidden="1">0</definedName>
    <definedName name="HTML_PathFile" hidden="1">"C:\AAA1\sc.htm"</definedName>
    <definedName name="HTML_Title" hidden="1">""</definedName>
    <definedName name="i_rate">'[24]Dev Sum'!$B$116</definedName>
    <definedName name="ian">#REF!</definedName>
    <definedName name="iar">#REF!</definedName>
    <definedName name="ibc">#REF!</definedName>
    <definedName name="ibf">#REF!</definedName>
    <definedName name="icd">#REF!</definedName>
    <definedName name="ict">#REF!</definedName>
    <definedName name="ictSymbol">#REF!</definedName>
    <definedName name="icu">#REF!</definedName>
    <definedName name="ida">#REF!</definedName>
    <definedName name="IDS">'[30]No. of passengers carried(1)'!$B$8:$C$8</definedName>
    <definedName name="iex">#REF!</definedName>
    <definedName name="ifd">#REF!</definedName>
    <definedName name="iff">#REF!</definedName>
    <definedName name="ifl">#REF!</definedName>
    <definedName name="ifn">#REF!</definedName>
    <definedName name="ifo">#REF!</definedName>
    <definedName name="ihd">#REF!</definedName>
    <definedName name="ime">#REF!</definedName>
    <definedName name="Implied_Inflation">[8]复杂FCFF!#REF!</definedName>
    <definedName name="indexchart_rg">#REF!</definedName>
    <definedName name="indexdate">OFFSET(#REF!,COUNTA(#REF!)-19,0,20)</definedName>
    <definedName name="INIT">#REF!</definedName>
    <definedName name="inm">#REF!</definedName>
    <definedName name="Interest_paid">'[41]Jihe WestInt_Paid'!$A$57:$IV$57</definedName>
    <definedName name="ip1_">#REF!</definedName>
    <definedName name="ip2_">#REF!</definedName>
    <definedName name="ip3_">#REF!</definedName>
    <definedName name="ip4_">#REF!</definedName>
    <definedName name="ip5_">#REF!</definedName>
    <definedName name="ipr">#REF!</definedName>
    <definedName name="ipv">#REF!</definedName>
    <definedName name="irate">[19]常数表!$C$8</definedName>
    <definedName name="irc">#REF!</definedName>
    <definedName name="ire">#REF!</definedName>
    <definedName name="iRepType">1</definedName>
    <definedName name="irf">#REF!</definedName>
    <definedName name="irg">#REF!</definedName>
    <definedName name="irp">#REF!</definedName>
    <definedName name="irp_date">OFFSET(#REF!,COUNTA(#REF!)-48,0,48)</definedName>
    <definedName name="irp_ndf">OFFSET(#REF!,COUNTA(#REF!)-48,0,48)</definedName>
    <definedName name="irp_parity">OFFSET(#REF!,COUNTA(#REF!)-48,0,48)</definedName>
    <definedName name="irp_spread">OFFSET(#REF!,COUNTA(#REF!)-48,0,48)</definedName>
    <definedName name="irsyieldcurve_rg">OFFSET(#REF!,0,0,COUNTA(#REF!),10)</definedName>
    <definedName name="is1_">#REF!</definedName>
    <definedName name="is2_">#REF!</definedName>
    <definedName name="is3_">#REF!</definedName>
    <definedName name="is4_">#REF!</definedName>
    <definedName name="is5_">#REF!</definedName>
    <definedName name="isb">#REF!</definedName>
    <definedName name="isc">#REF!</definedName>
    <definedName name="ise">#REF!</definedName>
    <definedName name="isf">#REF!</definedName>
    <definedName name="IsInitialization">0</definedName>
    <definedName name="isl">#REF!</definedName>
    <definedName name="issue">#REF!</definedName>
    <definedName name="IssuePrice">[6]筹资!$E$24</definedName>
    <definedName name="ist">#REF!</definedName>
    <definedName name="Item">[42]敏感性分析!#REF!</definedName>
    <definedName name="iub">#REF!</definedName>
    <definedName name="iue">#REF!</definedName>
    <definedName name="iueList">[43]GEMiner!#REF!</definedName>
    <definedName name="iueSymbol">#REF!</definedName>
    <definedName name="iun">#REF!</definedName>
    <definedName name="iunSymbol">#REF!</definedName>
    <definedName name="ius">#REF!</definedName>
    <definedName name="iusSymbol">#REF!</definedName>
    <definedName name="iva">#REF!</definedName>
    <definedName name="ivday">'[44]投资性物业(刘浩)'!$BV$3</definedName>
    <definedName name="jiagezhishu1">IF(#REF!,#REF!,0)</definedName>
    <definedName name="jiagezhishu2">IF(#REF!,#REF!,0)</definedName>
    <definedName name="jiagezhishu3">IF(#REF!,#REF!,0)</definedName>
    <definedName name="jiagezhishu4">IF(#REF!,#REF!,0)</definedName>
    <definedName name="jiagezhishu5">IF(#REF!,#REF!,0)</definedName>
    <definedName name="Jiangxi">#REF!</definedName>
    <definedName name="Jilin">#REF!</definedName>
    <definedName name="jpyieldcurve_rg">OFFSET(#REF!,0,0,COUNTA(#REF!),7)</definedName>
    <definedName name="js">[12]假设!$A$120</definedName>
    <definedName name="js_cqdkll">[45]假设!$A$89</definedName>
    <definedName name="js_cqdtfytxnx">[45]假设!$A$79</definedName>
    <definedName name="js_cqgqtz">[45]假设!$A$39</definedName>
    <definedName name="js_cqyfk">[45]假设!$A$58</definedName>
    <definedName name="js_cqysk">[45]假设!$A$40</definedName>
    <definedName name="js_dqdkll">[45]假设!$A$90</definedName>
    <definedName name="js_dysdsfz">[45]假设!$A$59</definedName>
    <definedName name="js_dysdszc">[45]假设!$A$42</definedName>
    <definedName name="js_dysy">[45]假设!$A$51</definedName>
    <definedName name="js_gdzczjnx">[45]假设!$A$70</definedName>
    <definedName name="js_gzrgjqfq">[45]假设!$A$136</definedName>
    <definedName name="js_ipofxgb">[45]假设!$A$96</definedName>
    <definedName name="js_ipofxjg">[45]假设!$A$97</definedName>
    <definedName name="js_jyxjrfz">[45]假设!$A$46</definedName>
    <definedName name="js_kzjjg">[45]假设!$A$106</definedName>
    <definedName name="js_kzzsl">[45]假设!$A$105</definedName>
    <definedName name="js_lr_rzzgb">[21]假设!#REF!</definedName>
    <definedName name="js_lxzczbhl">[21]假设!#REF!</definedName>
    <definedName name="js_mgpx">[45]假设!$A$18</definedName>
    <definedName name="js_pgjg">[45]假设!$A$103</definedName>
    <definedName name="js_pgsl">[45]假设!$A$102</definedName>
    <definedName name="js_qqxqjg">[45]假设!$A$109</definedName>
    <definedName name="js_qqxqsl">[45]假设!$A$108</definedName>
    <definedName name="js_qtcwfy">[45]假设!$A$8</definedName>
    <definedName name="js_qtfldfz">[45]假设!$A$62</definedName>
    <definedName name="js_qtfldzc">[45]假设!$A$43</definedName>
    <definedName name="js_qtldfz">[45]假设!$A$56</definedName>
    <definedName name="js_qtyfzk">[45]假设!$A$49</definedName>
    <definedName name="js_sy">[45]假设!$A$41</definedName>
    <definedName name="js_val_gdzcczl">[45]假设!$I$72</definedName>
    <definedName name="js_wbbbzsce">[45]假设!$A$63</definedName>
    <definedName name="js_wxzctxnx">[45]假设!$A$75</definedName>
    <definedName name="js_xjfxl">[45]假设!$A$19</definedName>
    <definedName name="js_xzcqdtfy">[45]假设!$A$80</definedName>
    <definedName name="js_xzcqjk">[45]假设!$A$85</definedName>
    <definedName name="js_xzgdzc">[45]假设!$A$71</definedName>
    <definedName name="js_xzwxzc">[45]假设!$A$76</definedName>
    <definedName name="js_xzzjgc">[45]假设!$A$69</definedName>
    <definedName name="js_yfgl">[45]假设!$A$53</definedName>
    <definedName name="js_yflx">[45]假设!$A$55</definedName>
    <definedName name="js_yfpj">[45]假设!$A$48</definedName>
    <definedName name="js_yfzgxc">[45]假设!$A$52</definedName>
    <definedName name="js_yfzk">[45]假设!$A$47</definedName>
    <definedName name="js_yhckll">[45]假设!$A$91</definedName>
    <definedName name="js_yjfz">[45]假设!$A$61</definedName>
    <definedName name="js_yjsf">[45]假设!$A$54</definedName>
    <definedName name="js_yqzc">[21]假设!#REF!</definedName>
    <definedName name="js_yszk">[45]假设!$A$50</definedName>
    <definedName name="js_zcjzss">[45]假设!$A$9</definedName>
    <definedName name="js_zddqjkye">[45]假设!$A$45</definedName>
    <definedName name="js_zfgb">[45]假设!$A$99</definedName>
    <definedName name="js_zfjg">[45]假设!$A$100</definedName>
    <definedName name="js_zgb_ipozj">[45]假设!$A$119</definedName>
    <definedName name="js_zgb_kzzzj">[45]假设!$A$121</definedName>
    <definedName name="js_zgb_qqzj">[45]假设!$A$122</definedName>
    <definedName name="js_zgb_sgzj">[45]假设!$A$118</definedName>
    <definedName name="js_zgb_zfzj">[45]假设!$A$120</definedName>
    <definedName name="js_zgb_zzzj">[45]假设!$A$117</definedName>
    <definedName name="js_zxyfk">[45]假设!$A$60</definedName>
    <definedName name="jss">[12]假设!$A$79</definedName>
    <definedName name="just">{7}</definedName>
    <definedName name="jy_title">#REF!</definedName>
    <definedName name="Ke">[46]DDM!$C$7</definedName>
    <definedName name="Last_BS">[15]BS!$D$4</definedName>
    <definedName name="LastEndYear">2016</definedName>
    <definedName name="LastEstiDate">42831</definedName>
    <definedName name="LastEstNum">2</definedName>
    <definedName name="LastHasNew">"否"</definedName>
    <definedName name="LastReportList">"2012;2013;2014;2015;2016"</definedName>
    <definedName name="LastStYear">2012</definedName>
    <definedName name="LastTransitionYear">10</definedName>
    <definedName name="LastWindCode">"300616.SZ"</definedName>
    <definedName name="LDebtFinancing">[6]筹资!$E$23</definedName>
    <definedName name="LEAP">#REF!</definedName>
    <definedName name="less">[16]复杂FCFF!#REF!</definedName>
    <definedName name="Less__Bank___Other_Debt">[8]复杂FCFF!#REF!</definedName>
    <definedName name="Less__Minorities">[8]复杂FCFF!#REF!</definedName>
    <definedName name="lessdd">[16]复杂FCFF!#REF!</definedName>
    <definedName name="loan_growth">'[33]LD monthly data'!$N$17:$AF$17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ngBorrowRate">[6]筹资!$B$8</definedName>
    <definedName name="longth">OFFSET([47]宏观数据!$H$10,1,[47]图表辅助!$A$2*2-1,20000,)</definedName>
    <definedName name="maojh">[48]Loan_Q!$A$8:$A$35</definedName>
    <definedName name="midcpdata3y">OFFSET(midcptop,midcpstart-1,1,midcpend-midcpstart+1)</definedName>
    <definedName name="midcpdata5y">OFFSET(midcptop,midcpstart-1,2,midcpend-midcpstart+1)</definedName>
    <definedName name="midcpdata7y">#N/A</definedName>
    <definedName name="midcpdate">OFFSET(midcptop,midcpstart-1,0,midcpend-midcpstart+1)</definedName>
    <definedName name="midcpend">#REF!</definedName>
    <definedName name="midcpstart">#REF!</definedName>
    <definedName name="midcptop">#REF!</definedName>
    <definedName name="mil">[19]常数表!$C$4</definedName>
    <definedName name="MinCashBalance">[6]筹资!$B$9</definedName>
    <definedName name="MktList">[22]GEMiner!$N$18:$N$42</definedName>
    <definedName name="ml_title">[49]目录!#REF!</definedName>
    <definedName name="month">#REF!</definedName>
    <definedName name="mx_title">'[50]跟踪表（明细表）'!$H$1</definedName>
    <definedName name="name">OFFSET([47]宏观数据!$H$9,,[47]图表辅助!$A$2*2-1,,)</definedName>
    <definedName name="nas">#REF!</definedName>
    <definedName name="nbd">#REF!</definedName>
    <definedName name="nbn">#REF!</definedName>
    <definedName name="ndirsyieldcurve_rg">OFFSET(#REF!,0,0,COUNTA(#REF!),10)</definedName>
    <definedName name="ndsj_cqdtfytx">[21]年度数据!#REF!</definedName>
    <definedName name="ndsj_czhdxjl">[21]年度数据!#REF!</definedName>
    <definedName name="ndsj_gdzczj">[21]年度数据!#REF!</definedName>
    <definedName name="ndsj_jyhdxjl">[21]年度数据!#REF!</definedName>
    <definedName name="ndsj_tzhdxjl">[21]年度数据!#REF!</definedName>
    <definedName name="ndsj_wxzctx">[21]年度数据!#REF!</definedName>
    <definedName name="niandu">'[28]PE-Band(港股)'!$I$29:$I$274</definedName>
    <definedName name="niandus">'[28]PE-Band(港股)'!$E$29:$E$274</definedName>
    <definedName name="niandushuju">'[28]PE-Band(港股)'!$K$29:$K$274</definedName>
    <definedName name="nmS2_AdjX">[21]单公司Beta!$D$6</definedName>
    <definedName name="nmS2_Beta">[21]单公司Beta!$B$12</definedName>
    <definedName name="nmS2_BookD">[21]单公司Beta!$D$22</definedName>
    <definedName name="nmS2_BookE">[21]单公司Beta!$E$22</definedName>
    <definedName name="nmS2_ChooseData1">OFFSET(nmS2_HisQuoteStart,0,5,nmS2_PointCount,1)</definedName>
    <definedName name="nmS2_ChooseData2">OFFSET(nmS2_HisQuoteStart,0,6,nmS2_PointCount,1)</definedName>
    <definedName name="nmS2_ChooseDate">OFFSET(nmS2_HisQuoteStart,0,0,nmS2_PointCount,1)</definedName>
    <definedName name="nmS2_EndDate">[21]单公司Beta!$B$8</definedName>
    <definedName name="nmS2_HisQuoteStart">[21]单公司Beta!$A$43</definedName>
    <definedName name="nmS2_InputStock">[21]单公司Beta!$B$5</definedName>
    <definedName name="nmS2_MarketD">[21]单公司Beta!$D$26</definedName>
    <definedName name="nmS2_MarketE">[21]单公司Beta!$E$26</definedName>
    <definedName name="nmS2_PointCount">[21]单公司Beta!$B$18</definedName>
    <definedName name="nmS2_rDate1">[21]单公司Beta!$B$22</definedName>
    <definedName name="nmS2_TaxRate">[21]单公司Beta!$D$7</definedName>
    <definedName name="nmS2_ULBetaBV">[21]单公司Beta!$B$13</definedName>
    <definedName name="nmS2_ULBetaCustom">[21]单公司Beta!$B$15</definedName>
    <definedName name="nmS2_ULBetaMV">[21]单公司Beta!$B$14</definedName>
    <definedName name="nmS6_IndexMatrix">[51]Cache!$D$1:$E$16</definedName>
    <definedName name="nmS6_IndexName">[51]Cache!$D$1:$D$16</definedName>
    <definedName name="NO_YEARS">[5]Summary!#REF!</definedName>
    <definedName name="nominal_Long_run_growth">[8]复杂FCFF!#REF!</definedName>
    <definedName name="NONLEAP">#REF!</definedName>
    <definedName name="OBS">'[30]No. of passengers carried(1)'!$B$11:$C$122</definedName>
    <definedName name="om1Y">OFFSET(#REF!,COUNTA(#REF!)-21,0,20)</definedName>
    <definedName name="om3m">OFFSET(#REF!,COUNTA(#REF!)-21,0,20)</definedName>
    <definedName name="om3Y">OFFSET(#REF!,COUNTA(#REF!)-21,0,20)</definedName>
    <definedName name="om6mrepo">OFFSET(#REF!,COUNTA(#REF!)-21,0,20)</definedName>
    <definedName name="om7d">OFFSET(#REF!,COUNTA(#REF!)-21,0,20)</definedName>
    <definedName name="omdate">OFFSET(#REF!,COUNTA(#REF!)-21,0,20)</definedName>
    <definedName name="omvoldate">OFFSET(#REF!,COUNTA(#REF!)-28,0,28)</definedName>
    <definedName name="omvolmature">OFFSET(#REF!,COUNTA(#REF!)-28,0,28)</definedName>
    <definedName name="omvolnet">OFFSET(#REF!,COUNTA(#REF!)-28,0,28)</definedName>
    <definedName name="OutputBalanceSheet">[17]输出!$B$61</definedName>
    <definedName name="OutputCashFlowStatement">[17]输出!$B$37</definedName>
    <definedName name="OutputIncomeStatement">[17]输出!$B$5</definedName>
    <definedName name="OutputInterestSheet">[17]输出!$B$5</definedName>
    <definedName name="OutputKeyAssumptions">[17]输出!$I$5</definedName>
    <definedName name="OutputRatios">[17]输出!$B$88</definedName>
    <definedName name="page1">#REF!</definedName>
    <definedName name="page2">#REF!</definedName>
    <definedName name="pai">#REF!</definedName>
    <definedName name="papercws1">IF(#REF!,#REF!,0)</definedName>
    <definedName name="papercws2">IF(#REF!,#REF!,0)</definedName>
    <definedName name="papercws3">IF(#REF!,#REF!,0)</definedName>
    <definedName name="papercws4">IF(#REF!,#REF!,0)</definedName>
    <definedName name="papercws5">IF(#REF!,#REF!,0)</definedName>
    <definedName name="PB">OFFSET([47]市场表现_4!$O$2,0,0,[47]市场表现_4!$L$1,1)</definedName>
    <definedName name="pco">#REF!</definedName>
    <definedName name="pdp">#REF!</definedName>
    <definedName name="peb">#REF!</definedName>
    <definedName name="pei">#REF!</definedName>
    <definedName name="PeriodGrowth">[6]绝对估值!$C$5</definedName>
    <definedName name="pet">#REF!</definedName>
    <definedName name="pfx">#REF!</definedName>
    <definedName name="pga">#REF!</definedName>
    <definedName name="pgp">#REF!</definedName>
    <definedName name="pie">#REF!</definedName>
    <definedName name="pii">#REF!</definedName>
    <definedName name="pin">#REF!</definedName>
    <definedName name="pmi">#REF!</definedName>
    <definedName name="pmp">#REF!</definedName>
    <definedName name="pname">[23]Cover!$C$13</definedName>
    <definedName name="pnp">#REF!</definedName>
    <definedName name="poi">#REF!</definedName>
    <definedName name="pop">#REF!</definedName>
    <definedName name="ppr">#REF!</definedName>
    <definedName name="ppt">#REF!</definedName>
    <definedName name="PR">[52]公司说明!#REF!</definedName>
    <definedName name="pre">#REF!</definedName>
    <definedName name="prevreclist">#REF!</definedName>
    <definedName name="prevtarget">#REF!</definedName>
    <definedName name="price">#REF!</definedName>
    <definedName name="_xlnm.Print_Area">#REF!</definedName>
    <definedName name="Print_Area_MI">#REF!</definedName>
    <definedName name="Print1">#REF!</definedName>
    <definedName name="PrintZone">[7]Layout!$A$1:$T$86,[7]Layout!$U$87:$AN$176</definedName>
    <definedName name="profit_qtcwfy">[45]利润表!$A$10</definedName>
    <definedName name="profit_tbeps">[45]利润表!$A$27</definedName>
    <definedName name="profit_yffy">[53]利润表!#REF!</definedName>
    <definedName name="profit_yysr">[45]利润表!$A$2</definedName>
    <definedName name="profit_zcjzss">[45]利润表!$A$11</definedName>
    <definedName name="proj">[54]user!$B$2</definedName>
    <definedName name="project">#REF!</definedName>
    <definedName name="ProjectName">{"Client Name or Project Name"}</definedName>
    <definedName name="pse">#REF!</definedName>
    <definedName name="pta">#REF!</definedName>
    <definedName name="pto">#REF!</definedName>
    <definedName name="PUB_FileID" hidden="1">"L10003363.xls"</definedName>
    <definedName name="PUB_UserID" hidden="1">"MAYERX"</definedName>
    <definedName name="Publication">#REF!</definedName>
    <definedName name="Q">#REF!</definedName>
    <definedName name="quote122000">OFFSET(cortop,corstart-1,1,corend-corstart+1)</definedName>
    <definedName name="quote122001">OFFSET(cortop,corstart-1,3,corend-corstart+1)</definedName>
    <definedName name="quote122002">OFFSET(cortop,corstart-1,5,corend-corstart+1)</definedName>
    <definedName name="quote122003">OFFSET(cortop,corstart-1,7,corend-corstart+1)</definedName>
    <definedName name="quote122004">OFFSET(cortop,corstart-1,9,corend-corstart+1)</definedName>
    <definedName name="quote122005">OFFSET(cortop,corstart-1,11,corend-corstart+1)</definedName>
    <definedName name="quote122006">OFFSET(cortop,corstart-1,13,corend-corstart+1)</definedName>
    <definedName name="quote122007">OFFSET(cortop,corstart-1,15,corend-corstart+1)</definedName>
    <definedName name="quote122008">OFFSET(cortop,corstart-1,19,corend-corstart+1)</definedName>
    <definedName name="quote122009">#N/A</definedName>
    <definedName name="quote122012">#N/A</definedName>
    <definedName name="rad">#REF!</definedName>
    <definedName name="RANGE1">#REF!</definedName>
    <definedName name="Raw_percent">#REF!</definedName>
    <definedName name="rce">#REF!</definedName>
    <definedName name="rcr">#REF!</definedName>
    <definedName name="rde">#REF!</definedName>
    <definedName name="Real_Rate">[52]复杂FCFF!#REF!</definedName>
    <definedName name="RecList">[22]GEMiner!$O$11:$O$14</definedName>
    <definedName name="Recomm">#REF!</definedName>
    <definedName name="recommendation">#REF!</definedName>
    <definedName name="REG">[55]隐含折现率!$B$3:$K$27</definedName>
    <definedName name="repoamount">OFFSET(#REF!,COUNTA(#REF!)-121,0,120)</definedName>
    <definedName name="repodate">OFFSET(#REF!,COUNTA(#REF!)-121,0,120)</definedName>
    <definedName name="reporate">OFFSET(#REF!,COUNTA(#REF!)-121,0,120)</definedName>
    <definedName name="RepType">[6]首页!$C$11</definedName>
    <definedName name="rev">#REF!</definedName>
    <definedName name="REVIEWRATE">[56]REVIEWRATE!$A$2:$H$68</definedName>
    <definedName name="Revision">#REF!</definedName>
    <definedName name="RF">[52]复杂FCFF!#REF!</definedName>
    <definedName name="rfa">#REF!</definedName>
    <definedName name="rfs">#REF!</definedName>
    <definedName name="risk_free_rate">[52]复杂FCFF!#REF!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100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RM">[52]复杂FCFF!#REF!</definedName>
    <definedName name="rnf">#REF!</definedName>
    <definedName name="rns">#REF!</definedName>
    <definedName name="rot">#REF!</definedName>
    <definedName name="rre">#REF!</definedName>
    <definedName name="rus">#REF!</definedName>
    <definedName name="rwc">#REF!</definedName>
    <definedName name="rwt">#REF!</definedName>
    <definedName name="sad">#REF!</definedName>
    <definedName name="saf">#REF!</definedName>
    <definedName name="sal">#REF!</definedName>
    <definedName name="sas">#REF!</definedName>
    <definedName name="season">'[28]PE-Band(港股)'!$D$29:$D$274</definedName>
    <definedName name="segment">{"Client Name or Project Name"}</definedName>
    <definedName name="selectDate">OFFSET(top,start-1,0,end-start+1)</definedName>
    <definedName name="selectNum115001">OFFSET(top,start-1,15,end-start+1)</definedName>
    <definedName name="selectNum115002">OFFSET(top,start-1,16,end-start+1)</definedName>
    <definedName name="selectNum115003">OFFSET(top,start-1,17,end-start+1)</definedName>
    <definedName name="selectNum126001">OFFSET(top,start-1,1,end-start+1)</definedName>
    <definedName name="selectNum126002">OFFSET(top,start-1,2,end-start+1)</definedName>
    <definedName name="selectNum126003">OFFSET(top,start-1,3,end-start+1)</definedName>
    <definedName name="selectNum126005">OFFSET(top,start-1,4,end-start+1)</definedName>
    <definedName name="selectNum126006">OFFSET(top,start-1,5,end-start+1)</definedName>
    <definedName name="selectNum126007">OFFSET(top,start-1,6,end-start+1)</definedName>
    <definedName name="selectNum126008">OFFSET(top,start-1,7,end-start+1)</definedName>
    <definedName name="selectNum126009">OFFSET(top,start-1,8,end-start+1)</definedName>
    <definedName name="selectNum126010">OFFSET(top,start-1,9,end-start+1)</definedName>
    <definedName name="selectNum126011">OFFSET(top,start-1,10,end-start+1)</definedName>
    <definedName name="selectNum126012">OFFSET(top,start-1,11,end-start+1)</definedName>
    <definedName name="selectNum126013">OFFSET(top,start-1,12,end-start+1)</definedName>
    <definedName name="selectNum126014">OFFSET(top,start-1,13,end-start+1)</definedName>
    <definedName name="selectNum126015">OFFSET(top,start-1,14,end-start+1)</definedName>
    <definedName name="selectNum126016">#N/A</definedName>
    <definedName name="selectNum126017">#N/A</definedName>
    <definedName name="selectNum126018">OFFSET(top,start-1,20,end-start+1)</definedName>
    <definedName name="Shaanxi">#REF!</definedName>
    <definedName name="Share_price">#REF!</definedName>
    <definedName name="SharePrice">[52]复杂FCFF!#REF!</definedName>
    <definedName name="shibor_rg">OFFSET(#REF!,0,0,COUNTA(#REF!)-1,9)</definedName>
    <definedName name="shiborirsyieldcurve_rg">OFFSET(#REF!,0,0,COUNTA(#REF!),10)</definedName>
    <definedName name="ShortBorrowRate">[6]筹资!$B$7</definedName>
    <definedName name="shuangjiaopaper1">IF(#REF!,#REF!,0)</definedName>
    <definedName name="shuangjiaopaper2">IF(#REF!,#REF!,0)</definedName>
    <definedName name="shuangjiaopaper3">IF(#REF!,#REF!,0)</definedName>
    <definedName name="shuangjiaopaper4">IF(#REF!,#REF!,0)</definedName>
    <definedName name="shuangjiaopaper5">IF(#REF!,#REF!,0)</definedName>
    <definedName name="Sichuan">#REF!</definedName>
    <definedName name="spread115001">OFFSET(warcortop,warcorstart-1,15,warcorend-warcorstart+1)</definedName>
    <definedName name="spread115002">OFFSET(warcortop,warcorstart-1,16,warcorend-warcorstart+1)</definedName>
    <definedName name="spread115003">OFFSET(warcortop,warcorstart-1,17,warcorend-warcorstart+1)</definedName>
    <definedName name="spread126001">OFFSET(warcortop,warcorstart-1,1,warcorend-warcorstart+1)</definedName>
    <definedName name="spread126002">OFFSET(warcortop,warcorstart-1,2,warcorend-warcorstart+1)</definedName>
    <definedName name="spread126003">OFFSET(warcortop,warcorstart-1,3,warcorend-warcorstart+1)</definedName>
    <definedName name="spread126005">OFFSET(warcortop,warcorstart-1,4,warcorend-warcorstart+1)</definedName>
    <definedName name="spread126006">OFFSET(warcortop,warcorstart-1,5,warcorend-warcorstart+1)</definedName>
    <definedName name="spread126007">OFFSET(warcortop,warcorstart-1,6,warcorend-warcorstart+1)</definedName>
    <definedName name="spread126008">OFFSET(warcortop,warcorstart-1,7,warcorend-warcorstart+1)</definedName>
    <definedName name="spread126009">OFFSET(warcortop,warcorstart-1,8,warcorend-warcorstart+1)</definedName>
    <definedName name="spread126010">OFFSET(warcortop,warcorstart-1,9,warcorend-warcorstart+1)</definedName>
    <definedName name="spread126011">OFFSET(warcortop,warcorstart-1,10,warcorend-warcorstart+1)</definedName>
    <definedName name="spread126012">OFFSET(warcortop,warcorstart-1,11,warcorend-warcorstart+1)</definedName>
    <definedName name="spread126013">OFFSET(warcortop,warcorstart-1,12,warcorend-warcorstart+1)</definedName>
    <definedName name="spread126014">OFFSET(warcortop,warcorstart-1,13,warcorend-warcorstart+1)</definedName>
    <definedName name="spread126015">OFFSET(warcortop,warcorstart-1,14,warcorend-warcorstart+1)</definedName>
    <definedName name="sps">#REF!</definedName>
    <definedName name="sss">OFFSET(#REF!,0,#REF!,#REF!,1)</definedName>
    <definedName name="start">[34]分离债利率走势!$B$3</definedName>
    <definedName name="Stk_Price">#REF!</definedName>
    <definedName name="StockCode">[6]首页!$C$6</definedName>
    <definedName name="StockPrice">#REF!</definedName>
    <definedName name="sw">[16]复杂FCFF!#REF!</definedName>
    <definedName name="swa">#REF!</definedName>
    <definedName name="SwitchStock">#REF!</definedName>
    <definedName name="swl">#REF!</definedName>
    <definedName name="sws">#REF!</definedName>
    <definedName name="T_01">#REF!</definedName>
    <definedName name="T_07">[57]SWIndex!$A$1:$D$20</definedName>
    <definedName name="T_21">[57]T_21!$A$1:$B$1228</definedName>
    <definedName name="T_Dis">16%</definedName>
    <definedName name="T_growth">6%</definedName>
    <definedName name="Target_D_DE">[52]复杂FCFF!#REF!</definedName>
    <definedName name="Target_DE">[52]复杂FCFF!#REF!</definedName>
    <definedName name="targetprice">#REF!</definedName>
    <definedName name="taxrate99">'[31]Consolidated Financials'!$O$44</definedName>
    <definedName name="tbyieldcurve_rg">OFFSET(#REF!,0,0,COUNTA(#REF!)-2,10)</definedName>
    <definedName name="tci">#REF!</definedName>
    <definedName name="tcs">#REF!</definedName>
    <definedName name="TD">#REF!</definedName>
    <definedName name="tev">#REF!</definedName>
    <definedName name="TextRefCopyRangeCount" hidden="1">4</definedName>
    <definedName name="tfc">#REF!</definedName>
    <definedName name="tfd">#REF!</definedName>
    <definedName name="tfo">#REF!</definedName>
    <definedName name="tfr">#REF!</definedName>
    <definedName name="ThisEndYear">2016</definedName>
    <definedName name="ThisEstiDate">42831</definedName>
    <definedName name="ThisEstNum">2</definedName>
    <definedName name="ThisHasNew">"否"</definedName>
    <definedName name="ThisReportList">"2012;2013;2014;2015;2016"</definedName>
    <definedName name="ThisStYear">2012</definedName>
    <definedName name="ThisTransitionYear">10</definedName>
    <definedName name="ThisWindCode">"300616.SZ"</definedName>
    <definedName name="time">OFFSET([47]宏观数据!$H$10,1,[47]图表辅助!$A$2*2-1,[47]图表辅助!$C$2,1)</definedName>
    <definedName name="timeseries">'[26]PE-Band(港股)'!$D$29:$D$274</definedName>
    <definedName name="tin">#REF!</definedName>
    <definedName name="title">'[58]#REF'!#REF!</definedName>
    <definedName name="title.balancesheet">#REF!</definedName>
    <definedName name="title.businessbackground">#REF!</definedName>
    <definedName name="title.capitalhistory">#REF!</definedName>
    <definedName name="title.cashflow">#REF!</definedName>
    <definedName name="title.comments">#REF!</definedName>
    <definedName name="title.dividenddata">#REF!</definedName>
    <definedName name="title.expansionplans">#REF!</definedName>
    <definedName name="title.forecastandratings">#REF!</definedName>
    <definedName name="title.mainpoints">#REF!</definedName>
    <definedName name="title.majorshareholders">#REF!</definedName>
    <definedName name="title.miscellaneous">#REF!</definedName>
    <definedName name="title.outlook">#REF!</definedName>
    <definedName name="title.pricechart">#REF!</definedName>
    <definedName name="title.profitbreakdown">#REF!</definedName>
    <definedName name="title.profitforecasts">#REF!</definedName>
    <definedName name="title.ratioanalysis">#REF!</definedName>
    <definedName name="title.sharedata">#REF!</definedName>
    <definedName name="title.subsiaries">#REF!</definedName>
    <definedName name="tnd">#REF!</definedName>
    <definedName name="tongbanpapercws1">IF(#REF!,#REF!,0)</definedName>
    <definedName name="tongbanpapercws2">IF(#REF!,#REF!,0)</definedName>
    <definedName name="tongbanpapercws3">IF(#REF!,#REF!,0)</definedName>
    <definedName name="tongbanpapercws4">IF(#REF!,#REF!,0)</definedName>
    <definedName name="tongbanpapercws5">IF(#REF!,#REF!,0)</definedName>
    <definedName name="top">[34]分离债利率走势!$D$3</definedName>
    <definedName name="Total_Value_to_Equity_Claims">[52]复杂FCFF!#REF!</definedName>
    <definedName name="trade112001">OFFSET(cortop,corstart-1,17,corend-corstart+1)</definedName>
    <definedName name="trade112002">OFFSET(cortop,corstart-1,18,corend-corstart+1)</definedName>
    <definedName name="trade122000">OFFSET(cortop,corstart-1,2,corend-corstart+1)</definedName>
    <definedName name="trade122001">OFFSET(cortop,corstart-1,4,corend-corstart+1)</definedName>
    <definedName name="trade122002">OFFSET(cortop,corstart-1,6,corend-corstart+1)</definedName>
    <definedName name="trade122003">OFFSET(cortop,corstart-1,8,corend-corstart+1)</definedName>
    <definedName name="trade122004">OFFSET(cortop,corstart-1,10,corend-corstart+1)</definedName>
    <definedName name="trade122005">OFFSET(cortop,corstart-1,12,corend-corstart+1)</definedName>
    <definedName name="trade122006">OFFSET(cortop,corstart-1,14,corend-corstart+1)</definedName>
    <definedName name="trade122007">OFFSET(cortop,corstart-1,16,corend-corstart+1)</definedName>
    <definedName name="trade122008">OFFSET(cortop,corstart-1,16,corend-corstart+1)</definedName>
    <definedName name="trade122009">#N/A</definedName>
    <definedName name="trade122012">#N/A</definedName>
    <definedName name="tre">#REF!</definedName>
    <definedName name="TRX">#REF!</definedName>
    <definedName name="TV">[5]Summary!#REF!</definedName>
    <definedName name="TV_METH">[5]Summary!$H$17</definedName>
    <definedName name="TV_METH1">[5]Summary!$D$20</definedName>
    <definedName name="TV_METH2">[5]Summary!$D$21</definedName>
    <definedName name="TV_METH3">[5]Summary!$D$22</definedName>
    <definedName name="TV_METH4">[5]Summary!#REF!</definedName>
    <definedName name="TV_METH5">[5]Summary!$D$23</definedName>
    <definedName name="TVMETH1">[5]Summary!$D$20</definedName>
    <definedName name="TVMETH2">[5]Summary!$D$21</definedName>
    <definedName name="TVMETH3">[5]Summary!#REF!</definedName>
    <definedName name="Tx_Rate">16%</definedName>
    <definedName name="unit">10000</definedName>
    <definedName name="unit_1">1000000</definedName>
    <definedName name="unit_2">10000</definedName>
    <definedName name="UNITS">'[30]No. of passengers carried(1)'!$B$9:$C$9</definedName>
    <definedName name="usyieldcurve_rg">OFFSET(#REF!,0,0,COUNTA(#REF!),7)</definedName>
    <definedName name="vae">#REF!</definedName>
    <definedName name="Value_date">[52]复杂FCFF!#REF!</definedName>
    <definedName name="Value_of_Core_Operations">#REF!</definedName>
    <definedName name="Vat">#REF!</definedName>
    <definedName name="vay">#REF!</definedName>
    <definedName name="vbv">#REF!</definedName>
    <definedName name="vcf">#REF!</definedName>
    <definedName name="vdp">#REF!</definedName>
    <definedName name="veb">#REF!</definedName>
    <definedName name="veg">#REF!</definedName>
    <definedName name="vep">#REF!</definedName>
    <definedName name="vev">#REF!</definedName>
    <definedName name="vey">#REF!</definedName>
    <definedName name="vfa">#REF!</definedName>
    <definedName name="via">#REF!</definedName>
    <definedName name="vio">#REF!</definedName>
    <definedName name="vmonth">#REF!</definedName>
    <definedName name="vmv">#REF!</definedName>
    <definedName name="vnd">#REF!</definedName>
    <definedName name="vpx">#REF!</definedName>
    <definedName name="vrn">#REF!</definedName>
    <definedName name="vsp">#REF!</definedName>
    <definedName name="vva">#REF!</definedName>
    <definedName name="W">#REF!</definedName>
    <definedName name="WACC">[46]简单FCFF!$C$7</definedName>
    <definedName name="warcordate">OFFSET(warcortop,warcorstart-1,0,warcorend-warcorstart+1)</definedName>
    <definedName name="warcorend">[34]分离债利差走势!$B$5</definedName>
    <definedName name="warcorindex">OFFSET(warcortop,warcorstart-1,23,warcorend-warcorstart+1)</definedName>
    <definedName name="warcorstart">[34]分离债利差走势!$B$3</definedName>
    <definedName name="warcortop">[34]分离债利差走势!$D$5</definedName>
    <definedName name="wordWarrantsConvs">[59]SMR!#REF!</definedName>
    <definedName name="ww">[16]复杂FCFF!#REF!</definedName>
    <definedName name="xdate">OFFSET(#REF!,0,#REF!-1,#REF!,1)</definedName>
    <definedName name="xdate_2">OFFSET([60]基本金属!$A$24,0,[60]基本金属!$Z$6+1,[60]基本金属!$Z$9,1)</definedName>
    <definedName name="xdate_3M">OFFSET([60]基本金属期货!$A$40,0,[60]基本金属期货!$AA$6+1,[60]基本金属期货!$AA$9,1)</definedName>
    <definedName name="xdate1">OFFSET(#REF!,0,#REF!-1,#REF!,1)</definedName>
    <definedName name="xer">#REF!</definedName>
    <definedName name="xfx">#REF!</definedName>
    <definedName name="Xinjiang">#REF!</definedName>
    <definedName name="xitem">#REF!</definedName>
    <definedName name="xjll_xhdk">[21]现金流量!#REF!</definedName>
    <definedName name="xjll_xhdklj">[21]现金流量!#REF!</definedName>
    <definedName name="XLS">#REF!</definedName>
    <definedName name="xname">OFFSET(#REF!,0,#REF!,1,1)</definedName>
    <definedName name="xname_2">OFFSET([60]基本金属!$A$23,0,[60]基本金属!$Z$6+2,1,1)</definedName>
    <definedName name="xname_3M">OFFSET([60]基本金属期货!$A$39,0,[60]基本金属期货!$AA$6+2,1,1)</definedName>
    <definedName name="xoe">#REF!</definedName>
    <definedName name="xpr">#REF!</definedName>
    <definedName name="xprice">OFFSET(#REF!,0,#REF!,#REF!,1)</definedName>
    <definedName name="xprice_2">OFFSET([60]基本金属!$A$24,0,[60]基本金属!$Z$6+2,[60]基本金属!$Z$9,1)</definedName>
    <definedName name="xprice_3M">OFFSET([60]基本金属期货!$A$40,0,[60]基本金属期货!$AA$6+2,[60]基本金属期货!$AA$9,1)</definedName>
    <definedName name="xprice1">OFFSET(#REF!,0,#REF!,#REF!,1)</definedName>
    <definedName name="xunits">#REF!</definedName>
    <definedName name="xx">'[50]跟踪表（明细表）'!$H$1</definedName>
    <definedName name="xxExport">#REF!</definedName>
    <definedName name="xxForecast">#REF!</definedName>
    <definedName name="year">'[28]PE-Band(港股)'!$G$29:$G$274</definedName>
    <definedName name="year_end">"June"</definedName>
    <definedName name="yrendlist">#REF!</definedName>
    <definedName name="zbtz_gdzcczl">[21]资本投资!$B$3</definedName>
    <definedName name="zbtz_gdzcjjl">[21]资本投资!$B$4</definedName>
    <definedName name="zbtz_qccqdtfy">[21]资本投资!#REF!</definedName>
    <definedName name="zbtz_qcwxzc">[21]资本投资!#REF!</definedName>
    <definedName name="zbtz_xjgdzczjl">[21]资本投资!$B$5</definedName>
    <definedName name="zcfz_gsmgsqyhj">[45]资产负债!$A$65</definedName>
    <definedName name="zcfz_yqzc">[21]资产负债!#REF!</definedName>
    <definedName name="zhu">'[28]PE-Band(港股)'!$J$29:$J$274</definedName>
    <definedName name="阿萨发">#REF!</definedName>
    <definedName name="阿萨发士大夫">[16]复杂FCFF!#REF!</definedName>
    <definedName name="阿三">[16]复杂FCFF!#REF!</definedName>
    <definedName name="阿三的">[16]复杂FCFF!#REF!</definedName>
    <definedName name="阿瑟东">[16]复杂FCFF!#REF!</definedName>
    <definedName name="啊">OFFSET([61]指数!$J$11:$N$255,0,3,交易天数1015,1)</definedName>
    <definedName name="啊啊">[16]复杂FCFF!#REF!</definedName>
    <definedName name="啊啊啊">OFFSET(#REF!,0,#REF!,#REF!,1)</definedName>
    <definedName name="啊啊啊啊">[16]复杂FCFF!#REF!</definedName>
    <definedName name="啊大">[16]复杂FCFF!#REF!</definedName>
    <definedName name="啊的">[16]复杂FCFF!#REF!</definedName>
    <definedName name="爱的">[16]复杂FCFF!#REF!</definedName>
    <definedName name="安德森">#REF!</definedName>
    <definedName name="安抚">[16]复杂FCFF!#REF!</definedName>
    <definedName name="本期新增固定资产原值">[17]资产负债!$H$152</definedName>
    <definedName name="博汇纸业">'[39]PE-Band(港股)'!$K$29:$K$1040</definedName>
    <definedName name="财务">OFFSET(#REF!,0,#REF!-1,#REF!,1)</definedName>
    <definedName name="财务年度">IF('[62]图表输出-各种增长率对比图表'!$G$3=1,'[62]图表输出-各种增长率对比图表'!$B$2:$F$2,'[62]图表输出-各种增长率对比图表'!$D$2:$F$2)</definedName>
    <definedName name="产能情况">'[63]PE-Band(港股)'!$I$29:$I$274</definedName>
    <definedName name="超出市场">[16]复杂FCFF!#REF!</definedName>
    <definedName name="船型">[64]分船型月度跟踪!$A$4</definedName>
    <definedName name="大多数">#REF!</definedName>
    <definedName name="大幅">[16]复杂FCFF!#REF!</definedName>
    <definedName name="大概">[16]复杂FCFF!#REF!</definedName>
    <definedName name="单公司报告期">[51]Cache!$A$1:$A$4</definedName>
    <definedName name="地方给">#REF!</definedName>
    <definedName name="的身份">[16]复杂FCFF!#REF!</definedName>
    <definedName name="等等">#REF!</definedName>
    <definedName name="第三个">[16]复杂FCFF!#REF!</definedName>
    <definedName name="第三个使得">#REF!</definedName>
    <definedName name="动态PE">OFFSET([47]市场表现_4!$N$2,0,0,[47]市场表现_4!$L$1,1)</definedName>
    <definedName name="都是概述">[16]复杂FCFF!#REF!</definedName>
    <definedName name="犯得上">[16]复杂FCFF!#REF!</definedName>
    <definedName name="梵蒂冈">[16]复杂FCFF!#REF!</definedName>
    <definedName name="放到">[16]复杂FCFF!#REF!</definedName>
    <definedName name="分析">OFFSET(#REF!,0,#REF!,#REF!,1)</definedName>
    <definedName name="风格指数1015">OFFSET([61]指数!$J$11:$N$255,0,3,交易天数1015,1)</definedName>
    <definedName name="封闭式基金">[9]CHART!$B$99</definedName>
    <definedName name="浮动利率金融债指数">OFFSET(#REF!,COUNTA(#REF!)-20,0,20)</definedName>
    <definedName name="高6">#REF!</definedName>
    <definedName name="个股收益率1015">OFFSET([61]指数!$J$11:$N$255,0,1,交易天数1015,1)</definedName>
    <definedName name="个股收益率1016">OFFSET([61]个股资料!$Q$15:$S$264,0,1,COUNTIF([61]个股资料!$Q$15:$Q$264,"&gt;0"),1)</definedName>
    <definedName name="给">[16]复杂FCFF!#REF!</definedName>
    <definedName name="估值轻工">OFFSET(#REF!,0,#REF!-1,#REF!,1)</definedName>
    <definedName name="股票简称">OFFSET([47]市场表现_4!$M$2,0,0,[47]市场表现_4!$L$1,1)</definedName>
    <definedName name="固定利率金融债指数">OFFSET(#REF!,COUNTA(#REF!)-20,0,20)</definedName>
    <definedName name="国债指数">[9]CHART!$M$99</definedName>
    <definedName name="韩国超额增长率">OFFSET([65]韩国!$GJ$5:$GJ$228,0,0,COUNTIF([65]韩国!$GJ$5:$GJ$229,"&lt;&gt;-1"),1)</definedName>
    <definedName name="韩国横坐标20060610">OFFSET([65]韩国!$GG$5:$GG$228,0,0,COUNTIF([65]韩国!$GG$5:$GG$229,"&gt;0"),1)</definedName>
    <definedName name="韩国系列1">OFFSET([65]韩国!$GH$5:$GH$228,0,0,COUNTIF([65]韩国!$GH$5:$GH$229,"&lt;&gt;-1"),1)</definedName>
    <definedName name="韩国系列2">OFFSET([65]韩国!$GI$5:$GI$228,0,0,COUNTIF([65]韩国!$GI$5:$GI$229,"&lt;&gt;-1"),1)</definedName>
    <definedName name="合计发行量">[9]CHART!$G$116</definedName>
    <definedName name="横坐标20060610">OFFSET(#REF!,0,0,COUNTIF(#REF!,"&gt;0"),1)</definedName>
    <definedName name="横坐标日期1015">OFFSET([61]指数!$J$11:$N$255,0,0,交易天数1015,1)</definedName>
    <definedName name="横坐标日期1016">OFFSET([61]个股资料!$Q$15:$S$264,0,0,COUNTIF([61]个股资料!$Q$15:$Q$264,"&gt;0"),1)</definedName>
    <definedName name="横坐标日期1208">OFFSET([61]指数!$S$11:$W$255,0,0,COUNTIF([61]指数!$S$11:$S$255,"&gt;0"),1)</definedName>
    <definedName name="回来吧">OFFSET(#REF!,0,#REF!-1,#REF!,1)</definedName>
    <definedName name="货币回笼">[9]CHART!$B$116</definedName>
    <definedName name="季度">'[28]PE-Band(港股)'!$J$29:$J$274</definedName>
    <definedName name="季度1">'[28]PE-Band(港股)'!$K$29:$K$274</definedName>
    <definedName name="季度2">'[28]PE-Band(港股)'!$E$29:$E$274</definedName>
    <definedName name="交易所国债指数">OFFSET(#REF!,COUNTA(#REF!)-20,0,20)</definedName>
    <definedName name="交易所企业债指数">OFFSET(#REF!,COUNTA(#REF!)-20,0,20)</definedName>
    <definedName name="交易天数1015">COUNTIF([61]指数!$J$11:$J$255,"&gt;0")</definedName>
    <definedName name="理文纸业">'[39]PE-Band(港股)'!$I$29:$I$1040</definedName>
    <definedName name="历史估值">'[66]PE-Band(港股)'!$G$29:$G$274</definedName>
    <definedName name="历史估值1">'[67]PE-Band(港股)'!$J$29:$J$274</definedName>
    <definedName name="美废行情_新">#REF!</definedName>
    <definedName name="嗯嗯">'[39]PE-Band(港股)'!$G$29:$G$1040</definedName>
    <definedName name="嗯嗯2">'[39]PE-Band(港股)'!$H$29:$H$1040</definedName>
    <definedName name="哦">OFFSET([61]指数!$J$11:$N$255,0,1,交易天数1015,1)</definedName>
    <definedName name="平均转股溢价率">[9]CHART!$G$99</definedName>
    <definedName name="轻工">IF(#REF!,#REF!,0)</definedName>
    <definedName name="驱动要素更新">[68]复杂FCFF!#REF!</definedName>
    <definedName name="驱动要素新">[68]复杂FCFF!#REF!</definedName>
    <definedName name="驱动要素最新">[68]复杂FCFF!#REF!</definedName>
    <definedName name="权证情况">[9]CHART!$M$116</definedName>
    <definedName name="日本超额增长">OFFSET(#REF!,0,0,133,1)</definedName>
    <definedName name="入库返回">入库返回</definedName>
    <definedName name="撒">[16]复杂FCFF!#REF!</definedName>
    <definedName name="撒旦">[16]公司说明!#REF!</definedName>
    <definedName name="撒旦啊">[16]复杂FCFF!#REF!</definedName>
    <definedName name="飒飒的">[16]复杂FCFF!#REF!</definedName>
    <definedName name="三个是德国">[16]复杂FCFF!#REF!</definedName>
    <definedName name="山鹰纸业">'[39]PE-Band(港股)'!$J$29:$J$1040</definedName>
    <definedName name="上的擦拭">[16]复杂FCFF!#REF!</definedName>
    <definedName name="上证指数1015">OFFSET([61]指数!$J$11:$N$255,0,4,交易天数1015,1)</definedName>
    <definedName name="上证指数1016">OFFSET([61]个股资料!$Q$15:$S$264,0,2,COUNTIF([61]个股资料!$Q$15:$Q$264,"&gt;0"),1)</definedName>
    <definedName name="上证综合指数">[9]CHART!$A$16</definedName>
    <definedName name="上证综合指数数据">[9]市场表现!$B$1</definedName>
    <definedName name="申万特征指数">[9]CHART!$G$32</definedName>
    <definedName name="申万一级行业">[9]CHART!$A$32</definedName>
    <definedName name="申万重点公司市盈率">[9]CHART!$G$65</definedName>
    <definedName name="申万重点公司预测利润增速">[9]CHART!$A$65</definedName>
    <definedName name="使得啊">[16]复杂FCFF!#REF!</definedName>
    <definedName name="士大夫">[16]复杂FCFF!#REF!</definedName>
    <definedName name="是的">[16]复杂FCFF!#REF!</definedName>
    <definedName name="是否">[16]复杂FCFF!#REF!</definedName>
    <definedName name="是是">[16]复杂FCFF!#REF!</definedName>
    <definedName name="手动阀">[16]复杂FCFF!#REF!</definedName>
    <definedName name="双脚">[16]复杂FCFF!#REF!</definedName>
    <definedName name="顺丰大概啊">[16]公司说明!#REF!</definedName>
    <definedName name="说该做的事">#REF!</definedName>
    <definedName name="宋体">#REF!</definedName>
    <definedName name="虽然很痛">[16]复杂FCFF!#REF!</definedName>
    <definedName name="台湾超额增长">OFFSET([65]台湾!$GI$5:$GI$229,0,0,COUNTIF([65]台湾!$GI$5:$GI$229,"&lt;&gt;-1"),1)</definedName>
    <definedName name="台湾横坐标20060611">OFFSET([65]台湾!$GF$5:$GF$229,0,0,COUNTIF([65]台湾!$GF$5:$GF$229,"&gt;0"),1)</definedName>
    <definedName name="台湾系列1">OFFSET([65]台湾!$GG$5:$GG$229,0,0,COUNTIF([65]台湾!$GG$5:$GG$229,"&lt;&gt;-1"),1)</definedName>
    <definedName name="台湾系列2">OFFSET([65]台湾!$GH$5:$GH$229,0,0,COUNTIF([65]台湾!$GH$5:$GH$229,"&lt;&gt;-1"),1)</definedName>
    <definedName name="太阳纸业">'[39]PE-Band(港股)'!$E$29:$E$1040</definedName>
    <definedName name="我的">#REF!</definedName>
    <definedName name="我我我我">OFFSET(#REF!,0,#REF!,1,1)</definedName>
    <definedName name="呜呜呜">OFFSET(#REF!,0,#REF!-1,#REF!,1)</definedName>
    <definedName name="系列a20060610">OFFSET(#REF!,0,0,COUNTIF(#REF!,"&lt;&gt;-1"),1)</definedName>
    <definedName name="系列b20060610">OFFSET(#REF!,0,0,COUNTIF(#REF!,"&lt;&gt;-1"),1)</definedName>
    <definedName name="香港国企指数">[9]CHART!$G$80</definedName>
    <definedName name="新半年度拆分">'[28]PE-Band(港股)'!$G$29:$G$274</definedName>
    <definedName name="新股上市首日平均涨幅">[9]CHART!$G$16</definedName>
    <definedName name="行业指数1015">OFFSET([61]指数!$J$11:$N$255,0,2,交易天数1015,1)</definedName>
    <definedName name="行业指数1收益率">OFFSET([61]指数!$S$11:$W$255,0,1,COUNTIF([61]指数!$S$11:$S$255,"&gt;0"),1)</definedName>
    <definedName name="行业指数1收益率1208">OFFSET([61]指数!$S$11:$W$255,0,1,COUNTIF([61]指数!$S$11:$S$255,"&gt;0"),1)</definedName>
    <definedName name="行业指数2收益率1208">OFFSET([61]指数!$S$11:$W$255,0,2,COUNTIF([61]指数!$S$11:$S$255,"&gt;0"),1)</definedName>
    <definedName name="行业指数3收益率1208">OFFSET([61]指数!$S$11:$W$255,0,3,COUNTIF([61]指数!$S$11:$S$255,"&gt;0"),1)</definedName>
    <definedName name="行业指数4收益率1208">OFFSET([61]指数!$S$11:$W$255,0,4,COUNTIF([61]指数!$S$11:$S$255,"&gt;0"),1)</definedName>
    <definedName name="叶华芷">'[28]PE-Band(港股)'!$D$29:$D$274</definedName>
    <definedName name="依托">[16]复杂FCFF!#REF!</definedName>
    <definedName name="银行间国债指数">OFFSET(#REF!,COUNTA(#REF!)-20,0,20)</definedName>
    <definedName name="银行间金融债指数">OFFSET(#REF!,COUNTA(#REF!)-20,0,20)</definedName>
    <definedName name="盈利">IF(#REF!,#REF!,0)</definedName>
    <definedName name="原始">OFFSET(#REF!,0,#REF!,#REF!,1)</definedName>
    <definedName name="指标2">IF('[62]图表输出-各种增长率对比图表'!$G$3=1,'[62]图表输出-各种增长率对比图表'!$M$7:$Q$7,'[62]图表输出-各种增长率对比图表'!$O$7:$Q$7)</definedName>
    <definedName name="指标3">IF('[62]图表输出-各种增长率对比图表'!$G$3=1,'[62]图表输出-各种增长率对比图表'!$M$8:$Q$8,'[62]图表输出-各种增长率对比图表'!$O$8:$Q$8)</definedName>
    <definedName name="指标4">IF('[62]图表输出-各种增长率对比图表'!$G$3=1,'[62]图表输出-各种增长率对比图表'!$M$44:$Q$44,'[62]图表输出-各种增长率对比图表'!$O$44:$Q$44)</definedName>
    <definedName name="指标5">IF('[62]图表输出-各种增长率对比图表'!$G$3=1,'[62]图表输出-各种增长率对比图表'!$M$45:$Q$45,'[62]图表输出-各种增长率对比图表'!$O$45:$Q$45)</definedName>
    <definedName name="指标6">IF('[62]图表输出-各种增长率对比图表'!$G$3=1,'[62]图表输出-各种增长率对比图表'!$M$46:$Q$46,'[62]图表输出-各种增长率对比图表'!$O$46:$Q$46)</definedName>
    <definedName name="指标7">IF('[62]图表输出-各种增长率对比图表'!$G$3=1,'[62]图表输出-各种增长率对比图表'!$M$82:$Q$82,'[62]图表输出-各种增长率对比图表'!$O$82:$Q$82)</definedName>
    <definedName name="指标8">IF('[62]图表输出-各种增长率对比图表'!$G$3=1,'[62]图表输出-各种增长率对比图表'!$M$83:$Q$83,'[62]图表输出-各种增长率对比图表'!$O$83:$Q$83)</definedName>
    <definedName name="指标9">IF('[62]图表输出-各种增长率对比图表'!$G$3=1,'[62]图表输出-各种增长率对比图表'!$M$84:$Q$84,'[62]图表输出-各种增长率对比图表'!$O$84:$Q$84)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Z9" i="1" l="1"/>
  <c r="BZ43" i="1"/>
  <c r="BZ45" i="1"/>
  <c r="BZ46" i="1"/>
  <c r="BZ58" i="1"/>
  <c r="BZ61" i="1"/>
  <c r="BZ63" i="1"/>
  <c r="BZ65" i="1"/>
  <c r="BZ74" i="1"/>
  <c r="BH4" i="2"/>
  <c r="BG4" i="2"/>
  <c r="BF297" i="2"/>
  <c r="BE297" i="2"/>
  <c r="BK258" i="2"/>
  <c r="BK128" i="2"/>
  <c r="BK112" i="2"/>
  <c r="BJ29" i="2"/>
  <c r="BJ263" i="2" s="1"/>
  <c r="BI29" i="2"/>
  <c r="BI263" i="2" s="1"/>
  <c r="BH29" i="2"/>
  <c r="BH263" i="2" s="1"/>
  <c r="BG29" i="2"/>
  <c r="BG263" i="2" s="1"/>
  <c r="BF29" i="2"/>
  <c r="BF263" i="2" s="1"/>
  <c r="BE29" i="2"/>
  <c r="BE263" i="2" s="1"/>
  <c r="BK4" i="2"/>
  <c r="BJ4" i="2"/>
  <c r="BI4" i="2"/>
  <c r="BF4" i="2"/>
  <c r="BE4" i="2"/>
  <c r="BK66" i="2" l="1"/>
  <c r="BY9" i="1" l="1"/>
  <c r="BY43" i="1"/>
  <c r="BY58" i="1" s="1"/>
  <c r="BY45" i="1"/>
  <c r="BY46" i="1"/>
  <c r="BY65" i="1"/>
  <c r="BY74" i="1"/>
  <c r="I62" i="28"/>
  <c r="I14" i="1" l="1"/>
  <c r="D14" i="1"/>
  <c r="BK13" i="1"/>
  <c r="BJ13" i="1"/>
  <c r="BI13" i="1"/>
  <c r="BH13" i="1"/>
  <c r="BG13" i="1"/>
  <c r="BF13" i="1"/>
  <c r="BD13" i="1"/>
  <c r="BC13" i="1"/>
  <c r="BB13" i="1"/>
  <c r="BA13" i="1"/>
  <c r="AZ13" i="1"/>
  <c r="AY13" i="1"/>
  <c r="AW13" i="1"/>
  <c r="AV13" i="1"/>
  <c r="AU13" i="1"/>
  <c r="AT13" i="1"/>
  <c r="AS13" i="1"/>
  <c r="AR13" i="1"/>
  <c r="AP13" i="1"/>
  <c r="AO13" i="1"/>
  <c r="AN13" i="1"/>
  <c r="AM13" i="1"/>
  <c r="AL13" i="1"/>
  <c r="AK13" i="1"/>
  <c r="AI13" i="1"/>
  <c r="AH13" i="1"/>
  <c r="AG13" i="1"/>
  <c r="AF13" i="1"/>
  <c r="AE13" i="1"/>
  <c r="AD13" i="1"/>
  <c r="AB13" i="1"/>
  <c r="AA13" i="1"/>
  <c r="Z13" i="1"/>
  <c r="Y13" i="1"/>
  <c r="X13" i="1"/>
  <c r="W13" i="1"/>
  <c r="U13" i="1"/>
  <c r="T13" i="1"/>
  <c r="S13" i="1"/>
  <c r="R13" i="1"/>
  <c r="Q13" i="1"/>
  <c r="P13" i="1"/>
  <c r="N13" i="1"/>
  <c r="M13" i="1"/>
  <c r="L13" i="1"/>
  <c r="K13" i="1"/>
  <c r="J13" i="1"/>
  <c r="I13" i="1"/>
  <c r="D13" i="1"/>
  <c r="BK12" i="1"/>
  <c r="BJ12" i="1"/>
  <c r="BI12" i="1"/>
  <c r="BH12" i="1"/>
  <c r="BG12" i="1"/>
  <c r="BF12" i="1"/>
  <c r="BD12" i="1"/>
  <c r="BC12" i="1"/>
  <c r="BB12" i="1"/>
  <c r="BA12" i="1"/>
  <c r="AZ12" i="1"/>
  <c r="AY12" i="1"/>
  <c r="AW12" i="1"/>
  <c r="AV12" i="1"/>
  <c r="AU12" i="1"/>
  <c r="AT12" i="1"/>
  <c r="AS12" i="1"/>
  <c r="AR12" i="1"/>
  <c r="AP12" i="1"/>
  <c r="AO12" i="1"/>
  <c r="AN12" i="1"/>
  <c r="AM12" i="1"/>
  <c r="AL12" i="1"/>
  <c r="AK12" i="1"/>
  <c r="AI12" i="1"/>
  <c r="AH12" i="1"/>
  <c r="AG12" i="1"/>
  <c r="AF12" i="1"/>
  <c r="AE12" i="1"/>
  <c r="AD12" i="1"/>
  <c r="AB12" i="1"/>
  <c r="AA12" i="1"/>
  <c r="Z12" i="1"/>
  <c r="Y12" i="1"/>
  <c r="X12" i="1"/>
  <c r="W12" i="1"/>
  <c r="U12" i="1"/>
  <c r="T12" i="1"/>
  <c r="S12" i="1"/>
  <c r="R12" i="1"/>
  <c r="Q12" i="1"/>
  <c r="P12" i="1"/>
  <c r="N12" i="1"/>
  <c r="M12" i="1"/>
  <c r="L12" i="1"/>
  <c r="K12" i="1"/>
  <c r="J12" i="1"/>
  <c r="I12" i="1"/>
  <c r="D12" i="1"/>
  <c r="BQ11" i="1"/>
  <c r="BK11" i="1"/>
  <c r="BJ11" i="1"/>
  <c r="BI11" i="1"/>
  <c r="BH11" i="1"/>
  <c r="BG11" i="1"/>
  <c r="BF11" i="1"/>
  <c r="BD11" i="1"/>
  <c r="BC11" i="1"/>
  <c r="BB11" i="1"/>
  <c r="BA11" i="1"/>
  <c r="AZ11" i="1"/>
  <c r="AY11" i="1"/>
  <c r="AW11" i="1"/>
  <c r="AV11" i="1"/>
  <c r="AU11" i="1"/>
  <c r="AT11" i="1"/>
  <c r="AS11" i="1"/>
  <c r="AR11" i="1"/>
  <c r="AP11" i="1"/>
  <c r="AO11" i="1"/>
  <c r="AN11" i="1"/>
  <c r="AM11" i="1"/>
  <c r="AL11" i="1"/>
  <c r="AK11" i="1"/>
  <c r="AI11" i="1"/>
  <c r="AH11" i="1"/>
  <c r="AG11" i="1"/>
  <c r="AF11" i="1"/>
  <c r="AE11" i="1"/>
  <c r="AD11" i="1"/>
  <c r="AB11" i="1"/>
  <c r="AA11" i="1"/>
  <c r="Z11" i="1"/>
  <c r="Y11" i="1"/>
  <c r="X11" i="1"/>
  <c r="W11" i="1"/>
  <c r="U11" i="1"/>
  <c r="T11" i="1"/>
  <c r="S11" i="1"/>
  <c r="R11" i="1"/>
  <c r="Q11" i="1"/>
  <c r="P11" i="1"/>
  <c r="N11" i="1"/>
  <c r="M11" i="1"/>
  <c r="L11" i="1"/>
  <c r="K11" i="1"/>
  <c r="J11" i="1"/>
  <c r="I11" i="1"/>
  <c r="D11" i="1"/>
  <c r="BK10" i="1"/>
  <c r="BJ10" i="1"/>
  <c r="BI10" i="1"/>
  <c r="BH10" i="1"/>
  <c r="BG10" i="1"/>
  <c r="BF10" i="1"/>
  <c r="BD10" i="1"/>
  <c r="BC10" i="1"/>
  <c r="BB10" i="1"/>
  <c r="BA10" i="1"/>
  <c r="AZ10" i="1"/>
  <c r="AY10" i="1"/>
  <c r="AW10" i="1"/>
  <c r="AV10" i="1"/>
  <c r="AU10" i="1"/>
  <c r="AT10" i="1"/>
  <c r="AS10" i="1"/>
  <c r="AR10" i="1"/>
  <c r="AP10" i="1"/>
  <c r="AO10" i="1"/>
  <c r="AN10" i="1"/>
  <c r="AM10" i="1"/>
  <c r="AL10" i="1"/>
  <c r="AK10" i="1"/>
  <c r="AI10" i="1"/>
  <c r="AH10" i="1"/>
  <c r="AG10" i="1"/>
  <c r="AF10" i="1"/>
  <c r="AE10" i="1"/>
  <c r="AD10" i="1"/>
  <c r="AB10" i="1"/>
  <c r="AA10" i="1"/>
  <c r="Z10" i="1"/>
  <c r="Y10" i="1"/>
  <c r="X10" i="1"/>
  <c r="W10" i="1"/>
  <c r="U10" i="1"/>
  <c r="T10" i="1"/>
  <c r="S10" i="1"/>
  <c r="R10" i="1"/>
  <c r="Q10" i="1"/>
  <c r="P10" i="1"/>
  <c r="N10" i="1"/>
  <c r="M10" i="1"/>
  <c r="L10" i="1"/>
  <c r="K10" i="1"/>
  <c r="J10" i="1"/>
  <c r="I10" i="1"/>
  <c r="D10" i="1"/>
  <c r="BX9" i="1"/>
  <c r="BW9" i="1"/>
  <c r="BV9" i="1"/>
  <c r="BU9" i="1"/>
  <c r="BT9" i="1"/>
  <c r="BS9" i="1"/>
  <c r="BR9" i="1"/>
  <c r="BQ9" i="1"/>
  <c r="BP9" i="1"/>
  <c r="BO9" i="1"/>
  <c r="BN9" i="1"/>
  <c r="BM9" i="1"/>
  <c r="BL9" i="1"/>
  <c r="BK9" i="1"/>
  <c r="BJ9" i="1"/>
  <c r="BI9" i="1"/>
  <c r="BH9" i="1"/>
  <c r="BG9" i="1"/>
  <c r="BF9" i="1"/>
  <c r="BE9" i="1"/>
  <c r="BD9" i="1"/>
  <c r="BC9" i="1"/>
  <c r="BB9" i="1"/>
  <c r="BA9" i="1"/>
  <c r="AZ9" i="1"/>
  <c r="AY9" i="1"/>
  <c r="AX9" i="1"/>
  <c r="AW9" i="1"/>
  <c r="AV9" i="1"/>
  <c r="AU9" i="1"/>
  <c r="AT9" i="1"/>
  <c r="AS9" i="1"/>
  <c r="AR9" i="1"/>
  <c r="AQ9" i="1"/>
  <c r="AP9" i="1"/>
  <c r="AO9" i="1"/>
  <c r="AN9" i="1"/>
  <c r="AM9" i="1"/>
  <c r="AL9" i="1"/>
  <c r="AK9" i="1"/>
  <c r="AJ9" i="1"/>
  <c r="AI9" i="1"/>
  <c r="AH9" i="1"/>
  <c r="AG9" i="1"/>
  <c r="AF9" i="1"/>
  <c r="AE9" i="1"/>
  <c r="AD9" i="1"/>
  <c r="AC9" i="1"/>
  <c r="AB9" i="1"/>
  <c r="AA9" i="1"/>
  <c r="Z9" i="1"/>
  <c r="Y9" i="1"/>
  <c r="X9" i="1"/>
  <c r="W9" i="1"/>
  <c r="V9" i="1"/>
  <c r="U9" i="1"/>
  <c r="T9" i="1"/>
  <c r="S9" i="1"/>
  <c r="R9" i="1"/>
  <c r="Q9" i="1"/>
  <c r="P9" i="1"/>
  <c r="O9" i="1"/>
  <c r="N9" i="1"/>
  <c r="M9" i="1"/>
  <c r="L9" i="1"/>
  <c r="K9" i="1"/>
  <c r="J9" i="1"/>
  <c r="I9" i="1"/>
  <c r="H9" i="1"/>
  <c r="G9" i="1"/>
  <c r="F9" i="1"/>
  <c r="E9" i="1"/>
  <c r="W41" i="28" l="1"/>
  <c r="X41" i="28"/>
  <c r="Y41" i="28" s="1"/>
  <c r="W42" i="28"/>
  <c r="X42" i="28"/>
  <c r="Y42" i="28" s="1"/>
  <c r="W43" i="28"/>
  <c r="X43" i="28"/>
  <c r="Y43" i="28" s="1"/>
  <c r="W44" i="28"/>
  <c r="X44" i="28"/>
  <c r="Y44" i="28" s="1"/>
  <c r="W45" i="28"/>
  <c r="X45" i="28"/>
  <c r="Y45" i="28" s="1"/>
  <c r="X40" i="28"/>
  <c r="Y40" i="28" s="1"/>
  <c r="W40" i="28"/>
  <c r="W35" i="28"/>
  <c r="X35" i="28"/>
  <c r="Y35" i="28" s="1"/>
  <c r="W36" i="28"/>
  <c r="X36" i="28"/>
  <c r="Y36" i="28" s="1"/>
  <c r="W37" i="28"/>
  <c r="X37" i="28"/>
  <c r="Y37" i="28" s="1"/>
  <c r="W38" i="28"/>
  <c r="X38" i="28"/>
  <c r="Y38" i="28" s="1"/>
  <c r="W39" i="28"/>
  <c r="X39" i="28"/>
  <c r="Y39" i="28" s="1"/>
  <c r="X34" i="28"/>
  <c r="Y34" i="28" s="1"/>
  <c r="W34" i="28"/>
  <c r="S80" i="28"/>
  <c r="B2" i="1"/>
  <c r="BR2" i="1"/>
  <c r="W46" i="28" l="1"/>
  <c r="C62" i="28"/>
  <c r="D62" i="28"/>
  <c r="E62" i="28"/>
  <c r="F62" i="28"/>
  <c r="G62" i="28"/>
  <c r="H62" i="28"/>
  <c r="B72" i="28"/>
  <c r="B71" i="28"/>
  <c r="B63" i="28"/>
  <c r="B64" i="28"/>
  <c r="B65" i="28"/>
  <c r="B66" i="28"/>
  <c r="B67" i="28"/>
  <c r="B68" i="28"/>
  <c r="B69" i="28"/>
  <c r="B70" i="28"/>
  <c r="O78" i="28"/>
  <c r="P76" i="28"/>
  <c r="Q76" i="28" s="1"/>
  <c r="R76" i="28" s="1"/>
  <c r="H78" i="28"/>
  <c r="I76" i="28"/>
  <c r="J76" i="28" s="1"/>
  <c r="K76" i="28" s="1"/>
  <c r="E76" i="28"/>
  <c r="F76" i="28" s="1"/>
  <c r="G76" i="28" s="1"/>
  <c r="X29" i="28"/>
  <c r="X30" i="28" l="1"/>
  <c r="B3" i="2"/>
  <c r="Y311" i="2"/>
  <c r="X311" i="2"/>
  <c r="W311" i="2"/>
  <c r="V311" i="2"/>
  <c r="Y306" i="2"/>
  <c r="X306" i="2"/>
  <c r="W306" i="2"/>
  <c r="V306" i="2"/>
  <c r="Y297" i="2"/>
  <c r="X297" i="2"/>
  <c r="W297" i="2"/>
  <c r="V297" i="2"/>
  <c r="AA29" i="2"/>
  <c r="AA263" i="2" s="1"/>
  <c r="Z29" i="2"/>
  <c r="Z263" i="2" s="1"/>
  <c r="Y29" i="2"/>
  <c r="Y263" i="2" s="1"/>
  <c r="X29" i="2"/>
  <c r="X263" i="2" s="1"/>
  <c r="W29" i="2"/>
  <c r="W263" i="2" s="1"/>
  <c r="V29" i="2"/>
  <c r="V263" i="2" s="1"/>
  <c r="AA4" i="2"/>
  <c r="AA204" i="2" s="1"/>
  <c r="Z4" i="2"/>
  <c r="Y4" i="2"/>
  <c r="X4" i="2"/>
  <c r="X204" i="2" s="1"/>
  <c r="W4" i="2"/>
  <c r="V4" i="2"/>
  <c r="AE311" i="2"/>
  <c r="AD311" i="2"/>
  <c r="AC311" i="2"/>
  <c r="AE306" i="2"/>
  <c r="AD306" i="2"/>
  <c r="AC306" i="2"/>
  <c r="AE297" i="2"/>
  <c r="AD297" i="2"/>
  <c r="AC297" i="2"/>
  <c r="AH29" i="2"/>
  <c r="AH263" i="2" s="1"/>
  <c r="AG29" i="2"/>
  <c r="AG263" i="2" s="1"/>
  <c r="AF29" i="2"/>
  <c r="AF263" i="2" s="1"/>
  <c r="AE29" i="2"/>
  <c r="AE263" i="2" s="1"/>
  <c r="AD29" i="2"/>
  <c r="AD263" i="2" s="1"/>
  <c r="AC29" i="2"/>
  <c r="AC263" i="2" s="1"/>
  <c r="AH4" i="2"/>
  <c r="AH204" i="2" s="1"/>
  <c r="AG4" i="2"/>
  <c r="AF4" i="2"/>
  <c r="AE4" i="2"/>
  <c r="AE204" i="2" s="1"/>
  <c r="AD4" i="2"/>
  <c r="AC4" i="2"/>
  <c r="AO29" i="2"/>
  <c r="AO263" i="2" s="1"/>
  <c r="AN29" i="2"/>
  <c r="AN263" i="2" s="1"/>
  <c r="AM29" i="2"/>
  <c r="AM263" i="2" s="1"/>
  <c r="AL29" i="2"/>
  <c r="AL263" i="2" s="1"/>
  <c r="AK29" i="2"/>
  <c r="AK263" i="2" s="1"/>
  <c r="AJ29" i="2"/>
  <c r="AJ263" i="2" s="1"/>
  <c r="AO4" i="2"/>
  <c r="AN4" i="2"/>
  <c r="AM4" i="2"/>
  <c r="AL4" i="2"/>
  <c r="AK4" i="2"/>
  <c r="AJ4" i="2"/>
  <c r="AV29" i="2"/>
  <c r="AV263" i="2" s="1"/>
  <c r="AU29" i="2"/>
  <c r="AU263" i="2" s="1"/>
  <c r="AT29" i="2"/>
  <c r="AT263" i="2" s="1"/>
  <c r="AS29" i="2"/>
  <c r="AS263" i="2" s="1"/>
  <c r="AR29" i="2"/>
  <c r="AR263" i="2" s="1"/>
  <c r="AQ29" i="2"/>
  <c r="AQ263" i="2" s="1"/>
  <c r="AV4" i="2"/>
  <c r="AU4" i="2"/>
  <c r="AT4" i="2"/>
  <c r="AS4" i="2"/>
  <c r="AR4" i="2"/>
  <c r="AQ4" i="2"/>
  <c r="AF204" i="2" l="1"/>
  <c r="V204" i="2"/>
  <c r="AG204" i="2"/>
  <c r="Y204" i="2"/>
  <c r="W204" i="2"/>
  <c r="Z204" i="2"/>
  <c r="AD204" i="2"/>
  <c r="AC204" i="2"/>
  <c r="BC4" i="2" l="1"/>
  <c r="BB4" i="2"/>
  <c r="BA4" i="2"/>
  <c r="AZ4" i="2"/>
  <c r="AY4" i="2"/>
  <c r="AX4" i="2"/>
  <c r="BL66" i="2"/>
  <c r="BM66" i="2"/>
  <c r="BN66" i="2"/>
  <c r="BO66" i="2"/>
  <c r="BP66" i="2"/>
  <c r="BQ66" i="2"/>
  <c r="BR66" i="2"/>
  <c r="BD258" i="2" l="1"/>
  <c r="BD128" i="2"/>
  <c r="BD112" i="2"/>
  <c r="BD4" i="2"/>
  <c r="BD66" i="2" l="1"/>
  <c r="BX43" i="1"/>
  <c r="BX58" i="1" s="1"/>
  <c r="BX45" i="1"/>
  <c r="BX46" i="1"/>
  <c r="BX65" i="1"/>
  <c r="BM74" i="1"/>
  <c r="U1" i="2"/>
  <c r="BK332" i="2" s="1"/>
  <c r="B149" i="2"/>
  <c r="B150" i="2"/>
  <c r="B151" i="2"/>
  <c r="B152" i="2"/>
  <c r="B153" i="2"/>
  <c r="B154" i="2"/>
  <c r="B155" i="2"/>
  <c r="B156" i="2"/>
  <c r="B157" i="2"/>
  <c r="B148" i="2"/>
  <c r="BL281" i="2"/>
  <c r="BM281" i="2"/>
  <c r="BN281" i="2"/>
  <c r="BO281" i="2"/>
  <c r="BP281" i="2"/>
  <c r="BQ281" i="2"/>
  <c r="BR281" i="2"/>
  <c r="BJ35" i="2"/>
  <c r="BG35" i="2"/>
  <c r="BF35" i="2"/>
  <c r="BF36" i="2"/>
  <c r="BH64" i="2"/>
  <c r="BI35" i="2"/>
  <c r="BE35" i="2"/>
  <c r="BK64" i="2"/>
  <c r="BH35" i="2"/>
  <c r="BK124" i="2"/>
  <c r="BE36" i="2"/>
  <c r="BH36" i="2"/>
  <c r="BF64" i="2"/>
  <c r="BK35" i="2"/>
  <c r="BJ36" i="2"/>
  <c r="BG36" i="2"/>
  <c r="BK36" i="2"/>
  <c r="BG64" i="2"/>
  <c r="BI64" i="2"/>
  <c r="BI36" i="2"/>
  <c r="BJ64" i="2"/>
  <c r="M38" i="28" l="1"/>
  <c r="K38" i="28"/>
  <c r="L38" i="28"/>
  <c r="K37" i="28"/>
  <c r="L37" i="28"/>
  <c r="M37" i="28"/>
  <c r="BF22" i="2"/>
  <c r="BF261" i="2"/>
  <c r="BE23" i="2"/>
  <c r="BE262" i="2"/>
  <c r="BI262" i="2"/>
  <c r="BI23" i="2"/>
  <c r="BI261" i="2"/>
  <c r="BI22" i="2"/>
  <c r="BG262" i="2"/>
  <c r="BG23" i="2"/>
  <c r="BG261" i="2"/>
  <c r="BG22" i="2"/>
  <c r="BF262" i="2"/>
  <c r="BF23" i="2"/>
  <c r="BH262" i="2"/>
  <c r="BH23" i="2"/>
  <c r="BH22" i="2"/>
  <c r="BH261" i="2"/>
  <c r="BK23" i="2"/>
  <c r="BK262" i="2"/>
  <c r="BK22" i="2"/>
  <c r="BK261" i="2"/>
  <c r="BE226" i="2"/>
  <c r="BK296" i="2"/>
  <c r="BK222" i="2"/>
  <c r="BJ296" i="2"/>
  <c r="BJ222" i="2"/>
  <c r="BI296" i="2"/>
  <c r="BI222" i="2"/>
  <c r="BH222" i="2"/>
  <c r="BH296" i="2"/>
  <c r="BK118" i="2"/>
  <c r="BJ226" i="2"/>
  <c r="BI226" i="2"/>
  <c r="BF226" i="2"/>
  <c r="BH226" i="2"/>
  <c r="BG226" i="2"/>
  <c r="BF296" i="2"/>
  <c r="BF222" i="2"/>
  <c r="BE296" i="2"/>
  <c r="BE222" i="2"/>
  <c r="BG296" i="2"/>
  <c r="BG222" i="2"/>
  <c r="BK122" i="2"/>
  <c r="BK226" i="2"/>
  <c r="BK344" i="2"/>
  <c r="F11" i="28"/>
  <c r="E11" i="28"/>
  <c r="D11" i="28"/>
  <c r="C11" i="28"/>
  <c r="F10" i="28"/>
  <c r="E10" i="28"/>
  <c r="D10" i="28"/>
  <c r="C10" i="28"/>
  <c r="M33" i="28"/>
  <c r="BQ23" i="2"/>
  <c r="BO23" i="2"/>
  <c r="BM23" i="2"/>
  <c r="BR23" i="2"/>
  <c r="BP23" i="2"/>
  <c r="BN23" i="2"/>
  <c r="B80" i="28"/>
  <c r="BU74" i="1"/>
  <c r="BR128" i="2"/>
  <c r="BR258" i="2"/>
  <c r="BR287" i="2"/>
  <c r="BR292" i="2"/>
  <c r="BP128" i="2"/>
  <c r="BQ128" i="2"/>
  <c r="BP258" i="2"/>
  <c r="BQ258" i="2"/>
  <c r="BP287" i="2"/>
  <c r="BQ287" i="2"/>
  <c r="BP292" i="2"/>
  <c r="BQ292" i="2"/>
  <c r="D4" i="2"/>
  <c r="E4" i="2"/>
  <c r="F4" i="2"/>
  <c r="G4" i="2"/>
  <c r="H4" i="2"/>
  <c r="I4" i="2"/>
  <c r="J4" i="2"/>
  <c r="K4" i="2"/>
  <c r="L4" i="2"/>
  <c r="M4" i="2"/>
  <c r="N4" i="2"/>
  <c r="O4" i="2"/>
  <c r="P4" i="2"/>
  <c r="D112" i="2"/>
  <c r="D128" i="2" s="1"/>
  <c r="E112" i="2"/>
  <c r="E128" i="2" s="1"/>
  <c r="F112" i="2"/>
  <c r="F128" i="2" s="1"/>
  <c r="G112" i="2"/>
  <c r="G128" i="2" s="1"/>
  <c r="H112" i="2"/>
  <c r="H128" i="2" s="1"/>
  <c r="I112" i="2"/>
  <c r="I128" i="2" s="1"/>
  <c r="J112" i="2"/>
  <c r="J128" i="2" s="1"/>
  <c r="K112" i="2"/>
  <c r="K128" i="2" s="1"/>
  <c r="L112" i="2"/>
  <c r="L128" i="2" s="1"/>
  <c r="M112" i="2"/>
  <c r="M128" i="2" s="1"/>
  <c r="N112" i="2"/>
  <c r="N128" i="2" s="1"/>
  <c r="O112" i="2"/>
  <c r="O128" i="2" s="1"/>
  <c r="P112" i="2"/>
  <c r="P128" i="2" s="1"/>
  <c r="D258" i="2"/>
  <c r="E258" i="2"/>
  <c r="F258" i="2"/>
  <c r="G258" i="2"/>
  <c r="H258" i="2"/>
  <c r="I258" i="2"/>
  <c r="J258" i="2"/>
  <c r="K258" i="2"/>
  <c r="L258" i="2"/>
  <c r="M258" i="2"/>
  <c r="N258" i="2"/>
  <c r="O258" i="2"/>
  <c r="P258" i="2"/>
  <c r="D297" i="2"/>
  <c r="D306" i="2"/>
  <c r="BL292" i="2"/>
  <c r="BM292" i="2"/>
  <c r="BN292" i="2"/>
  <c r="BO292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30" i="2"/>
  <c r="BM128" i="2"/>
  <c r="BN128" i="2"/>
  <c r="BO128" i="2"/>
  <c r="BL23" i="2" l="1"/>
  <c r="G6" i="28"/>
  <c r="BH20" i="2"/>
  <c r="BG20" i="2"/>
  <c r="BI20" i="2"/>
  <c r="BK20" i="2"/>
  <c r="BF20" i="2"/>
  <c r="BJ262" i="2"/>
  <c r="BJ23" i="2"/>
  <c r="D262" i="2"/>
  <c r="D41" i="2"/>
  <c r="D18" i="2"/>
  <c r="D23" i="2"/>
  <c r="D46" i="2"/>
  <c r="D204" i="2"/>
  <c r="P262" i="2"/>
  <c r="P204" i="2"/>
  <c r="P46" i="2"/>
  <c r="P41" i="2"/>
  <c r="P18" i="2"/>
  <c r="P23" i="2"/>
  <c r="O66" i="2"/>
  <c r="O18" i="2"/>
  <c r="O262" i="2"/>
  <c r="O23" i="2"/>
  <c r="O204" i="2"/>
  <c r="O41" i="2"/>
  <c r="O46" i="2"/>
  <c r="G204" i="2"/>
  <c r="G18" i="2"/>
  <c r="G23" i="2"/>
  <c r="G41" i="2"/>
  <c r="G262" i="2"/>
  <c r="G46" i="2"/>
  <c r="N46" i="2"/>
  <c r="N262" i="2"/>
  <c r="N204" i="2"/>
  <c r="N23" i="2"/>
  <c r="N41" i="2"/>
  <c r="N18" i="2"/>
  <c r="E41" i="2"/>
  <c r="E46" i="2"/>
  <c r="E23" i="2"/>
  <c r="E18" i="2"/>
  <c r="E262" i="2"/>
  <c r="E204" i="2"/>
  <c r="M46" i="2"/>
  <c r="M262" i="2"/>
  <c r="M204" i="2"/>
  <c r="M23" i="2"/>
  <c r="M18" i="2"/>
  <c r="M41" i="2"/>
  <c r="F46" i="2"/>
  <c r="F23" i="2"/>
  <c r="F18" i="2"/>
  <c r="F204" i="2"/>
  <c r="F41" i="2"/>
  <c r="F262" i="2"/>
  <c r="L46" i="2"/>
  <c r="L23" i="2"/>
  <c r="L18" i="2"/>
  <c r="L41" i="2"/>
  <c r="L262" i="2"/>
  <c r="L204" i="2"/>
  <c r="K41" i="2"/>
  <c r="K46" i="2"/>
  <c r="K18" i="2"/>
  <c r="K23" i="2"/>
  <c r="K262" i="2"/>
  <c r="K204" i="2"/>
  <c r="H18" i="2"/>
  <c r="H23" i="2"/>
  <c r="H41" i="2"/>
  <c r="H46" i="2"/>
  <c r="H204" i="2"/>
  <c r="H262" i="2"/>
  <c r="J23" i="2"/>
  <c r="J41" i="2"/>
  <c r="J46" i="2"/>
  <c r="J204" i="2"/>
  <c r="J262" i="2"/>
  <c r="J18" i="2"/>
  <c r="I23" i="2"/>
  <c r="I41" i="2"/>
  <c r="I18" i="2"/>
  <c r="I262" i="2"/>
  <c r="I46" i="2"/>
  <c r="I204" i="2"/>
  <c r="D66" i="2"/>
  <c r="P66" i="2"/>
  <c r="H66" i="2"/>
  <c r="G66" i="2"/>
  <c r="F66" i="2"/>
  <c r="E66" i="2"/>
  <c r="N66" i="2"/>
  <c r="I66" i="2"/>
  <c r="M66" i="2"/>
  <c r="L66" i="2"/>
  <c r="K66" i="2"/>
  <c r="J66" i="2"/>
  <c r="BM294" i="2" l="1"/>
  <c r="BN294" i="2" s="1"/>
  <c r="BO294" i="2" s="1"/>
  <c r="BP294" i="2" s="1"/>
  <c r="BQ294" i="2" s="1"/>
  <c r="BR294" i="2" s="1"/>
  <c r="BM293" i="2"/>
  <c r="BN293" i="2" s="1"/>
  <c r="BO293" i="2" s="1"/>
  <c r="BP293" i="2" s="1"/>
  <c r="BQ293" i="2" s="1"/>
  <c r="BR293" i="2" s="1"/>
  <c r="BM287" i="2"/>
  <c r="BX63" i="1" s="1"/>
  <c r="BN287" i="2"/>
  <c r="BY63" i="1" s="1"/>
  <c r="BO287" i="2"/>
  <c r="BM283" i="2"/>
  <c r="BN283" i="2" s="1"/>
  <c r="BO283" i="2" s="1"/>
  <c r="BP283" i="2" s="1"/>
  <c r="BQ283" i="2" s="1"/>
  <c r="BR283" i="2" s="1"/>
  <c r="BM282" i="2"/>
  <c r="BN282" i="2" s="1"/>
  <c r="BO282" i="2" s="1"/>
  <c r="BP282" i="2" s="1"/>
  <c r="BQ282" i="2" s="1"/>
  <c r="BR282" i="2" s="1"/>
  <c r="BM280" i="2"/>
  <c r="BM278" i="2"/>
  <c r="BM258" i="2"/>
  <c r="BN258" i="2"/>
  <c r="BO258" i="2"/>
  <c r="BN278" i="2" l="1"/>
  <c r="BX61" i="1"/>
  <c r="BN280" i="2"/>
  <c r="BO278" i="2" l="1"/>
  <c r="BP278" i="2" s="1"/>
  <c r="BQ278" i="2" s="1"/>
  <c r="BR278" i="2" s="1"/>
  <c r="BY61" i="1"/>
  <c r="BO280" i="2"/>
  <c r="BP280" i="2" s="1"/>
  <c r="BQ280" i="2" l="1"/>
  <c r="BR280" i="2" s="1"/>
  <c r="B75" i="28" l="1"/>
  <c r="B59" i="28"/>
  <c r="X31" i="28"/>
  <c r="X28" i="28" s="1"/>
  <c r="C80" i="28"/>
  <c r="B28" i="28"/>
  <c r="B1" i="28"/>
  <c r="L33" i="28" l="1"/>
  <c r="K33" i="28"/>
  <c r="BJ22" i="2" l="1"/>
  <c r="BJ20" i="2" s="1"/>
  <c r="BJ261" i="2"/>
  <c r="BL287" i="2" l="1"/>
  <c r="BL258" i="2"/>
  <c r="AW258" i="2"/>
  <c r="AP258" i="2"/>
  <c r="AI258" i="2"/>
  <c r="AB258" i="2"/>
  <c r="U258" i="2"/>
  <c r="T258" i="2"/>
  <c r="S258" i="2"/>
  <c r="R258" i="2"/>
  <c r="Q258" i="2"/>
  <c r="BL128" i="2"/>
  <c r="AW128" i="2"/>
  <c r="AP128" i="2"/>
  <c r="AI128" i="2"/>
  <c r="AB128" i="2"/>
  <c r="U128" i="2"/>
  <c r="BL112" i="2"/>
  <c r="AW112" i="2"/>
  <c r="AP112" i="2"/>
  <c r="AI112" i="2"/>
  <c r="AB112" i="2"/>
  <c r="U112" i="2"/>
  <c r="T112" i="2"/>
  <c r="T128" i="2" s="1"/>
  <c r="S112" i="2"/>
  <c r="S128" i="2" s="1"/>
  <c r="R112" i="2"/>
  <c r="R128" i="2" s="1"/>
  <c r="Q112" i="2"/>
  <c r="Q128" i="2" s="1"/>
  <c r="BJ28" i="1"/>
  <c r="BI28" i="1"/>
  <c r="BG28" i="1"/>
  <c r="BF28" i="1"/>
  <c r="BC28" i="1"/>
  <c r="BB28" i="1"/>
  <c r="AZ28" i="1"/>
  <c r="AY28" i="1"/>
  <c r="AV28" i="1"/>
  <c r="AU28" i="1"/>
  <c r="AS28" i="1"/>
  <c r="AR28" i="1"/>
  <c r="AO28" i="1"/>
  <c r="AN28" i="1"/>
  <c r="AL28" i="1"/>
  <c r="AK28" i="1"/>
  <c r="AH28" i="1"/>
  <c r="AG28" i="1"/>
  <c r="AE28" i="1"/>
  <c r="AD28" i="1"/>
  <c r="AA28" i="1"/>
  <c r="Z28" i="1"/>
  <c r="X28" i="1"/>
  <c r="W28" i="1"/>
  <c r="T28" i="1"/>
  <c r="S28" i="1"/>
  <c r="Q28" i="1"/>
  <c r="P28" i="1"/>
  <c r="M28" i="1"/>
  <c r="L28" i="1"/>
  <c r="J28" i="1"/>
  <c r="I28" i="1"/>
  <c r="AW4" i="2"/>
  <c r="AP4" i="2"/>
  <c r="AI4" i="2"/>
  <c r="AB4" i="2"/>
  <c r="U4" i="2"/>
  <c r="T4" i="2"/>
  <c r="S4" i="2"/>
  <c r="R4" i="2"/>
  <c r="Q4" i="2"/>
  <c r="G83" i="1"/>
  <c r="F83" i="1"/>
  <c r="E83" i="1"/>
  <c r="G82" i="1"/>
  <c r="F82" i="1"/>
  <c r="E82" i="1"/>
  <c r="BK77" i="1"/>
  <c r="BJ77" i="1"/>
  <c r="BI77" i="1"/>
  <c r="BH77" i="1"/>
  <c r="BG77" i="1"/>
  <c r="BF77" i="1"/>
  <c r="BD77" i="1"/>
  <c r="BC77" i="1"/>
  <c r="BB77" i="1"/>
  <c r="BA77" i="1"/>
  <c r="AZ77" i="1"/>
  <c r="AY77" i="1"/>
  <c r="AW77" i="1"/>
  <c r="AV77" i="1"/>
  <c r="AU77" i="1"/>
  <c r="AT77" i="1"/>
  <c r="AS77" i="1"/>
  <c r="AR77" i="1"/>
  <c r="AP77" i="1"/>
  <c r="AO77" i="1"/>
  <c r="AN77" i="1"/>
  <c r="AM77" i="1"/>
  <c r="AL77" i="1"/>
  <c r="AK77" i="1"/>
  <c r="AI77" i="1"/>
  <c r="AH77" i="1"/>
  <c r="AG77" i="1"/>
  <c r="AF77" i="1"/>
  <c r="AE77" i="1"/>
  <c r="AD77" i="1"/>
  <c r="AB77" i="1"/>
  <c r="AA77" i="1"/>
  <c r="Z77" i="1"/>
  <c r="Y77" i="1"/>
  <c r="X77" i="1"/>
  <c r="W77" i="1"/>
  <c r="U77" i="1"/>
  <c r="T77" i="1"/>
  <c r="S77" i="1"/>
  <c r="R77" i="1"/>
  <c r="Q77" i="1"/>
  <c r="P77" i="1"/>
  <c r="N77" i="1"/>
  <c r="M77" i="1"/>
  <c r="L77" i="1"/>
  <c r="K77" i="1"/>
  <c r="J77" i="1"/>
  <c r="I77" i="1"/>
  <c r="D77" i="1"/>
  <c r="D80" i="1" s="1"/>
  <c r="D73" i="1"/>
  <c r="D78" i="1" s="1"/>
  <c r="D72" i="1"/>
  <c r="AO69" i="1"/>
  <c r="AN69" i="1"/>
  <c r="AL69" i="1"/>
  <c r="AK69" i="1"/>
  <c r="AH69" i="1"/>
  <c r="AG69" i="1"/>
  <c r="AE69" i="1"/>
  <c r="AD69" i="1"/>
  <c r="AA69" i="1"/>
  <c r="Z69" i="1"/>
  <c r="X69" i="1"/>
  <c r="W69" i="1"/>
  <c r="T69" i="1"/>
  <c r="S69" i="1"/>
  <c r="Q69" i="1"/>
  <c r="P69" i="1"/>
  <c r="M69" i="1"/>
  <c r="L69" i="1"/>
  <c r="J69" i="1"/>
  <c r="I69" i="1"/>
  <c r="D69" i="1"/>
  <c r="BW65" i="1"/>
  <c r="D64" i="1"/>
  <c r="D63" i="1"/>
  <c r="D62" i="1"/>
  <c r="BW61" i="1"/>
  <c r="D61" i="1"/>
  <c r="D60" i="1"/>
  <c r="D59" i="1"/>
  <c r="D55" i="1"/>
  <c r="D54" i="1"/>
  <c r="D53" i="1"/>
  <c r="D51" i="1"/>
  <c r="D50" i="1"/>
  <c r="D48" i="1"/>
  <c r="D47" i="1"/>
  <c r="D46" i="1"/>
  <c r="D45" i="1"/>
  <c r="D44" i="1"/>
  <c r="BW43" i="1"/>
  <c r="BW58" i="1" s="1"/>
  <c r="BV43" i="1"/>
  <c r="BV58" i="1" s="1"/>
  <c r="BU43" i="1"/>
  <c r="BU58" i="1" s="1"/>
  <c r="BT43" i="1"/>
  <c r="BT58" i="1" s="1"/>
  <c r="BS43" i="1"/>
  <c r="BS58" i="1" s="1"/>
  <c r="BR43" i="1"/>
  <c r="BR58" i="1" s="1"/>
  <c r="BQ43" i="1"/>
  <c r="BQ58" i="1" s="1"/>
  <c r="BP43" i="1"/>
  <c r="BP58" i="1" s="1"/>
  <c r="BO43" i="1"/>
  <c r="BO58" i="1" s="1"/>
  <c r="BN43" i="1"/>
  <c r="BN58" i="1" s="1"/>
  <c r="BM43" i="1"/>
  <c r="BM58" i="1" s="1"/>
  <c r="BL43" i="1"/>
  <c r="BL58" i="1" s="1"/>
  <c r="BK43" i="1"/>
  <c r="BK58" i="1" s="1"/>
  <c r="BJ43" i="1"/>
  <c r="BJ58" i="1" s="1"/>
  <c r="BI43" i="1"/>
  <c r="BI58" i="1" s="1"/>
  <c r="BH43" i="1"/>
  <c r="BH58" i="1" s="1"/>
  <c r="BG43" i="1"/>
  <c r="BG58" i="1" s="1"/>
  <c r="BF43" i="1"/>
  <c r="BF58" i="1" s="1"/>
  <c r="BE43" i="1"/>
  <c r="BE58" i="1" s="1"/>
  <c r="BD43" i="1"/>
  <c r="BD58" i="1" s="1"/>
  <c r="BD71" i="1" s="1"/>
  <c r="BC43" i="1"/>
  <c r="BC58" i="1" s="1"/>
  <c r="BC71" i="1" s="1"/>
  <c r="BB43" i="1"/>
  <c r="BB58" i="1" s="1"/>
  <c r="BB71" i="1" s="1"/>
  <c r="BA43" i="1"/>
  <c r="BA58" i="1" s="1"/>
  <c r="BA71" i="1" s="1"/>
  <c r="AZ43" i="1"/>
  <c r="AZ58" i="1" s="1"/>
  <c r="AZ71" i="1" s="1"/>
  <c r="AY43" i="1"/>
  <c r="AY58" i="1" s="1"/>
  <c r="AY71" i="1" s="1"/>
  <c r="AX43" i="1"/>
  <c r="AX58" i="1" s="1"/>
  <c r="AX71" i="1" s="1"/>
  <c r="AW43" i="1"/>
  <c r="AW58" i="1" s="1"/>
  <c r="AW71" i="1" s="1"/>
  <c r="AV43" i="1"/>
  <c r="AV58" i="1" s="1"/>
  <c r="AV71" i="1" s="1"/>
  <c r="AU43" i="1"/>
  <c r="AU58" i="1" s="1"/>
  <c r="AU71" i="1" s="1"/>
  <c r="AT43" i="1"/>
  <c r="AT58" i="1" s="1"/>
  <c r="AT71" i="1" s="1"/>
  <c r="AS43" i="1"/>
  <c r="AS58" i="1" s="1"/>
  <c r="AS71" i="1" s="1"/>
  <c r="AR43" i="1"/>
  <c r="AR58" i="1" s="1"/>
  <c r="AR71" i="1" s="1"/>
  <c r="AQ43" i="1"/>
  <c r="AQ58" i="1" s="1"/>
  <c r="AQ71" i="1" s="1"/>
  <c r="AP43" i="1"/>
  <c r="AP58" i="1" s="1"/>
  <c r="AP71" i="1" s="1"/>
  <c r="AO43" i="1"/>
  <c r="AO58" i="1" s="1"/>
  <c r="AO71" i="1" s="1"/>
  <c r="AN43" i="1"/>
  <c r="AN58" i="1" s="1"/>
  <c r="AN71" i="1" s="1"/>
  <c r="AM43" i="1"/>
  <c r="AM58" i="1" s="1"/>
  <c r="AM71" i="1" s="1"/>
  <c r="AL43" i="1"/>
  <c r="AL58" i="1" s="1"/>
  <c r="AL71" i="1" s="1"/>
  <c r="AK43" i="1"/>
  <c r="AK58" i="1" s="1"/>
  <c r="AK71" i="1" s="1"/>
  <c r="AJ43" i="1"/>
  <c r="AJ58" i="1" s="1"/>
  <c r="AJ71" i="1" s="1"/>
  <c r="AI43" i="1"/>
  <c r="AI58" i="1" s="1"/>
  <c r="AI71" i="1" s="1"/>
  <c r="AH43" i="1"/>
  <c r="AH58" i="1" s="1"/>
  <c r="AH71" i="1" s="1"/>
  <c r="AG43" i="1"/>
  <c r="AG58" i="1" s="1"/>
  <c r="AG71" i="1" s="1"/>
  <c r="AF43" i="1"/>
  <c r="AF58" i="1" s="1"/>
  <c r="AF71" i="1" s="1"/>
  <c r="AE43" i="1"/>
  <c r="AE58" i="1" s="1"/>
  <c r="AE71" i="1" s="1"/>
  <c r="AD43" i="1"/>
  <c r="AD58" i="1" s="1"/>
  <c r="AD71" i="1" s="1"/>
  <c r="AC43" i="1"/>
  <c r="AC58" i="1" s="1"/>
  <c r="AC71" i="1" s="1"/>
  <c r="AB43" i="1"/>
  <c r="AB58" i="1" s="1"/>
  <c r="AB71" i="1" s="1"/>
  <c r="AA43" i="1"/>
  <c r="AA58" i="1" s="1"/>
  <c r="AA71" i="1" s="1"/>
  <c r="Z43" i="1"/>
  <c r="Z58" i="1" s="1"/>
  <c r="Z71" i="1" s="1"/>
  <c r="Y43" i="1"/>
  <c r="Y58" i="1" s="1"/>
  <c r="Y71" i="1" s="1"/>
  <c r="X43" i="1"/>
  <c r="X58" i="1" s="1"/>
  <c r="X71" i="1" s="1"/>
  <c r="W43" i="1"/>
  <c r="W58" i="1" s="1"/>
  <c r="W71" i="1" s="1"/>
  <c r="V43" i="1"/>
  <c r="V58" i="1" s="1"/>
  <c r="V71" i="1" s="1"/>
  <c r="U43" i="1"/>
  <c r="U58" i="1" s="1"/>
  <c r="U71" i="1" s="1"/>
  <c r="T43" i="1"/>
  <c r="T58" i="1" s="1"/>
  <c r="T71" i="1" s="1"/>
  <c r="S43" i="1"/>
  <c r="S58" i="1" s="1"/>
  <c r="S71" i="1" s="1"/>
  <c r="R43" i="1"/>
  <c r="R58" i="1" s="1"/>
  <c r="R71" i="1" s="1"/>
  <c r="Q43" i="1"/>
  <c r="Q58" i="1" s="1"/>
  <c r="Q71" i="1" s="1"/>
  <c r="P43" i="1"/>
  <c r="P58" i="1" s="1"/>
  <c r="P71" i="1" s="1"/>
  <c r="O43" i="1"/>
  <c r="O58" i="1" s="1"/>
  <c r="O71" i="1" s="1"/>
  <c r="N43" i="1"/>
  <c r="N58" i="1" s="1"/>
  <c r="N71" i="1" s="1"/>
  <c r="M43" i="1"/>
  <c r="M58" i="1" s="1"/>
  <c r="M71" i="1" s="1"/>
  <c r="L43" i="1"/>
  <c r="L58" i="1" s="1"/>
  <c r="L71" i="1" s="1"/>
  <c r="K43" i="1"/>
  <c r="K58" i="1" s="1"/>
  <c r="K71" i="1" s="1"/>
  <c r="J43" i="1"/>
  <c r="J58" i="1" s="1"/>
  <c r="J71" i="1" s="1"/>
  <c r="I43" i="1"/>
  <c r="I58" i="1" s="1"/>
  <c r="I71" i="1" s="1"/>
  <c r="H43" i="1"/>
  <c r="H58" i="1" s="1"/>
  <c r="H71" i="1" s="1"/>
  <c r="G43" i="1"/>
  <c r="G58" i="1" s="1"/>
  <c r="G71" i="1" s="1"/>
  <c r="F43" i="1"/>
  <c r="F58" i="1" s="1"/>
  <c r="F71" i="1" s="1"/>
  <c r="E43" i="1"/>
  <c r="E58" i="1" s="1"/>
  <c r="E71" i="1" s="1"/>
  <c r="N41" i="1"/>
  <c r="M41" i="1"/>
  <c r="L41" i="1"/>
  <c r="K41" i="1"/>
  <c r="J41" i="1"/>
  <c r="I41" i="1"/>
  <c r="D41" i="1"/>
  <c r="D40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17" i="1"/>
  <c r="D16" i="1"/>
  <c r="D15" i="1"/>
  <c r="Q66" i="2" l="1"/>
  <c r="Q204" i="2"/>
  <c r="Q46" i="2"/>
  <c r="Q18" i="2"/>
  <c r="Q23" i="2"/>
  <c r="Q262" i="2"/>
  <c r="Q41" i="2"/>
  <c r="R66" i="2"/>
  <c r="R46" i="2"/>
  <c r="R18" i="2"/>
  <c r="R262" i="2"/>
  <c r="R23" i="2"/>
  <c r="R41" i="2"/>
  <c r="R204" i="2"/>
  <c r="S66" i="2"/>
  <c r="S262" i="2"/>
  <c r="S18" i="2"/>
  <c r="S23" i="2"/>
  <c r="U66" i="2"/>
  <c r="AB66" i="2"/>
  <c r="AI66" i="2"/>
  <c r="AP66" i="2"/>
  <c r="AW66" i="2"/>
  <c r="T66" i="2"/>
  <c r="T262" i="2"/>
  <c r="T23" i="2"/>
  <c r="E37" i="28"/>
  <c r="C38" i="28"/>
  <c r="G37" i="28"/>
  <c r="C37" i="28"/>
  <c r="F38" i="28"/>
  <c r="H37" i="28"/>
  <c r="G38" i="28"/>
  <c r="D38" i="28"/>
  <c r="E38" i="28"/>
  <c r="I38" i="28"/>
  <c r="H38" i="28"/>
  <c r="I37" i="28"/>
  <c r="D37" i="28"/>
  <c r="J37" i="28"/>
  <c r="J38" i="28"/>
  <c r="F37" i="28"/>
  <c r="BW63" i="1"/>
  <c r="BL53" i="1"/>
  <c r="BE53" i="1"/>
  <c r="D39" i="1"/>
  <c r="D91" i="1" s="1"/>
  <c r="AY80" i="1"/>
  <c r="D52" i="1"/>
  <c r="D99" i="1" s="1"/>
  <c r="D76" i="1"/>
  <c r="D79" i="1" s="1"/>
  <c r="D100" i="1"/>
  <c r="BD80" i="1"/>
  <c r="AZ80" i="1"/>
  <c r="K33" i="1"/>
  <c r="M33" i="1"/>
  <c r="AE33" i="1"/>
  <c r="AL33" i="1"/>
  <c r="AS33" i="1"/>
  <c r="BC33" i="1"/>
  <c r="J33" i="1"/>
  <c r="AA33" i="1"/>
  <c r="AR33" i="1"/>
  <c r="BI33" i="1"/>
  <c r="AF37" i="1"/>
  <c r="L33" i="1"/>
  <c r="AU33" i="1"/>
  <c r="AV33" i="1"/>
  <c r="AF33" i="1"/>
  <c r="P33" i="1"/>
  <c r="AG33" i="1"/>
  <c r="Q33" i="1"/>
  <c r="AH33" i="1"/>
  <c r="AY33" i="1"/>
  <c r="R33" i="1"/>
  <c r="AZ33" i="1"/>
  <c r="S33" i="1"/>
  <c r="BA33" i="1"/>
  <c r="T33" i="1"/>
  <c r="AK33" i="1"/>
  <c r="BB33" i="1"/>
  <c r="AM33" i="1"/>
  <c r="W33" i="1"/>
  <c r="AN33" i="1"/>
  <c r="X33" i="1"/>
  <c r="AO33" i="1"/>
  <c r="BF33" i="1"/>
  <c r="Y33" i="1"/>
  <c r="BG33" i="1"/>
  <c r="I33" i="1"/>
  <c r="Z33" i="1"/>
  <c r="BH33" i="1"/>
  <c r="AE37" i="1"/>
  <c r="AD37" i="1"/>
  <c r="AG37" i="1"/>
  <c r="AH37" i="1"/>
  <c r="AD33" i="1"/>
  <c r="AT33" i="1"/>
  <c r="BJ33" i="1"/>
  <c r="X53" i="1"/>
  <c r="AF53" i="1"/>
  <c r="BH53" i="1"/>
  <c r="Z53" i="1"/>
  <c r="BJ53" i="1"/>
  <c r="AI53" i="1"/>
  <c r="AJ53" i="1"/>
  <c r="AK53" i="1"/>
  <c r="AL53" i="1"/>
  <c r="AM53" i="1"/>
  <c r="AN53" i="1"/>
  <c r="F53" i="1"/>
  <c r="H53" i="1"/>
  <c r="AR53" i="1"/>
  <c r="AZ53" i="1"/>
  <c r="P53" i="1"/>
  <c r="BB53" i="1"/>
  <c r="Q53" i="1"/>
  <c r="BC53" i="1"/>
  <c r="T53" i="1"/>
  <c r="BD53" i="1"/>
  <c r="U53" i="1"/>
  <c r="V53" i="1"/>
  <c r="BF53" i="1"/>
  <c r="E53" i="1"/>
  <c r="W53" i="1"/>
  <c r="AO53" i="1"/>
  <c r="BG53" i="1"/>
  <c r="G53" i="1"/>
  <c r="Y53" i="1"/>
  <c r="AP53" i="1"/>
  <c r="AQ53" i="1"/>
  <c r="BI53" i="1"/>
  <c r="I53" i="1"/>
  <c r="AA53" i="1"/>
  <c r="AS53" i="1"/>
  <c r="J53" i="1"/>
  <c r="AT53" i="1"/>
  <c r="BK53" i="1"/>
  <c r="K53" i="1"/>
  <c r="K82" i="1" s="1"/>
  <c r="AB53" i="1"/>
  <c r="AC53" i="1"/>
  <c r="AU53" i="1"/>
  <c r="L53" i="1"/>
  <c r="AD53" i="1"/>
  <c r="AV53" i="1"/>
  <c r="M53" i="1"/>
  <c r="AE53" i="1"/>
  <c r="N53" i="1"/>
  <c r="O53" i="1"/>
  <c r="AG53" i="1"/>
  <c r="BA53" i="1"/>
  <c r="R53" i="1"/>
  <c r="AH53" i="1"/>
  <c r="AW53" i="1"/>
  <c r="AX53" i="1"/>
  <c r="S53" i="1"/>
  <c r="AY53" i="1"/>
  <c r="L61" i="1"/>
  <c r="AK61" i="1"/>
  <c r="AP63" i="1"/>
  <c r="M61" i="1"/>
  <c r="AO61" i="1"/>
  <c r="Q61" i="1"/>
  <c r="N62" i="1"/>
  <c r="R61" i="1"/>
  <c r="R62" i="1"/>
  <c r="S61" i="1"/>
  <c r="AR61" i="1"/>
  <c r="T61" i="1"/>
  <c r="AS61" i="1"/>
  <c r="BH62" i="1"/>
  <c r="Y61" i="1"/>
  <c r="BK62" i="1"/>
  <c r="Z61" i="1"/>
  <c r="AY61" i="1"/>
  <c r="AA61" i="1"/>
  <c r="AZ61" i="1"/>
  <c r="AH65" i="1"/>
  <c r="BA61" i="1"/>
  <c r="AG61" i="1"/>
  <c r="BF61" i="1"/>
  <c r="I61" i="1"/>
  <c r="AH61" i="1"/>
  <c r="BG61" i="1"/>
  <c r="J63" i="1"/>
  <c r="J61" i="1"/>
  <c r="BH61" i="1"/>
  <c r="K61" i="1"/>
  <c r="BI61" i="1"/>
  <c r="AL63" i="1"/>
  <c r="P62" i="1"/>
  <c r="K63" i="1"/>
  <c r="AL65" i="1"/>
  <c r="S62" i="1"/>
  <c r="N63" i="1"/>
  <c r="AT63" i="1"/>
  <c r="AZ65" i="1"/>
  <c r="AD61" i="1"/>
  <c r="AT61" i="1"/>
  <c r="BJ61" i="1"/>
  <c r="Q63" i="1"/>
  <c r="AU63" i="1"/>
  <c r="AE61" i="1"/>
  <c r="AU61" i="1"/>
  <c r="U62" i="1"/>
  <c r="T63" i="1"/>
  <c r="BH65" i="1"/>
  <c r="P61" i="1"/>
  <c r="AF61" i="1"/>
  <c r="AV61" i="1"/>
  <c r="W62" i="1"/>
  <c r="AZ63" i="1"/>
  <c r="X62" i="1"/>
  <c r="U63" i="1"/>
  <c r="BA63" i="1"/>
  <c r="Y62" i="1"/>
  <c r="X63" i="1"/>
  <c r="BB63" i="1"/>
  <c r="AA62" i="1"/>
  <c r="Z63" i="1"/>
  <c r="BF63" i="1"/>
  <c r="AA63" i="1"/>
  <c r="BJ63" i="1"/>
  <c r="BB62" i="1"/>
  <c r="AD63" i="1"/>
  <c r="AL61" i="1"/>
  <c r="BB61" i="1"/>
  <c r="BC62" i="1"/>
  <c r="AE63" i="1"/>
  <c r="K65" i="1"/>
  <c r="W61" i="1"/>
  <c r="AM61" i="1"/>
  <c r="BC61" i="1"/>
  <c r="I62" i="1"/>
  <c r="AG63" i="1"/>
  <c r="N65" i="1"/>
  <c r="X61" i="1"/>
  <c r="AN61" i="1"/>
  <c r="K62" i="1"/>
  <c r="BD62" i="1"/>
  <c r="AI63" i="1"/>
  <c r="S65" i="1"/>
  <c r="L62" i="1"/>
  <c r="BG62" i="1"/>
  <c r="AK63" i="1"/>
  <c r="X65" i="1"/>
  <c r="R63" i="1"/>
  <c r="AH63" i="1"/>
  <c r="AW63" i="1"/>
  <c r="T65" i="1"/>
  <c r="AM65" i="1"/>
  <c r="BD65" i="1"/>
  <c r="T62" i="1"/>
  <c r="S63" i="1"/>
  <c r="AY63" i="1"/>
  <c r="U65" i="1"/>
  <c r="AN65" i="1"/>
  <c r="BF65" i="1"/>
  <c r="W65" i="1"/>
  <c r="AO65" i="1"/>
  <c r="BG65" i="1"/>
  <c r="Y65" i="1"/>
  <c r="AP65" i="1"/>
  <c r="BI65" i="1"/>
  <c r="W63" i="1"/>
  <c r="AM63" i="1"/>
  <c r="BC63" i="1"/>
  <c r="Z65" i="1"/>
  <c r="AR65" i="1"/>
  <c r="BJ65" i="1"/>
  <c r="AN63" i="1"/>
  <c r="I65" i="1"/>
  <c r="AA65" i="1"/>
  <c r="AS65" i="1"/>
  <c r="J62" i="1"/>
  <c r="Z62" i="1"/>
  <c r="BF62" i="1"/>
  <c r="I63" i="1"/>
  <c r="Y63" i="1"/>
  <c r="AO63" i="1"/>
  <c r="BD63" i="1"/>
  <c r="J65" i="1"/>
  <c r="AT65" i="1"/>
  <c r="BK65" i="1"/>
  <c r="AB65" i="1"/>
  <c r="AU65" i="1"/>
  <c r="U64" i="1"/>
  <c r="BG63" i="1"/>
  <c r="L65" i="1"/>
  <c r="AD65" i="1"/>
  <c r="AV65" i="1"/>
  <c r="AT64" i="1"/>
  <c r="M62" i="1"/>
  <c r="AB62" i="1"/>
  <c r="BI62" i="1"/>
  <c r="L63" i="1"/>
  <c r="AR63" i="1"/>
  <c r="BH63" i="1"/>
  <c r="M65" i="1"/>
  <c r="AE65" i="1"/>
  <c r="AW65" i="1"/>
  <c r="BB64" i="1"/>
  <c r="BJ62" i="1"/>
  <c r="M63" i="1"/>
  <c r="AB63" i="1"/>
  <c r="AS63" i="1"/>
  <c r="BI63" i="1"/>
  <c r="AF65" i="1"/>
  <c r="AY65" i="1"/>
  <c r="P65" i="1"/>
  <c r="BB65" i="1"/>
  <c r="Q62" i="1"/>
  <c r="P63" i="1"/>
  <c r="AF63" i="1"/>
  <c r="AV63" i="1"/>
  <c r="BK63" i="1"/>
  <c r="R65" i="1"/>
  <c r="AI65" i="1"/>
  <c r="BC65" i="1"/>
  <c r="BA64" i="1"/>
  <c r="W64" i="1"/>
  <c r="BC64" i="1"/>
  <c r="Y64" i="1"/>
  <c r="BD64" i="1"/>
  <c r="BH64" i="1"/>
  <c r="AD64" i="1"/>
  <c r="BJ64" i="1"/>
  <c r="Q65" i="1"/>
  <c r="AG65" i="1"/>
  <c r="AE64" i="1"/>
  <c r="AH64" i="1"/>
  <c r="AK64" i="1"/>
  <c r="AL64" i="1"/>
  <c r="AK65" i="1"/>
  <c r="BA65" i="1"/>
  <c r="AM64" i="1"/>
  <c r="I64" i="1"/>
  <c r="AO64" i="1"/>
  <c r="L64" i="1"/>
  <c r="AR64" i="1"/>
  <c r="N64" i="1"/>
  <c r="AU64" i="1"/>
  <c r="R64" i="1"/>
  <c r="AW64" i="1"/>
  <c r="M64" i="1"/>
  <c r="AB64" i="1"/>
  <c r="AS64" i="1"/>
  <c r="BI64" i="1"/>
  <c r="AT28" i="1"/>
  <c r="P64" i="1"/>
  <c r="AF64" i="1"/>
  <c r="AV64" i="1"/>
  <c r="BK64" i="1"/>
  <c r="BA28" i="1"/>
  <c r="Q64" i="1"/>
  <c r="AG64" i="1"/>
  <c r="BH28" i="1"/>
  <c r="S64" i="1"/>
  <c r="AY64" i="1"/>
  <c r="T64" i="1"/>
  <c r="AI64" i="1"/>
  <c r="AZ64" i="1"/>
  <c r="X64" i="1"/>
  <c r="AN64" i="1"/>
  <c r="J64" i="1"/>
  <c r="Z64" i="1"/>
  <c r="BF64" i="1"/>
  <c r="K64" i="1"/>
  <c r="AA64" i="1"/>
  <c r="AP64" i="1"/>
  <c r="BG64" i="1"/>
  <c r="Y28" i="1"/>
  <c r="AM28" i="1"/>
  <c r="K28" i="1"/>
  <c r="R28" i="1"/>
  <c r="AF28" i="1"/>
  <c r="BC80" i="1"/>
  <c r="D96" i="1"/>
  <c r="D95" i="1"/>
  <c r="D97" i="1"/>
  <c r="BB80" i="1"/>
  <c r="D98" i="1"/>
  <c r="D92" i="1"/>
  <c r="BA80" i="1"/>
  <c r="D93" i="1" l="1"/>
  <c r="D94" i="1"/>
  <c r="BJ51" i="1"/>
  <c r="AW82" i="1"/>
  <c r="X82" i="1"/>
  <c r="AH82" i="1"/>
  <c r="AM82" i="1"/>
  <c r="BJ82" i="1"/>
  <c r="AZ51" i="1"/>
  <c r="AY45" i="1"/>
  <c r="BC51" i="1"/>
  <c r="BE82" i="1"/>
  <c r="Y82" i="1"/>
  <c r="AK82" i="1"/>
  <c r="BA82" i="1"/>
  <c r="U61" i="1"/>
  <c r="AP61" i="1"/>
  <c r="BK82" i="1"/>
  <c r="F46" i="1"/>
  <c r="S51" i="1"/>
  <c r="AH51" i="1"/>
  <c r="BA51" i="1"/>
  <c r="E51" i="1"/>
  <c r="AC82" i="1"/>
  <c r="AO51" i="1"/>
  <c r="N61" i="1"/>
  <c r="AU51" i="1"/>
  <c r="AM51" i="1"/>
  <c r="AV51" i="1"/>
  <c r="M45" i="1"/>
  <c r="BH82" i="1"/>
  <c r="T46" i="1"/>
  <c r="W45" i="1"/>
  <c r="AQ82" i="1"/>
  <c r="J51" i="1"/>
  <c r="F51" i="1"/>
  <c r="AF82" i="1"/>
  <c r="N82" i="1"/>
  <c r="AE82" i="1"/>
  <c r="BD33" i="1"/>
  <c r="T82" i="1"/>
  <c r="AI82" i="1"/>
  <c r="BG82" i="1"/>
  <c r="I45" i="1"/>
  <c r="Y46" i="1"/>
  <c r="AN82" i="1"/>
  <c r="AS82" i="1"/>
  <c r="AE46" i="1"/>
  <c r="AG51" i="1"/>
  <c r="BC46" i="1"/>
  <c r="N28" i="1"/>
  <c r="BK61" i="1"/>
  <c r="AI61" i="1"/>
  <c r="AY60" i="1"/>
  <c r="M66" i="1"/>
  <c r="M67" i="1" s="1"/>
  <c r="M59" i="1"/>
  <c r="R60" i="1"/>
  <c r="X66" i="1"/>
  <c r="X67" i="1" s="1"/>
  <c r="X59" i="1"/>
  <c r="AL82" i="1"/>
  <c r="AJ82" i="1"/>
  <c r="P82" i="1"/>
  <c r="I82" i="1"/>
  <c r="AD54" i="1"/>
  <c r="L54" i="1"/>
  <c r="H82" i="1"/>
  <c r="O82" i="1"/>
  <c r="Z72" i="1"/>
  <c r="Z81" i="1" s="1"/>
  <c r="AU82" i="1"/>
  <c r="AZ35" i="1"/>
  <c r="I50" i="1"/>
  <c r="AO50" i="1"/>
  <c r="U50" i="1"/>
  <c r="BA37" i="1"/>
  <c r="AI50" i="1"/>
  <c r="AF50" i="1"/>
  <c r="AT50" i="1"/>
  <c r="K37" i="1"/>
  <c r="BF23" i="1"/>
  <c r="BF22" i="1"/>
  <c r="AA20" i="1"/>
  <c r="BG50" i="1"/>
  <c r="AT31" i="1"/>
  <c r="AO19" i="1"/>
  <c r="AO18" i="1"/>
  <c r="R19" i="1"/>
  <c r="R18" i="1"/>
  <c r="AU23" i="1"/>
  <c r="AU22" i="1"/>
  <c r="BK20" i="1"/>
  <c r="BK15" i="1"/>
  <c r="BK14" i="1"/>
  <c r="J35" i="1"/>
  <c r="BJ19" i="1"/>
  <c r="BJ18" i="1"/>
  <c r="BC20" i="1"/>
  <c r="L23" i="1"/>
  <c r="L22" i="1"/>
  <c r="Z20" i="1"/>
  <c r="AE31" i="1"/>
  <c r="AA31" i="1"/>
  <c r="M15" i="1"/>
  <c r="M14" i="1"/>
  <c r="AD23" i="1"/>
  <c r="AD22" i="1"/>
  <c r="BA23" i="1"/>
  <c r="BA22" i="1"/>
  <c r="AI19" i="1"/>
  <c r="AI18" i="1"/>
  <c r="AM20" i="1"/>
  <c r="AN60" i="1"/>
  <c r="Z60" i="1"/>
  <c r="AA66" i="1"/>
  <c r="AA67" i="1" s="1"/>
  <c r="AA59" i="1"/>
  <c r="AF54" i="1"/>
  <c r="M54" i="1"/>
  <c r="J72" i="1"/>
  <c r="J81" i="1" s="1"/>
  <c r="AW72" i="1"/>
  <c r="AW81" i="1" s="1"/>
  <c r="AD46" i="1"/>
  <c r="W37" i="1"/>
  <c r="W50" i="1"/>
  <c r="BJ35" i="1"/>
  <c r="S50" i="1"/>
  <c r="M37" i="1"/>
  <c r="AP33" i="1"/>
  <c r="Z23" i="1"/>
  <c r="Z22" i="1"/>
  <c r="K20" i="1"/>
  <c r="AD31" i="1"/>
  <c r="Y19" i="1"/>
  <c r="Y18" i="1"/>
  <c r="BD35" i="1"/>
  <c r="BB23" i="1"/>
  <c r="BB22" i="1"/>
  <c r="AE23" i="1"/>
  <c r="AE22" i="1"/>
  <c r="AV20" i="1"/>
  <c r="AV15" i="1"/>
  <c r="AV14" i="1"/>
  <c r="AT19" i="1"/>
  <c r="AT18" i="1"/>
  <c r="AV23" i="1"/>
  <c r="AV22" i="1"/>
  <c r="AS15" i="1"/>
  <c r="AS14" i="1"/>
  <c r="T15" i="1"/>
  <c r="T14" i="1"/>
  <c r="AN20" i="1"/>
  <c r="BI20" i="1"/>
  <c r="L19" i="1"/>
  <c r="L18" i="1"/>
  <c r="X60" i="1"/>
  <c r="AF66" i="1"/>
  <c r="AF67" i="1" s="1"/>
  <c r="AF62" i="1"/>
  <c r="AE66" i="1"/>
  <c r="AE67" i="1" s="1"/>
  <c r="AE62" i="1"/>
  <c r="BC66" i="1"/>
  <c r="BC67" i="1" s="1"/>
  <c r="BC59" i="1"/>
  <c r="BG60" i="1"/>
  <c r="BD61" i="1"/>
  <c r="AZ60" i="1"/>
  <c r="AW59" i="1"/>
  <c r="BH66" i="1"/>
  <c r="BH67" i="1" s="1"/>
  <c r="BH59" i="1"/>
  <c r="R82" i="1"/>
  <c r="O54" i="1"/>
  <c r="AR54" i="1"/>
  <c r="AN72" i="1"/>
  <c r="AN81" i="1" s="1"/>
  <c r="AY54" i="1"/>
  <c r="AH72" i="1"/>
  <c r="AH81" i="1" s="1"/>
  <c r="BE54" i="1"/>
  <c r="T51" i="1"/>
  <c r="AN50" i="1"/>
  <c r="AI35" i="1"/>
  <c r="AT35" i="1"/>
  <c r="N50" i="1"/>
  <c r="BK50" i="1"/>
  <c r="AB50" i="1"/>
  <c r="J23" i="1"/>
  <c r="J22" i="1"/>
  <c r="I19" i="1"/>
  <c r="I18" i="1"/>
  <c r="AL23" i="1"/>
  <c r="AL22" i="1"/>
  <c r="AZ23" i="1"/>
  <c r="AZ22" i="1"/>
  <c r="AW35" i="1"/>
  <c r="P50" i="1"/>
  <c r="N33" i="1"/>
  <c r="AF20" i="1"/>
  <c r="AF15" i="1"/>
  <c r="AF14" i="1"/>
  <c r="AY31" i="1"/>
  <c r="AD19" i="1"/>
  <c r="AD18" i="1"/>
  <c r="P23" i="1"/>
  <c r="P22" i="1"/>
  <c r="AB20" i="1"/>
  <c r="AH31" i="1"/>
  <c r="AY19" i="1"/>
  <c r="AY18" i="1"/>
  <c r="BF15" i="1"/>
  <c r="BF14" i="1"/>
  <c r="AR20" i="1"/>
  <c r="AZ31" i="1"/>
  <c r="AW32" i="1"/>
  <c r="AU31" i="1"/>
  <c r="AZ15" i="1"/>
  <c r="AZ14" i="1"/>
  <c r="M20" i="1"/>
  <c r="U60" i="1"/>
  <c r="AG66" i="1"/>
  <c r="AG67" i="1" s="1"/>
  <c r="AG62" i="1"/>
  <c r="AZ66" i="1"/>
  <c r="AZ67" i="1" s="1"/>
  <c r="AZ62" i="1"/>
  <c r="AW66" i="1"/>
  <c r="AW67" i="1" s="1"/>
  <c r="AW62" i="1"/>
  <c r="AM59" i="1"/>
  <c r="AH60" i="1"/>
  <c r="AA60" i="1"/>
  <c r="AN66" i="1"/>
  <c r="AN67" i="1" s="1"/>
  <c r="AN62" i="1"/>
  <c r="Y66" i="1"/>
  <c r="Y67" i="1" s="1"/>
  <c r="Y59" i="1"/>
  <c r="AU59" i="1"/>
  <c r="AH59" i="1"/>
  <c r="AZ59" i="1"/>
  <c r="BD82" i="1"/>
  <c r="N54" i="1"/>
  <c r="J54" i="1"/>
  <c r="AG54" i="1"/>
  <c r="AC54" i="1"/>
  <c r="X72" i="1"/>
  <c r="X81" i="1" s="1"/>
  <c r="P54" i="1"/>
  <c r="R72" i="1"/>
  <c r="R81" i="1" s="1"/>
  <c r="BD54" i="1"/>
  <c r="BC72" i="1"/>
  <c r="BC81" i="1" s="1"/>
  <c r="G46" i="1"/>
  <c r="AE51" i="1"/>
  <c r="BI51" i="1"/>
  <c r="W51" i="1"/>
  <c r="AN51" i="1"/>
  <c r="X50" i="1"/>
  <c r="Z37" i="1"/>
  <c r="T35" i="1"/>
  <c r="AD35" i="1"/>
  <c r="AU50" i="1"/>
  <c r="L50" i="1"/>
  <c r="BG32" i="1"/>
  <c r="Q37" i="1"/>
  <c r="Y50" i="1"/>
  <c r="W35" i="1"/>
  <c r="BF37" i="1"/>
  <c r="AV37" i="1"/>
  <c r="N23" i="1"/>
  <c r="N22" i="1"/>
  <c r="P20" i="1"/>
  <c r="P15" i="1"/>
  <c r="P14" i="1"/>
  <c r="AO35" i="1"/>
  <c r="BK32" i="1"/>
  <c r="S31" i="1"/>
  <c r="U15" i="1"/>
  <c r="U14" i="1"/>
  <c r="AM35" i="1"/>
  <c r="BA19" i="1"/>
  <c r="BA18" i="1"/>
  <c r="AY20" i="1"/>
  <c r="Z19" i="1"/>
  <c r="Z18" i="1"/>
  <c r="Z32" i="1"/>
  <c r="BD31" i="1"/>
  <c r="S20" i="1"/>
  <c r="T31" i="1"/>
  <c r="N20" i="1"/>
  <c r="AI20" i="1"/>
  <c r="X15" i="1"/>
  <c r="X14" i="1"/>
  <c r="AY23" i="1"/>
  <c r="AY22" i="1"/>
  <c r="AA23" i="1"/>
  <c r="AA22" i="1"/>
  <c r="AI28" i="1"/>
  <c r="U28" i="1"/>
  <c r="BD28" i="1"/>
  <c r="AS66" i="1"/>
  <c r="AS67" i="1" s="1"/>
  <c r="AS62" i="1"/>
  <c r="W66" i="1"/>
  <c r="W67" i="1" s="1"/>
  <c r="W59" i="1"/>
  <c r="I60" i="1"/>
  <c r="AB61" i="1"/>
  <c r="BF66" i="1"/>
  <c r="BF67" i="1" s="1"/>
  <c r="BF59" i="1"/>
  <c r="I66" i="1"/>
  <c r="I67" i="1" s="1"/>
  <c r="I59" i="1"/>
  <c r="AO82" i="1"/>
  <c r="AN54" i="1"/>
  <c r="BD72" i="1"/>
  <c r="BD81" i="1" s="1"/>
  <c r="AB54" i="1"/>
  <c r="AR82" i="1"/>
  <c r="AK72" i="1"/>
  <c r="AK81" i="1" s="1"/>
  <c r="W54" i="1"/>
  <c r="AP72" i="1"/>
  <c r="AP81" i="1" s="1"/>
  <c r="AU46" i="1"/>
  <c r="AM72" i="1"/>
  <c r="AM81" i="1" s="1"/>
  <c r="BF46" i="1"/>
  <c r="AL46" i="1"/>
  <c r="O51" i="1"/>
  <c r="AD51" i="1"/>
  <c r="AS51" i="1"/>
  <c r="BG51" i="1"/>
  <c r="AV46" i="1"/>
  <c r="G51" i="1"/>
  <c r="I51" i="1"/>
  <c r="BI50" i="1"/>
  <c r="AI37" i="1"/>
  <c r="AY37" i="1"/>
  <c r="AV50" i="1"/>
  <c r="AD50" i="1"/>
  <c r="L37" i="1"/>
  <c r="BG19" i="1"/>
  <c r="BG18" i="1"/>
  <c r="AA37" i="1"/>
  <c r="AW50" i="1"/>
  <c r="X32" i="1"/>
  <c r="U23" i="1"/>
  <c r="U22" i="1"/>
  <c r="BC35" i="1"/>
  <c r="AI23" i="1"/>
  <c r="AI22" i="1"/>
  <c r="BA20" i="1"/>
  <c r="AW23" i="1"/>
  <c r="AW22" i="1"/>
  <c r="AG23" i="1"/>
  <c r="AG22" i="1"/>
  <c r="L35" i="1"/>
  <c r="AU32" i="1"/>
  <c r="AL31" i="1"/>
  <c r="AB32" i="1"/>
  <c r="X20" i="1"/>
  <c r="AU20" i="1"/>
  <c r="Y31" i="1"/>
  <c r="AI15" i="1"/>
  <c r="AI14" i="1"/>
  <c r="N31" i="1"/>
  <c r="J20" i="1"/>
  <c r="AP31" i="1"/>
  <c r="S23" i="1"/>
  <c r="S22" i="1"/>
  <c r="AU15" i="1"/>
  <c r="AU14" i="1"/>
  <c r="AS19" i="1"/>
  <c r="AS18" i="1"/>
  <c r="Q31" i="1"/>
  <c r="Z66" i="1"/>
  <c r="Z67" i="1" s="1"/>
  <c r="Z59" i="1"/>
  <c r="U66" i="1"/>
  <c r="U67" i="1" s="1"/>
  <c r="U59" i="1"/>
  <c r="AM54" i="1"/>
  <c r="F54" i="1"/>
  <c r="M82" i="1"/>
  <c r="AO72" i="1"/>
  <c r="AO81" i="1" s="1"/>
  <c r="K72" i="1"/>
  <c r="K81" i="1" s="1"/>
  <c r="AN46" i="1"/>
  <c r="J46" i="1"/>
  <c r="AR50" i="1"/>
  <c r="I37" i="1"/>
  <c r="BC50" i="1"/>
  <c r="S37" i="1"/>
  <c r="BG35" i="1"/>
  <c r="AE50" i="1"/>
  <c r="M50" i="1"/>
  <c r="AS50" i="1"/>
  <c r="U33" i="1"/>
  <c r="Y35" i="1"/>
  <c r="BA35" i="1"/>
  <c r="T23" i="1"/>
  <c r="T22" i="1"/>
  <c r="AK20" i="1"/>
  <c r="AH23" i="1"/>
  <c r="AH22" i="1"/>
  <c r="Q23" i="1"/>
  <c r="Q22" i="1"/>
  <c r="AW20" i="1"/>
  <c r="AD32" i="1"/>
  <c r="AB19" i="1"/>
  <c r="AB18" i="1"/>
  <c r="L15" i="1"/>
  <c r="L14" i="1"/>
  <c r="BC32" i="1"/>
  <c r="K31" i="1"/>
  <c r="W15" i="1"/>
  <c r="W14" i="1"/>
  <c r="AK66" i="1"/>
  <c r="AK67" i="1" s="1"/>
  <c r="AK62" i="1"/>
  <c r="BC60" i="1"/>
  <c r="AE60" i="1"/>
  <c r="AP66" i="1"/>
  <c r="AP67" i="1" s="1"/>
  <c r="AP62" i="1"/>
  <c r="S66" i="1"/>
  <c r="S67" i="1" s="1"/>
  <c r="S59" i="1"/>
  <c r="AR60" i="1"/>
  <c r="J66" i="1"/>
  <c r="J67" i="1" s="1"/>
  <c r="J59" i="1"/>
  <c r="AT59" i="1"/>
  <c r="AR59" i="1"/>
  <c r="BF82" i="1"/>
  <c r="V82" i="1"/>
  <c r="V54" i="1"/>
  <c r="BC82" i="1"/>
  <c r="BB54" i="1"/>
  <c r="AZ54" i="1"/>
  <c r="AV82" i="1"/>
  <c r="BI82" i="1"/>
  <c r="BH72" i="1"/>
  <c r="Y72" i="1"/>
  <c r="Y81" i="1" s="1"/>
  <c r="AZ72" i="1"/>
  <c r="AZ81" i="1" s="1"/>
  <c r="AG72" i="1"/>
  <c r="AG81" i="1" s="1"/>
  <c r="BA72" i="1"/>
  <c r="BA81" i="1" s="1"/>
  <c r="Q51" i="1"/>
  <c r="AK46" i="1"/>
  <c r="BB46" i="1"/>
  <c r="AA50" i="1"/>
  <c r="AL50" i="1"/>
  <c r="AZ50" i="1"/>
  <c r="BK31" i="1"/>
  <c r="AP19" i="1"/>
  <c r="AP18" i="1"/>
  <c r="X35" i="1"/>
  <c r="BI37" i="1"/>
  <c r="BA32" i="1"/>
  <c r="R23" i="1"/>
  <c r="R22" i="1"/>
  <c r="AH20" i="1"/>
  <c r="AW33" i="1"/>
  <c r="M32" i="1"/>
  <c r="BB20" i="1"/>
  <c r="AM22" i="1"/>
  <c r="AM23" i="1"/>
  <c r="U20" i="1"/>
  <c r="K32" i="1"/>
  <c r="AT32" i="1"/>
  <c r="AO31" i="1"/>
  <c r="AN19" i="1"/>
  <c r="AN18" i="1"/>
  <c r="N66" i="1"/>
  <c r="N67" i="1" s="1"/>
  <c r="N59" i="1"/>
  <c r="BI60" i="1"/>
  <c r="AM60" i="1"/>
  <c r="AI60" i="1"/>
  <c r="BA59" i="1"/>
  <c r="AW61" i="1"/>
  <c r="S60" i="1"/>
  <c r="T66" i="1"/>
  <c r="T67" i="1" s="1"/>
  <c r="T59" i="1"/>
  <c r="R66" i="1"/>
  <c r="R67" i="1" s="1"/>
  <c r="R59" i="1"/>
  <c r="AL59" i="1"/>
  <c r="BG66" i="1"/>
  <c r="BG67" i="1" s="1"/>
  <c r="BG59" i="1"/>
  <c r="Z82" i="1"/>
  <c r="U82" i="1"/>
  <c r="U54" i="1"/>
  <c r="AK54" i="1"/>
  <c r="Q54" i="1"/>
  <c r="AD82" i="1"/>
  <c r="W82" i="1"/>
  <c r="AR72" i="1"/>
  <c r="AR81" i="1" s="1"/>
  <c r="I72" i="1"/>
  <c r="I81" i="1" s="1"/>
  <c r="AT82" i="1"/>
  <c r="BH54" i="1"/>
  <c r="AD72" i="1"/>
  <c r="AD81" i="1" s="1"/>
  <c r="BJ72" i="1"/>
  <c r="Q72" i="1"/>
  <c r="Q81" i="1" s="1"/>
  <c r="BH46" i="1"/>
  <c r="S46" i="1"/>
  <c r="M51" i="1"/>
  <c r="AA51" i="1"/>
  <c r="BF51" i="1"/>
  <c r="BB51" i="1"/>
  <c r="K46" i="1"/>
  <c r="J50" i="1"/>
  <c r="AY35" i="1"/>
  <c r="R50" i="1"/>
  <c r="AP35" i="1"/>
  <c r="AH35" i="1"/>
  <c r="AV31" i="1"/>
  <c r="AA19" i="1"/>
  <c r="AA18" i="1"/>
  <c r="BD20" i="1"/>
  <c r="BD15" i="1"/>
  <c r="BD14" i="1"/>
  <c r="BF32" i="1"/>
  <c r="AU35" i="1"/>
  <c r="R20" i="1"/>
  <c r="AW15" i="1"/>
  <c r="AW14" i="1"/>
  <c r="BJ15" i="1"/>
  <c r="BJ14" i="1"/>
  <c r="AK37" i="1"/>
  <c r="BC19" i="1"/>
  <c r="BC18" i="1"/>
  <c r="AG32" i="1"/>
  <c r="I35" i="1"/>
  <c r="AP23" i="1"/>
  <c r="AP22" i="1"/>
  <c r="BK23" i="1"/>
  <c r="BK22" i="1"/>
  <c r="Q20" i="1"/>
  <c r="AL20" i="1"/>
  <c r="I31" i="1"/>
  <c r="S19" i="1"/>
  <c r="S18" i="1"/>
  <c r="AI66" i="1"/>
  <c r="AI67" i="1" s="1"/>
  <c r="AI62" i="1"/>
  <c r="AY66" i="1"/>
  <c r="AY67" i="1" s="1"/>
  <c r="AY62" i="1"/>
  <c r="AU60" i="1"/>
  <c r="AY59" i="1"/>
  <c r="W60" i="1"/>
  <c r="BK60" i="1"/>
  <c r="N60" i="1"/>
  <c r="K60" i="1"/>
  <c r="AK59" i="1"/>
  <c r="AG59" i="1"/>
  <c r="AP59" i="1"/>
  <c r="L66" i="1"/>
  <c r="L67" i="1" s="1"/>
  <c r="L59" i="1"/>
  <c r="E54" i="1"/>
  <c r="S82" i="1"/>
  <c r="T54" i="1"/>
  <c r="Q82" i="1"/>
  <c r="J82" i="1"/>
  <c r="L82" i="1"/>
  <c r="BL82" i="1"/>
  <c r="AU72" i="1"/>
  <c r="AU81" i="1" s="1"/>
  <c r="L72" i="1"/>
  <c r="L81" i="1" s="1"/>
  <c r="AE54" i="1"/>
  <c r="BI54" i="1"/>
  <c r="Z54" i="1"/>
  <c r="AI72" i="1"/>
  <c r="AI81" i="1" s="1"/>
  <c r="W72" i="1"/>
  <c r="W81" i="1" s="1"/>
  <c r="X46" i="1"/>
  <c r="AY51" i="1"/>
  <c r="K51" i="1"/>
  <c r="Z51" i="1"/>
  <c r="AL51" i="1"/>
  <c r="S35" i="1"/>
  <c r="BD32" i="1"/>
  <c r="AA35" i="1"/>
  <c r="AF31" i="1"/>
  <c r="K19" i="1"/>
  <c r="K18" i="1"/>
  <c r="X37" i="1"/>
  <c r="AN23" i="1"/>
  <c r="AN22" i="1"/>
  <c r="AO20" i="1"/>
  <c r="AO15" i="1"/>
  <c r="AO14" i="1"/>
  <c r="T37" i="1"/>
  <c r="AN32" i="1"/>
  <c r="J37" i="1"/>
  <c r="AI32" i="1"/>
  <c r="AV35" i="1"/>
  <c r="R35" i="1"/>
  <c r="AH15" i="1"/>
  <c r="AH14" i="1"/>
  <c r="N35" i="1"/>
  <c r="BK19" i="1"/>
  <c r="BK18" i="1"/>
  <c r="BK33" i="1"/>
  <c r="BI23" i="1"/>
  <c r="BI22" i="1"/>
  <c r="AT15" i="1"/>
  <c r="AT14" i="1"/>
  <c r="AE20" i="1"/>
  <c r="AT23" i="1"/>
  <c r="AT22" i="1"/>
  <c r="AG19" i="1"/>
  <c r="AG18" i="1"/>
  <c r="K23" i="1"/>
  <c r="K22" i="1"/>
  <c r="AZ19" i="1"/>
  <c r="AZ18" i="1"/>
  <c r="BI15" i="1"/>
  <c r="BI14" i="1"/>
  <c r="AS20" i="1"/>
  <c r="AF23" i="1"/>
  <c r="AF22" i="1"/>
  <c r="BH23" i="1"/>
  <c r="BH22" i="1"/>
  <c r="T19" i="1"/>
  <c r="T18" i="1"/>
  <c r="L20" i="1"/>
  <c r="BI19" i="1"/>
  <c r="BI18" i="1"/>
  <c r="BH20" i="1"/>
  <c r="AB15" i="1"/>
  <c r="AB14" i="1"/>
  <c r="AV60" i="1"/>
  <c r="BD60" i="1"/>
  <c r="Q66" i="1"/>
  <c r="Q67" i="1" s="1"/>
  <c r="Q59" i="1"/>
  <c r="Q60" i="1"/>
  <c r="P66" i="1"/>
  <c r="P67" i="1" s="1"/>
  <c r="P59" i="1"/>
  <c r="BK66" i="1"/>
  <c r="BK67" i="1" s="1"/>
  <c r="BK59" i="1"/>
  <c r="AE72" i="1"/>
  <c r="AE81" i="1" s="1"/>
  <c r="AA54" i="1"/>
  <c r="T72" i="1"/>
  <c r="T81" i="1" s="1"/>
  <c r="BI46" i="1"/>
  <c r="R46" i="1"/>
  <c r="AZ46" i="1"/>
  <c r="AT46" i="1"/>
  <c r="AK51" i="1"/>
  <c r="BG37" i="1"/>
  <c r="AL37" i="1"/>
  <c r="BB50" i="1"/>
  <c r="AO32" i="1"/>
  <c r="BI35" i="1"/>
  <c r="K35" i="1"/>
  <c r="BB35" i="1"/>
  <c r="BI32" i="1"/>
  <c r="P31" i="1"/>
  <c r="X23" i="1"/>
  <c r="X22" i="1"/>
  <c r="Y20" i="1"/>
  <c r="Y15" i="1"/>
  <c r="Y14" i="1"/>
  <c r="W32" i="1"/>
  <c r="Z35" i="1"/>
  <c r="S32" i="1"/>
  <c r="K50" i="1"/>
  <c r="R15" i="1"/>
  <c r="R14" i="1"/>
  <c r="AF32" i="1"/>
  <c r="BA31" i="1"/>
  <c r="AV19" i="1"/>
  <c r="AV18" i="1"/>
  <c r="AO37" i="1"/>
  <c r="AS23" i="1"/>
  <c r="AS22" i="1"/>
  <c r="BJ20" i="1"/>
  <c r="AD15" i="1"/>
  <c r="AD14" i="1"/>
  <c r="AP32" i="1"/>
  <c r="BI31" i="1"/>
  <c r="AL15" i="1"/>
  <c r="AL14" i="1"/>
  <c r="T20" i="1"/>
  <c r="BJ32" i="1"/>
  <c r="BC23" i="1"/>
  <c r="BC22" i="1"/>
  <c r="AL19" i="1"/>
  <c r="AL18" i="1"/>
  <c r="BA15" i="1"/>
  <c r="BA14" i="1"/>
  <c r="BA66" i="1"/>
  <c r="BA67" i="1" s="1"/>
  <c r="BA62" i="1"/>
  <c r="AV66" i="1"/>
  <c r="AV67" i="1" s="1"/>
  <c r="AV62" i="1"/>
  <c r="AU66" i="1"/>
  <c r="AU67" i="1" s="1"/>
  <c r="AU62" i="1"/>
  <c r="AF60" i="1"/>
  <c r="BJ60" i="1"/>
  <c r="BH60" i="1"/>
  <c r="AK60" i="1"/>
  <c r="AN59" i="1"/>
  <c r="L60" i="1"/>
  <c r="AX82" i="1"/>
  <c r="H54" i="1"/>
  <c r="BJ54" i="1"/>
  <c r="AP82" i="1"/>
  <c r="AV54" i="1"/>
  <c r="BB72" i="1"/>
  <c r="BB81" i="1" s="1"/>
  <c r="AS46" i="1"/>
  <c r="BG46" i="1"/>
  <c r="R51" i="1"/>
  <c r="AH46" i="1"/>
  <c r="AA46" i="1"/>
  <c r="AM46" i="1"/>
  <c r="P51" i="1"/>
  <c r="AK50" i="1"/>
  <c r="Y32" i="1"/>
  <c r="AS35" i="1"/>
  <c r="AL35" i="1"/>
  <c r="AR32" i="1"/>
  <c r="BH35" i="1"/>
  <c r="I20" i="1"/>
  <c r="I15" i="1"/>
  <c r="BH31" i="1"/>
  <c r="AK31" i="1"/>
  <c r="AF19" i="1"/>
  <c r="AF18" i="1"/>
  <c r="AT20" i="1"/>
  <c r="BB19" i="1"/>
  <c r="BB18" i="1"/>
  <c r="AE32" i="1"/>
  <c r="AN15" i="1"/>
  <c r="AN14" i="1"/>
  <c r="X19" i="1"/>
  <c r="X18" i="1"/>
  <c r="AR19" i="1"/>
  <c r="AR18" i="1"/>
  <c r="BB15" i="1"/>
  <c r="BB14" i="1"/>
  <c r="W23" i="1"/>
  <c r="W22" i="1"/>
  <c r="BF20" i="1"/>
  <c r="P60" i="1"/>
  <c r="AT60" i="1"/>
  <c r="J60" i="1"/>
  <c r="AB60" i="1"/>
  <c r="BA60" i="1"/>
  <c r="BJ66" i="1"/>
  <c r="BJ67" i="1" s="1"/>
  <c r="BJ59" i="1"/>
  <c r="BD66" i="1"/>
  <c r="BD67" i="1" s="1"/>
  <c r="BD59" i="1"/>
  <c r="AX54" i="1"/>
  <c r="N72" i="1"/>
  <c r="N81" i="1" s="1"/>
  <c r="BI72" i="1"/>
  <c r="AL72" i="1"/>
  <c r="AL81" i="1" s="1"/>
  <c r="BG72" i="1"/>
  <c r="S72" i="1"/>
  <c r="S81" i="1" s="1"/>
  <c r="AY72" i="1"/>
  <c r="AY81" i="1" s="1"/>
  <c r="AO46" i="1"/>
  <c r="P46" i="1"/>
  <c r="AY46" i="1"/>
  <c r="I46" i="1"/>
  <c r="H51" i="1"/>
  <c r="Y37" i="1"/>
  <c r="AN37" i="1"/>
  <c r="AG35" i="1"/>
  <c r="T50" i="1"/>
  <c r="I32" i="1"/>
  <c r="AA32" i="1"/>
  <c r="BG15" i="1"/>
  <c r="BG14" i="1"/>
  <c r="AF35" i="1"/>
  <c r="AM32" i="1"/>
  <c r="AR31" i="1"/>
  <c r="AG50" i="1"/>
  <c r="BF31" i="1"/>
  <c r="BC31" i="1"/>
  <c r="N32" i="1"/>
  <c r="P19" i="1"/>
  <c r="P18" i="1"/>
  <c r="AB33" i="1"/>
  <c r="AB23" i="1"/>
  <c r="AB22" i="1"/>
  <c r="AD20" i="1"/>
  <c r="AE19" i="1"/>
  <c r="AE18" i="1"/>
  <c r="AG31" i="1"/>
  <c r="S15" i="1"/>
  <c r="S14" i="1"/>
  <c r="AB31" i="1"/>
  <c r="N15" i="1"/>
  <c r="N14" i="1"/>
  <c r="AE15" i="1"/>
  <c r="AE14" i="1"/>
  <c r="AM19" i="1"/>
  <c r="AM18" i="1"/>
  <c r="N19" i="1"/>
  <c r="N18" i="1"/>
  <c r="AS32" i="1"/>
  <c r="AG20" i="1"/>
  <c r="J15" i="1"/>
  <c r="J14" i="1"/>
  <c r="AD66" i="1"/>
  <c r="AD67" i="1" s="1"/>
  <c r="AD62" i="1"/>
  <c r="AH66" i="1"/>
  <c r="AH67" i="1" s="1"/>
  <c r="AH62" i="1"/>
  <c r="AR66" i="1"/>
  <c r="AR67" i="1" s="1"/>
  <c r="AR62" i="1"/>
  <c r="AD60" i="1"/>
  <c r="BF60" i="1"/>
  <c r="AW60" i="1"/>
  <c r="AS60" i="1"/>
  <c r="BI66" i="1"/>
  <c r="BI67" i="1" s="1"/>
  <c r="BI59" i="1"/>
  <c r="AO60" i="1"/>
  <c r="AE59" i="1"/>
  <c r="AF59" i="1"/>
  <c r="AW54" i="1"/>
  <c r="BF54" i="1"/>
  <c r="BA54" i="1"/>
  <c r="AB82" i="1"/>
  <c r="BK72" i="1"/>
  <c r="AS72" i="1"/>
  <c r="AS81" i="1" s="1"/>
  <c r="W46" i="1"/>
  <c r="AG46" i="1"/>
  <c r="Y51" i="1"/>
  <c r="Z46" i="1"/>
  <c r="BH50" i="1"/>
  <c r="Q35" i="1"/>
  <c r="AZ37" i="1"/>
  <c r="AB35" i="1"/>
  <c r="AY50" i="1"/>
  <c r="P37" i="1"/>
  <c r="BJ37" i="1"/>
  <c r="U35" i="1"/>
  <c r="BJ50" i="1"/>
  <c r="J32" i="1"/>
  <c r="BF35" i="1"/>
  <c r="L31" i="1"/>
  <c r="Z31" i="1"/>
  <c r="BB37" i="1"/>
  <c r="AM31" i="1"/>
  <c r="M23" i="1"/>
  <c r="M22" i="1"/>
  <c r="J19" i="1"/>
  <c r="J18" i="1"/>
  <c r="AL32" i="1"/>
  <c r="AI31" i="1"/>
  <c r="AO23" i="1"/>
  <c r="AO22" i="1"/>
  <c r="AM15" i="1"/>
  <c r="AM14" i="1"/>
  <c r="BB31" i="1"/>
  <c r="BH32" i="1"/>
  <c r="Q19" i="1"/>
  <c r="Q18" i="1"/>
  <c r="AS31" i="1"/>
  <c r="BH19" i="1"/>
  <c r="BH18" i="1"/>
  <c r="AO66" i="1"/>
  <c r="AO67" i="1" s="1"/>
  <c r="AO62" i="1"/>
  <c r="AM66" i="1"/>
  <c r="AM67" i="1" s="1"/>
  <c r="AM62" i="1"/>
  <c r="AG60" i="1"/>
  <c r="Y60" i="1"/>
  <c r="T60" i="1"/>
  <c r="AL66" i="1"/>
  <c r="AL67" i="1" s="1"/>
  <c r="AL62" i="1"/>
  <c r="AS59" i="1"/>
  <c r="M60" i="1"/>
  <c r="AI59" i="1"/>
  <c r="AH54" i="1"/>
  <c r="AO54" i="1"/>
  <c r="BC54" i="1"/>
  <c r="AJ54" i="1"/>
  <c r="BL54" i="1"/>
  <c r="AV72" i="1"/>
  <c r="AV81" i="1" s="1"/>
  <c r="AS54" i="1"/>
  <c r="AQ54" i="1"/>
  <c r="BG54" i="1"/>
  <c r="U72" i="1"/>
  <c r="U81" i="1" s="1"/>
  <c r="M46" i="1"/>
  <c r="E46" i="1"/>
  <c r="BC37" i="1"/>
  <c r="BD50" i="1"/>
  <c r="M35" i="1"/>
  <c r="AH50" i="1"/>
  <c r="AU37" i="1"/>
  <c r="BG20" i="1"/>
  <c r="AP15" i="1"/>
  <c r="AP14" i="1"/>
  <c r="AE35" i="1"/>
  <c r="U32" i="1"/>
  <c r="BB32" i="1"/>
  <c r="J31" i="1"/>
  <c r="AZ32" i="1"/>
  <c r="AN31" i="1"/>
  <c r="AY32" i="1"/>
  <c r="W31" i="1"/>
  <c r="AR35" i="1"/>
  <c r="AR15" i="1"/>
  <c r="AR14" i="1"/>
  <c r="I23" i="1"/>
  <c r="I22" i="1"/>
  <c r="Q15" i="1"/>
  <c r="Q14" i="1"/>
  <c r="AK23" i="1"/>
  <c r="AK22" i="1"/>
  <c r="AU19" i="1"/>
  <c r="AU18" i="1"/>
  <c r="P32" i="1"/>
  <c r="BC15" i="1"/>
  <c r="BC14" i="1"/>
  <c r="L32" i="1"/>
  <c r="AW31" i="1"/>
  <c r="AV32" i="1"/>
  <c r="M31" i="1"/>
  <c r="AK19" i="1"/>
  <c r="AK18" i="1"/>
  <c r="U19" i="1"/>
  <c r="U18" i="1"/>
  <c r="AW28" i="1"/>
  <c r="AP28" i="1"/>
  <c r="BB60" i="1"/>
  <c r="K66" i="1"/>
  <c r="K67" i="1" s="1"/>
  <c r="K59" i="1"/>
  <c r="AD59" i="1"/>
  <c r="R54" i="1"/>
  <c r="X54" i="1"/>
  <c r="AL54" i="1"/>
  <c r="AI54" i="1"/>
  <c r="AZ82" i="1"/>
  <c r="BK54" i="1"/>
  <c r="AF72" i="1"/>
  <c r="AF81" i="1" s="1"/>
  <c r="K54" i="1"/>
  <c r="AP54" i="1"/>
  <c r="AB72" i="1"/>
  <c r="AB81" i="1" s="1"/>
  <c r="Y54" i="1"/>
  <c r="AA72" i="1"/>
  <c r="AA81" i="1" s="1"/>
  <c r="AT72" i="1"/>
  <c r="AT81" i="1" s="1"/>
  <c r="BA46" i="1"/>
  <c r="AR51" i="1"/>
  <c r="AF46" i="1"/>
  <c r="AR46" i="1"/>
  <c r="BH37" i="1"/>
  <c r="AP50" i="1"/>
  <c r="AM50" i="1"/>
  <c r="BA50" i="1"/>
  <c r="R37" i="1"/>
  <c r="Q50" i="1"/>
  <c r="AS37" i="1"/>
  <c r="AA15" i="1"/>
  <c r="AA14" i="1"/>
  <c r="AK32" i="1"/>
  <c r="R32" i="1"/>
  <c r="X31" i="1"/>
  <c r="AH32" i="1"/>
  <c r="AW19" i="1"/>
  <c r="AW18" i="1"/>
  <c r="P35" i="1"/>
  <c r="AR37" i="1"/>
  <c r="BK35" i="1"/>
  <c r="BH15" i="1"/>
  <c r="BH14" i="1"/>
  <c r="W19" i="1"/>
  <c r="W18" i="1"/>
  <c r="U31" i="1"/>
  <c r="AG15" i="1"/>
  <c r="AG14" i="1"/>
  <c r="R31" i="1"/>
  <c r="BD23" i="1"/>
  <c r="BD22" i="1"/>
  <c r="AY15" i="1"/>
  <c r="AY14" i="1"/>
  <c r="M19" i="1"/>
  <c r="M18" i="1"/>
  <c r="BF19" i="1"/>
  <c r="BF18" i="1"/>
  <c r="BG23" i="1"/>
  <c r="BG22" i="1"/>
  <c r="AT66" i="1"/>
  <c r="AT67" i="1" s="1"/>
  <c r="AT62" i="1"/>
  <c r="AB28" i="1"/>
  <c r="BK28" i="1"/>
  <c r="AL60" i="1"/>
  <c r="AB66" i="1"/>
  <c r="AB67" i="1" s="1"/>
  <c r="AB59" i="1"/>
  <c r="AP60" i="1"/>
  <c r="AV59" i="1"/>
  <c r="AO59" i="1"/>
  <c r="BB66" i="1"/>
  <c r="BB67" i="1" s="1"/>
  <c r="BB59" i="1"/>
  <c r="G54" i="1"/>
  <c r="BB82" i="1"/>
  <c r="S54" i="1"/>
  <c r="AU54" i="1"/>
  <c r="AT54" i="1"/>
  <c r="P72" i="1"/>
  <c r="P81" i="1" s="1"/>
  <c r="AA82" i="1"/>
  <c r="I54" i="1"/>
  <c r="M72" i="1"/>
  <c r="M81" i="1" s="1"/>
  <c r="AY82" i="1"/>
  <c r="BF72" i="1"/>
  <c r="AG82" i="1"/>
  <c r="BJ46" i="1"/>
  <c r="Q46" i="1"/>
  <c r="L51" i="1"/>
  <c r="L46" i="1"/>
  <c r="X51" i="1"/>
  <c r="AM37" i="1"/>
  <c r="Z50" i="1"/>
  <c r="BF50" i="1"/>
  <c r="AT37" i="1"/>
  <c r="AP20" i="1"/>
  <c r="K15" i="1"/>
  <c r="K14" i="1"/>
  <c r="BJ31" i="1"/>
  <c r="BD19" i="1"/>
  <c r="BD18" i="1"/>
  <c r="T32" i="1"/>
  <c r="AI33" i="1"/>
  <c r="Q32" i="1"/>
  <c r="AH19" i="1"/>
  <c r="AH18" i="1"/>
  <c r="AN35" i="1"/>
  <c r="AK35" i="1"/>
  <c r="AR23" i="1"/>
  <c r="AR22" i="1"/>
  <c r="AZ20" i="1"/>
  <c r="W20" i="1"/>
  <c r="BG31" i="1"/>
  <c r="AK15" i="1"/>
  <c r="AK14" i="1"/>
  <c r="BJ23" i="1"/>
  <c r="BJ22" i="1"/>
  <c r="Y23" i="1"/>
  <c r="Y22" i="1"/>
  <c r="Z15" i="1"/>
  <c r="Z14" i="1"/>
  <c r="BL46" i="1" l="1"/>
  <c r="AX46" i="1"/>
  <c r="AC46" i="1"/>
  <c r="AJ46" i="1"/>
  <c r="BR46" i="1"/>
  <c r="V46" i="1"/>
  <c r="O46" i="1"/>
  <c r="H46" i="1"/>
  <c r="BT46" i="1"/>
  <c r="AQ46" i="1"/>
  <c r="BO45" i="1"/>
  <c r="BM45" i="1"/>
  <c r="BP45" i="1"/>
  <c r="AC45" i="1"/>
  <c r="AC47" i="1"/>
  <c r="V47" i="1"/>
  <c r="H47" i="1"/>
  <c r="BE46" i="1"/>
  <c r="BS46" i="1"/>
  <c r="AK55" i="1"/>
  <c r="AK92" i="1" s="1"/>
  <c r="AC55" i="1"/>
  <c r="AC92" i="1" s="1"/>
  <c r="M55" i="1"/>
  <c r="M92" i="1" s="1"/>
  <c r="T21" i="1"/>
  <c r="AW51" i="1"/>
  <c r="AW52" i="1" s="1"/>
  <c r="BH51" i="1"/>
  <c r="BH52" i="1" s="1"/>
  <c r="T45" i="1"/>
  <c r="AI51" i="1"/>
  <c r="AI52" i="1" s="1"/>
  <c r="AI99" i="1" s="1"/>
  <c r="Q52" i="1"/>
  <c r="Q99" i="1" s="1"/>
  <c r="AG45" i="1"/>
  <c r="L21" i="1"/>
  <c r="R55" i="1"/>
  <c r="R98" i="1" s="1"/>
  <c r="H55" i="1"/>
  <c r="BJ45" i="1"/>
  <c r="Z45" i="1"/>
  <c r="AU24" i="1"/>
  <c r="AU25" i="1" s="1"/>
  <c r="U21" i="1"/>
  <c r="AH24" i="1"/>
  <c r="AH25" i="1" s="1"/>
  <c r="N24" i="1"/>
  <c r="N25" i="1" s="1"/>
  <c r="BF21" i="1"/>
  <c r="S47" i="1"/>
  <c r="AH52" i="1"/>
  <c r="AH99" i="1" s="1"/>
  <c r="Z24" i="1"/>
  <c r="Z25" i="1" s="1"/>
  <c r="AU52" i="1"/>
  <c r="AU99" i="1" s="1"/>
  <c r="S45" i="1"/>
  <c r="AF24" i="1"/>
  <c r="AF25" i="1" s="1"/>
  <c r="AB51" i="1"/>
  <c r="AB52" i="1" s="1"/>
  <c r="Y47" i="1"/>
  <c r="BJ52" i="1"/>
  <c r="BJ99" i="1" s="1"/>
  <c r="AP45" i="1"/>
  <c r="T52" i="1"/>
  <c r="T99" i="1" s="1"/>
  <c r="AB44" i="1"/>
  <c r="AZ52" i="1"/>
  <c r="AZ99" i="1" s="1"/>
  <c r="AR45" i="1"/>
  <c r="BJ55" i="1"/>
  <c r="BJ92" i="1" s="1"/>
  <c r="J24" i="1"/>
  <c r="J25" i="1" s="1"/>
  <c r="BG55" i="1"/>
  <c r="BG92" i="1" s="1"/>
  <c r="AP21" i="1"/>
  <c r="W55" i="1"/>
  <c r="W92" i="1" s="1"/>
  <c r="T47" i="1"/>
  <c r="Y55" i="1"/>
  <c r="H45" i="1"/>
  <c r="Y45" i="1"/>
  <c r="BD51" i="1"/>
  <c r="BD52" i="1" s="1"/>
  <c r="BD99" i="1" s="1"/>
  <c r="BI45" i="1"/>
  <c r="V55" i="1"/>
  <c r="V92" i="1" s="1"/>
  <c r="J55" i="1"/>
  <c r="J92" i="1" s="1"/>
  <c r="AZ55" i="1"/>
  <c r="AZ90" i="1" s="1"/>
  <c r="V45" i="1"/>
  <c r="U51" i="1"/>
  <c r="U52" i="1" s="1"/>
  <c r="V51" i="1"/>
  <c r="BR45" i="1"/>
  <c r="AG52" i="1"/>
  <c r="AG99" i="1" s="1"/>
  <c r="AY55" i="1"/>
  <c r="AY92" i="1" s="1"/>
  <c r="BC55" i="1"/>
  <c r="BC92" i="1" s="1"/>
  <c r="Q55" i="1"/>
  <c r="Q92" i="1" s="1"/>
  <c r="Z55" i="1"/>
  <c r="Z98" i="1" s="1"/>
  <c r="T55" i="1"/>
  <c r="T92" i="1" s="1"/>
  <c r="BF52" i="1"/>
  <c r="BF99" i="1" s="1"/>
  <c r="S55" i="1"/>
  <c r="S92" i="1" s="1"/>
  <c r="BC52" i="1"/>
  <c r="BC99" i="1" s="1"/>
  <c r="AV52" i="1"/>
  <c r="AV99" i="1" s="1"/>
  <c r="AT21" i="1"/>
  <c r="AM55" i="1"/>
  <c r="AM90" i="1" s="1"/>
  <c r="BL55" i="1"/>
  <c r="P24" i="1"/>
  <c r="P25" i="1" s="1"/>
  <c r="G55" i="1"/>
  <c r="G92" i="1" s="1"/>
  <c r="AK21" i="1"/>
  <c r="AE52" i="1"/>
  <c r="AE99" i="1" s="1"/>
  <c r="AO21" i="1"/>
  <c r="BJ21" i="1"/>
  <c r="S52" i="1"/>
  <c r="S99" i="1" s="1"/>
  <c r="AD55" i="1"/>
  <c r="AD92" i="1" s="1"/>
  <c r="M24" i="1"/>
  <c r="M25" i="1" s="1"/>
  <c r="AL24" i="1"/>
  <c r="AL25" i="1" s="1"/>
  <c r="U24" i="1"/>
  <c r="U25" i="1" s="1"/>
  <c r="J52" i="1"/>
  <c r="J83" i="1" s="1"/>
  <c r="J84" i="1" s="1"/>
  <c r="AV24" i="1"/>
  <c r="AV25" i="1" s="1"/>
  <c r="AY52" i="1"/>
  <c r="AY99" i="1" s="1"/>
  <c r="K52" i="1"/>
  <c r="K99" i="1" s="1"/>
  <c r="AU55" i="1"/>
  <c r="BB24" i="1"/>
  <c r="BB25" i="1" s="1"/>
  <c r="AO52" i="1"/>
  <c r="W21" i="1"/>
  <c r="AM24" i="1"/>
  <c r="AM25" i="1" s="1"/>
  <c r="AS21" i="1"/>
  <c r="Z52" i="1"/>
  <c r="Z99" i="1" s="1"/>
  <c r="AT55" i="1"/>
  <c r="AT90" i="1" s="1"/>
  <c r="AK24" i="1"/>
  <c r="AK25" i="1" s="1"/>
  <c r="BD21" i="1"/>
  <c r="AG47" i="1"/>
  <c r="AZ21" i="1"/>
  <c r="K55" i="1"/>
  <c r="BI24" i="1"/>
  <c r="BI25" i="1" s="1"/>
  <c r="K24" i="1"/>
  <c r="K25" i="1" s="1"/>
  <c r="AS52" i="1"/>
  <c r="AS99" i="1" s="1"/>
  <c r="AY47" i="1"/>
  <c r="BB52" i="1"/>
  <c r="BB99" i="1" s="1"/>
  <c r="BJ47" i="1"/>
  <c r="Q24" i="1"/>
  <c r="Q25" i="1" s="1"/>
  <c r="AX55" i="1"/>
  <c r="AX92" i="1" s="1"/>
  <c r="X55" i="1"/>
  <c r="AM52" i="1"/>
  <c r="AM99" i="1" s="1"/>
  <c r="N51" i="1"/>
  <c r="N52" i="1" s="1"/>
  <c r="AE21" i="1"/>
  <c r="BA52" i="1"/>
  <c r="BA99" i="1" s="1"/>
  <c r="U46" i="1"/>
  <c r="AD52" i="1"/>
  <c r="AD99" i="1" s="1"/>
  <c r="AV55" i="1"/>
  <c r="AB21" i="1"/>
  <c r="K21" i="1"/>
  <c r="X24" i="1"/>
  <c r="X25" i="1" s="1"/>
  <c r="M21" i="1"/>
  <c r="BD46" i="1"/>
  <c r="F55" i="1"/>
  <c r="M52" i="1"/>
  <c r="M99" i="1" s="1"/>
  <c r="AU21" i="1"/>
  <c r="AI21" i="1"/>
  <c r="W24" i="1"/>
  <c r="W25" i="1" s="1"/>
  <c r="AD21" i="1"/>
  <c r="I21" i="1"/>
  <c r="AE55" i="1"/>
  <c r="BB55" i="1"/>
  <c r="AA21" i="1"/>
  <c r="BH24" i="1"/>
  <c r="BH25" i="1" s="1"/>
  <c r="BI52" i="1"/>
  <c r="BI99" i="1" s="1"/>
  <c r="BD24" i="1"/>
  <c r="BD25" i="1" s="1"/>
  <c r="AB46" i="1"/>
  <c r="S24" i="1"/>
  <c r="S25" i="1" s="1"/>
  <c r="AW24" i="1"/>
  <c r="AW25" i="1" s="1"/>
  <c r="BK51" i="1"/>
  <c r="BK52" i="1" s="1"/>
  <c r="L55" i="1"/>
  <c r="AW37" i="1"/>
  <c r="U37" i="1"/>
  <c r="AL95" i="1"/>
  <c r="AL97" i="1"/>
  <c r="BG17" i="1"/>
  <c r="BG16" i="1"/>
  <c r="X45" i="1"/>
  <c r="M95" i="1"/>
  <c r="M97" i="1"/>
  <c r="AE24" i="1"/>
  <c r="AE25" i="1" s="1"/>
  <c r="AK95" i="1"/>
  <c r="AK97" i="1"/>
  <c r="BH95" i="1"/>
  <c r="BH97" i="1"/>
  <c r="AE44" i="1"/>
  <c r="AA44" i="1"/>
  <c r="AV45" i="1"/>
  <c r="AK76" i="1"/>
  <c r="AK79" i="1" s="1"/>
  <c r="X17" i="1"/>
  <c r="X16" i="1"/>
  <c r="BG24" i="1"/>
  <c r="BG25" i="1" s="1"/>
  <c r="AN76" i="1"/>
  <c r="AN79" i="1" s="1"/>
  <c r="L44" i="1"/>
  <c r="AF51" i="1"/>
  <c r="AF52" i="1" s="1"/>
  <c r="N37" i="1"/>
  <c r="I52" i="1"/>
  <c r="BT45" i="1"/>
  <c r="S76" i="1"/>
  <c r="S79" i="1" s="1"/>
  <c r="BG76" i="1"/>
  <c r="AD97" i="1"/>
  <c r="AD95" i="1"/>
  <c r="J95" i="1"/>
  <c r="J97" i="1"/>
  <c r="BF44" i="1"/>
  <c r="BK95" i="1"/>
  <c r="BK97" i="1"/>
  <c r="AN17" i="1"/>
  <c r="AN16" i="1"/>
  <c r="AH17" i="1"/>
  <c r="AH16" i="1"/>
  <c r="AA24" i="1"/>
  <c r="AA25" i="1" s="1"/>
  <c r="AZ76" i="1"/>
  <c r="AZ79" i="1" s="1"/>
  <c r="AI17" i="1"/>
  <c r="AI16" i="1"/>
  <c r="AD44" i="1"/>
  <c r="L52" i="1"/>
  <c r="AP37" i="1"/>
  <c r="AN52" i="1"/>
  <c r="BF24" i="1"/>
  <c r="BF25" i="1" s="1"/>
  <c r="Y95" i="1"/>
  <c r="Y97" i="1"/>
  <c r="AL44" i="1"/>
  <c r="AO95" i="1"/>
  <c r="AO97" i="1"/>
  <c r="AW97" i="1"/>
  <c r="AW95" i="1"/>
  <c r="AR24" i="1"/>
  <c r="AR25" i="1" s="1"/>
  <c r="AG44" i="1"/>
  <c r="Q45" i="1"/>
  <c r="BH76" i="1"/>
  <c r="U76" i="1"/>
  <c r="U79" i="1" s="1"/>
  <c r="M44" i="1"/>
  <c r="AQ51" i="1"/>
  <c r="AB17" i="1"/>
  <c r="AB16" i="1"/>
  <c r="AT51" i="1"/>
  <c r="AT52" i="1" s="1"/>
  <c r="P52" i="1"/>
  <c r="BK76" i="1"/>
  <c r="BH44" i="1"/>
  <c r="J17" i="1"/>
  <c r="J16" i="1"/>
  <c r="BC17" i="1"/>
  <c r="BC16" i="1"/>
  <c r="N17" i="1"/>
  <c r="N16" i="1"/>
  <c r="BB45" i="1"/>
  <c r="BB76" i="1"/>
  <c r="BB79" i="1" s="1"/>
  <c r="AW21" i="1"/>
  <c r="AM76" i="1"/>
  <c r="AM79" i="1" s="1"/>
  <c r="BA24" i="1"/>
  <c r="BA25" i="1" s="1"/>
  <c r="BF17" i="1"/>
  <c r="BF16" i="1"/>
  <c r="AT17" i="1"/>
  <c r="AT16" i="1"/>
  <c r="AN21" i="1"/>
  <c r="Z95" i="1"/>
  <c r="Z97" i="1"/>
  <c r="F45" i="1"/>
  <c r="R21" i="1"/>
  <c r="S95" i="1"/>
  <c r="S97" i="1"/>
  <c r="AJ45" i="1"/>
  <c r="AA52" i="1"/>
  <c r="G45" i="1"/>
  <c r="AO44" i="1"/>
  <c r="E45" i="1"/>
  <c r="AC51" i="1"/>
  <c r="J21" i="1"/>
  <c r="J45" i="1"/>
  <c r="AB37" i="1"/>
  <c r="J76" i="1"/>
  <c r="J79" i="1" s="1"/>
  <c r="AO24" i="1"/>
  <c r="AO25" i="1" s="1"/>
  <c r="L76" i="1"/>
  <c r="L79" i="1" s="1"/>
  <c r="BJ95" i="1"/>
  <c r="BJ97" i="1"/>
  <c r="BA17" i="1"/>
  <c r="BA16" i="1"/>
  <c r="AH44" i="1"/>
  <c r="AT45" i="1"/>
  <c r="AT95" i="1"/>
  <c r="AT97" i="1"/>
  <c r="BI17" i="1"/>
  <c r="BI16" i="1"/>
  <c r="AK52" i="1"/>
  <c r="AL45" i="1"/>
  <c r="K97" i="1"/>
  <c r="K95" i="1"/>
  <c r="BB21" i="1"/>
  <c r="AP24" i="1"/>
  <c r="AP25" i="1" s="1"/>
  <c r="AK45" i="1"/>
  <c r="AQ45" i="1"/>
  <c r="P44" i="1"/>
  <c r="AF44" i="1"/>
  <c r="S17" i="1"/>
  <c r="S16" i="1"/>
  <c r="X52" i="1"/>
  <c r="L24" i="1"/>
  <c r="L25" i="1" s="1"/>
  <c r="BK21" i="1"/>
  <c r="AT44" i="1"/>
  <c r="AO45" i="1"/>
  <c r="Y76" i="1"/>
  <c r="Y79" i="1" s="1"/>
  <c r="I17" i="1"/>
  <c r="I16" i="1"/>
  <c r="BG21" i="1"/>
  <c r="AS45" i="1"/>
  <c r="BC76" i="1"/>
  <c r="BC79" i="1" s="1"/>
  <c r="AG95" i="1"/>
  <c r="AG97" i="1"/>
  <c r="AG21" i="1"/>
  <c r="BA95" i="1"/>
  <c r="BA97" i="1"/>
  <c r="BQ45" i="1"/>
  <c r="AV76" i="1"/>
  <c r="AV79" i="1" s="1"/>
  <c r="AG24" i="1"/>
  <c r="AG25" i="1" s="1"/>
  <c r="BK24" i="1"/>
  <c r="BK25" i="1" s="1"/>
  <c r="AL21" i="1"/>
  <c r="AL52" i="1"/>
  <c r="S44" i="1"/>
  <c r="BC95" i="1"/>
  <c r="BC97" i="1"/>
  <c r="M17" i="1"/>
  <c r="M16" i="1"/>
  <c r="AO17" i="1"/>
  <c r="AO16" i="1"/>
  <c r="P21" i="1"/>
  <c r="Y52" i="1"/>
  <c r="N76" i="1"/>
  <c r="N79" i="1" s="1"/>
  <c r="T17" i="1"/>
  <c r="T16" i="1"/>
  <c r="X95" i="1"/>
  <c r="X97" i="1"/>
  <c r="AP17" i="1"/>
  <c r="AP16" i="1"/>
  <c r="BJ24" i="1"/>
  <c r="BJ25" i="1" s="1"/>
  <c r="AD76" i="1"/>
  <c r="AD79" i="1" s="1"/>
  <c r="AY95" i="1"/>
  <c r="AY97" i="1"/>
  <c r="I76" i="1"/>
  <c r="I79" i="1" s="1"/>
  <c r="AI76" i="1"/>
  <c r="AI79" i="1" s="1"/>
  <c r="O45" i="1"/>
  <c r="AA76" i="1"/>
  <c r="AA79" i="1" s="1"/>
  <c r="T24" i="1"/>
  <c r="T25" i="1" s="1"/>
  <c r="Z76" i="1"/>
  <c r="Z79" i="1" s="1"/>
  <c r="T76" i="1"/>
  <c r="T79" i="1" s="1"/>
  <c r="W95" i="1"/>
  <c r="W97" i="1"/>
  <c r="R45" i="1"/>
  <c r="BI95" i="1"/>
  <c r="BI97" i="1"/>
  <c r="AM17" i="1"/>
  <c r="AM16" i="1"/>
  <c r="AN44" i="1"/>
  <c r="I95" i="1"/>
  <c r="I97" i="1"/>
  <c r="AU16" i="1"/>
  <c r="AU17" i="1"/>
  <c r="AS17" i="1"/>
  <c r="AS16" i="1"/>
  <c r="AR76" i="1"/>
  <c r="AR79" i="1" s="1"/>
  <c r="AN95" i="1"/>
  <c r="AN97" i="1"/>
  <c r="Z21" i="1"/>
  <c r="AD45" i="1"/>
  <c r="BA76" i="1"/>
  <c r="BA79" i="1" s="1"/>
  <c r="P17" i="1"/>
  <c r="P16" i="1"/>
  <c r="AZ45" i="1"/>
  <c r="AZ17" i="1"/>
  <c r="AZ16" i="1"/>
  <c r="AO76" i="1"/>
  <c r="AO79" i="1" s="1"/>
  <c r="Z17" i="1"/>
  <c r="Z16" i="1"/>
  <c r="AL17" i="1"/>
  <c r="AL16" i="1"/>
  <c r="AY44" i="1"/>
  <c r="AF95" i="1"/>
  <c r="AF97" i="1"/>
  <c r="AD17" i="1"/>
  <c r="AD16" i="1"/>
  <c r="BK17" i="1"/>
  <c r="BK16" i="1"/>
  <c r="AF45" i="1"/>
  <c r="BH21" i="1"/>
  <c r="AU95" i="1"/>
  <c r="AU97" i="1"/>
  <c r="Q21" i="1"/>
  <c r="R52" i="1"/>
  <c r="AN24" i="1"/>
  <c r="AN25" i="1" s="1"/>
  <c r="AN45" i="1"/>
  <c r="BF45" i="1"/>
  <c r="BC45" i="1"/>
  <c r="BD76" i="1"/>
  <c r="BD79" i="1" s="1"/>
  <c r="BJ17" i="1"/>
  <c r="BJ16" i="1"/>
  <c r="AY24" i="1"/>
  <c r="AY25" i="1" s="1"/>
  <c r="AK17" i="1"/>
  <c r="AK16" i="1"/>
  <c r="Y24" i="1"/>
  <c r="Y25" i="1" s="1"/>
  <c r="AZ44" i="1"/>
  <c r="AL76" i="1"/>
  <c r="AL79" i="1" s="1"/>
  <c r="AR17" i="1"/>
  <c r="AR16" i="1"/>
  <c r="BC44" i="1"/>
  <c r="P95" i="1"/>
  <c r="P97" i="1"/>
  <c r="L95" i="1"/>
  <c r="L97" i="1"/>
  <c r="W17" i="1"/>
  <c r="W16" i="1"/>
  <c r="Q17" i="1"/>
  <c r="Q16" i="1"/>
  <c r="BI76" i="1"/>
  <c r="AI95" i="1"/>
  <c r="AI97" i="1"/>
  <c r="AM95" i="1"/>
  <c r="AM97" i="1"/>
  <c r="AY17" i="1"/>
  <c r="AY16" i="1"/>
  <c r="AH21" i="1"/>
  <c r="BG45" i="1"/>
  <c r="N21" i="1"/>
  <c r="AH97" i="1"/>
  <c r="AH95" i="1"/>
  <c r="K17" i="1"/>
  <c r="K16" i="1"/>
  <c r="AD24" i="1"/>
  <c r="AD25" i="1" s="1"/>
  <c r="W52" i="1"/>
  <c r="BC21" i="1"/>
  <c r="AS44" i="1"/>
  <c r="K45" i="1"/>
  <c r="BG44" i="1"/>
  <c r="BB95" i="1"/>
  <c r="BB97" i="1"/>
  <c r="AH76" i="1"/>
  <c r="AH79" i="1" s="1"/>
  <c r="BA45" i="1"/>
  <c r="X44" i="1"/>
  <c r="Z44" i="1"/>
  <c r="AB95" i="1"/>
  <c r="AB97" i="1"/>
  <c r="BD95" i="1"/>
  <c r="BD97" i="1"/>
  <c r="AV95" i="1"/>
  <c r="AV97" i="1"/>
  <c r="I44" i="1"/>
  <c r="AV44" i="1"/>
  <c r="BD17" i="1"/>
  <c r="BD16" i="1"/>
  <c r="L17" i="1"/>
  <c r="L16" i="1"/>
  <c r="X21" i="1"/>
  <c r="AA45" i="1"/>
  <c r="W76" i="1"/>
  <c r="W79" i="1" s="1"/>
  <c r="BG97" i="1"/>
  <c r="BG95" i="1"/>
  <c r="AI24" i="1"/>
  <c r="AI25" i="1" s="1"/>
  <c r="R97" i="1"/>
  <c r="R95" i="1"/>
  <c r="AF17" i="1"/>
  <c r="AF16" i="1"/>
  <c r="R17" i="1"/>
  <c r="R16" i="1"/>
  <c r="BE45" i="1"/>
  <c r="X76" i="1"/>
  <c r="X79" i="1" s="1"/>
  <c r="AG17" i="1"/>
  <c r="AG16" i="1"/>
  <c r="F44" i="1"/>
  <c r="P45" i="1"/>
  <c r="AU45" i="1"/>
  <c r="AE76" i="1"/>
  <c r="AE79" i="1" s="1"/>
  <c r="AE16" i="1"/>
  <c r="AE17" i="1"/>
  <c r="AR52" i="1"/>
  <c r="AM45" i="1"/>
  <c r="AB76" i="1"/>
  <c r="AB79" i="1" s="1"/>
  <c r="E44" i="1"/>
  <c r="AF21" i="1"/>
  <c r="AK44" i="1"/>
  <c r="AY76" i="1"/>
  <c r="AY79" i="1" s="1"/>
  <c r="BI21" i="1"/>
  <c r="AH45" i="1"/>
  <c r="BJ44" i="1"/>
  <c r="R24" i="1"/>
  <c r="R25" i="1" s="1"/>
  <c r="BB44" i="1"/>
  <c r="AT76" i="1"/>
  <c r="AT79" i="1" s="1"/>
  <c r="AP95" i="1"/>
  <c r="AP97" i="1"/>
  <c r="AP76" i="1"/>
  <c r="AP79" i="1" s="1"/>
  <c r="Q44" i="1"/>
  <c r="BF76" i="1"/>
  <c r="BF95" i="1"/>
  <c r="BF97" i="1"/>
  <c r="BE51" i="1"/>
  <c r="J44" i="1"/>
  <c r="BA44" i="1"/>
  <c r="AE45" i="1"/>
  <c r="Q95" i="1"/>
  <c r="Q97" i="1"/>
  <c r="AR44" i="1"/>
  <c r="Y44" i="1"/>
  <c r="L45" i="1"/>
  <c r="AR95" i="1"/>
  <c r="AR97" i="1"/>
  <c r="AZ97" i="1"/>
  <c r="AZ95" i="1"/>
  <c r="AA17" i="1"/>
  <c r="AA16" i="1"/>
  <c r="AT24" i="1"/>
  <c r="AT25" i="1" s="1"/>
  <c r="M76" i="1"/>
  <c r="M79" i="1" s="1"/>
  <c r="BG52" i="1"/>
  <c r="K44" i="1"/>
  <c r="R76" i="1"/>
  <c r="R79" i="1" s="1"/>
  <c r="AS76" i="1"/>
  <c r="AS79" i="1" s="1"/>
  <c r="AW17" i="1"/>
  <c r="AW16" i="1"/>
  <c r="BK37" i="1"/>
  <c r="AX45" i="1"/>
  <c r="G44" i="1"/>
  <c r="BJ76" i="1"/>
  <c r="Y21" i="1"/>
  <c r="N95" i="1"/>
  <c r="N97" i="1"/>
  <c r="BC24" i="1"/>
  <c r="BC25" i="1" s="1"/>
  <c r="BI44" i="1"/>
  <c r="BA21" i="1"/>
  <c r="AQ44" i="1"/>
  <c r="AG76" i="1"/>
  <c r="AG79" i="1" s="1"/>
  <c r="AA97" i="1"/>
  <c r="AA95" i="1"/>
  <c r="AM44" i="1"/>
  <c r="AV21" i="1"/>
  <c r="U17" i="1"/>
  <c r="U16" i="1"/>
  <c r="AM21" i="1"/>
  <c r="AU76" i="1"/>
  <c r="AU79" i="1" s="1"/>
  <c r="K76" i="1"/>
  <c r="K79" i="1" s="1"/>
  <c r="T95" i="1"/>
  <c r="T97" i="1"/>
  <c r="AW76" i="1"/>
  <c r="AW79" i="1" s="1"/>
  <c r="AS95" i="1"/>
  <c r="AS97" i="1"/>
  <c r="BD37" i="1"/>
  <c r="W44" i="1"/>
  <c r="BH17" i="1"/>
  <c r="BH16" i="1"/>
  <c r="BL45" i="1"/>
  <c r="AX51" i="1"/>
  <c r="Q76" i="1"/>
  <c r="Q79" i="1" s="1"/>
  <c r="Y17" i="1"/>
  <c r="Y16" i="1"/>
  <c r="AE95" i="1"/>
  <c r="AE97" i="1"/>
  <c r="AB24" i="1"/>
  <c r="AB25" i="1" s="1"/>
  <c r="AS24" i="1"/>
  <c r="AS25" i="1" s="1"/>
  <c r="P76" i="1"/>
  <c r="P79" i="1" s="1"/>
  <c r="U95" i="1"/>
  <c r="U97" i="1"/>
  <c r="AR21" i="1"/>
  <c r="T44" i="1"/>
  <c r="AF76" i="1"/>
  <c r="AF79" i="1" s="1"/>
  <c r="AV17" i="1"/>
  <c r="AV16" i="1"/>
  <c r="BB17" i="1"/>
  <c r="BB16" i="1"/>
  <c r="BN45" i="1"/>
  <c r="AZ24" i="1"/>
  <c r="AZ25" i="1" s="1"/>
  <c r="BH45" i="1"/>
  <c r="S21" i="1"/>
  <c r="AY21" i="1"/>
  <c r="AU44" i="1"/>
  <c r="I24" i="1"/>
  <c r="I25" i="1" s="1"/>
  <c r="R44" i="1"/>
  <c r="BS45" i="1"/>
  <c r="AJ51" i="1"/>
  <c r="BV72" i="1" l="1"/>
  <c r="BV74" i="1"/>
  <c r="BL51" i="1"/>
  <c r="BO46" i="1"/>
  <c r="BL47" i="1"/>
  <c r="BM46" i="1"/>
  <c r="BN46" i="1"/>
  <c r="AC98" i="1"/>
  <c r="AK90" i="1"/>
  <c r="AK98" i="1"/>
  <c r="BD36" i="1"/>
  <c r="X83" i="1"/>
  <c r="X84" i="1" s="1"/>
  <c r="X86" i="1" s="1"/>
  <c r="BI55" i="1"/>
  <c r="BI98" i="1" s="1"/>
  <c r="M90" i="1"/>
  <c r="M98" i="1"/>
  <c r="I55" i="1"/>
  <c r="I92" i="1" s="1"/>
  <c r="BK44" i="1"/>
  <c r="BF55" i="1"/>
  <c r="BF98" i="1" s="1"/>
  <c r="H92" i="1"/>
  <c r="AZ98" i="1"/>
  <c r="R90" i="1"/>
  <c r="R92" i="1"/>
  <c r="Z92" i="1"/>
  <c r="H98" i="1"/>
  <c r="Z90" i="1"/>
  <c r="T90" i="1"/>
  <c r="BD44" i="1"/>
  <c r="BJ98" i="1"/>
  <c r="AP51" i="1"/>
  <c r="AP52" i="1" s="1"/>
  <c r="AP99" i="1" s="1"/>
  <c r="N47" i="1"/>
  <c r="AW45" i="1"/>
  <c r="N45" i="1"/>
  <c r="AY90" i="1"/>
  <c r="AZ92" i="1"/>
  <c r="G98" i="1"/>
  <c r="AP55" i="1"/>
  <c r="AM92" i="1"/>
  <c r="AA83" i="1"/>
  <c r="AA84" i="1" s="1"/>
  <c r="AA86" i="1" s="1"/>
  <c r="BJ83" i="1"/>
  <c r="BK47" i="1"/>
  <c r="BC83" i="1"/>
  <c r="BC84" i="1" s="1"/>
  <c r="BC86" i="1" s="1"/>
  <c r="Z83" i="1"/>
  <c r="Z84" i="1" s="1"/>
  <c r="Z86" i="1" s="1"/>
  <c r="AV83" i="1"/>
  <c r="AV84" i="1" s="1"/>
  <c r="AV86" i="1" s="1"/>
  <c r="BF83" i="1"/>
  <c r="BK55" i="1"/>
  <c r="Y48" i="1"/>
  <c r="Y49" i="1" s="1"/>
  <c r="BG83" i="1"/>
  <c r="T98" i="1"/>
  <c r="AD90" i="1"/>
  <c r="BH83" i="1"/>
  <c r="AT98" i="1"/>
  <c r="BI83" i="1"/>
  <c r="AM98" i="1"/>
  <c r="AY98" i="1"/>
  <c r="AO99" i="1"/>
  <c r="S48" i="1"/>
  <c r="S49" i="1" s="1"/>
  <c r="BK45" i="1"/>
  <c r="BJ90" i="1"/>
  <c r="AL83" i="1"/>
  <c r="AL84" i="1" s="1"/>
  <c r="AL86" i="1" s="1"/>
  <c r="S90" i="1"/>
  <c r="AP44" i="1"/>
  <c r="S98" i="1"/>
  <c r="J99" i="1"/>
  <c r="BD45" i="1"/>
  <c r="Y92" i="1"/>
  <c r="Y90" i="1"/>
  <c r="AZ83" i="1"/>
  <c r="AZ84" i="1" s="1"/>
  <c r="AZ86" i="1" s="1"/>
  <c r="T48" i="1"/>
  <c r="T49" i="1" s="1"/>
  <c r="K83" i="1"/>
  <c r="K84" i="1" s="1"/>
  <c r="K86" i="1" s="1"/>
  <c r="W90" i="1"/>
  <c r="AN83" i="1"/>
  <c r="AN84" i="1" s="1"/>
  <c r="AN86" i="1" s="1"/>
  <c r="AH55" i="1"/>
  <c r="BL98" i="1"/>
  <c r="W98" i="1"/>
  <c r="AT92" i="1"/>
  <c r="AB45" i="1"/>
  <c r="R83" i="1"/>
  <c r="R84" i="1" s="1"/>
  <c r="R86" i="1" s="1"/>
  <c r="BL92" i="1"/>
  <c r="Q83" i="1"/>
  <c r="Q84" i="1" s="1"/>
  <c r="Q86" i="1" s="1"/>
  <c r="T83" i="1"/>
  <c r="T84" i="1" s="1"/>
  <c r="T86" i="1" s="1"/>
  <c r="AG83" i="1"/>
  <c r="AG84" i="1" s="1"/>
  <c r="AG86" i="1" s="1"/>
  <c r="AO83" i="1"/>
  <c r="AO84" i="1" s="1"/>
  <c r="AO86" i="1" s="1"/>
  <c r="AX98" i="1"/>
  <c r="U45" i="1"/>
  <c r="AD98" i="1"/>
  <c r="AK83" i="1"/>
  <c r="AK84" i="1" s="1"/>
  <c r="AK86" i="1" s="1"/>
  <c r="Q98" i="1"/>
  <c r="BB83" i="1"/>
  <c r="BB84" i="1" s="1"/>
  <c r="BB86" i="1" s="1"/>
  <c r="E48" i="1"/>
  <c r="V98" i="1"/>
  <c r="AV48" i="1"/>
  <c r="AV49" i="1" s="1"/>
  <c r="J98" i="1"/>
  <c r="AU92" i="1"/>
  <c r="AU98" i="1"/>
  <c r="AN55" i="1"/>
  <c r="U47" i="1"/>
  <c r="AG48" i="1"/>
  <c r="AG49" i="1" s="1"/>
  <c r="BA48" i="1"/>
  <c r="BA49" i="1" s="1"/>
  <c r="X92" i="1"/>
  <c r="X98" i="1"/>
  <c r="X90" i="1"/>
  <c r="AB38" i="1"/>
  <c r="AU90" i="1"/>
  <c r="P55" i="1"/>
  <c r="AB47" i="1"/>
  <c r="R48" i="1"/>
  <c r="R49" i="1" s="1"/>
  <c r="BA55" i="1"/>
  <c r="BA98" i="1" s="1"/>
  <c r="Z48" i="1"/>
  <c r="Z49" i="1" s="1"/>
  <c r="F92" i="1"/>
  <c r="F98" i="1"/>
  <c r="Q90" i="1"/>
  <c r="AI34" i="1"/>
  <c r="AV92" i="1"/>
  <c r="AV90" i="1"/>
  <c r="AV98" i="1"/>
  <c r="K92" i="1"/>
  <c r="K90" i="1"/>
  <c r="L92" i="1"/>
  <c r="L90" i="1"/>
  <c r="L98" i="1"/>
  <c r="BI47" i="1"/>
  <c r="AR48" i="1"/>
  <c r="AR49" i="1" s="1"/>
  <c r="BB48" i="1"/>
  <c r="BB49" i="1" s="1"/>
  <c r="J48" i="1"/>
  <c r="J49" i="1" s="1"/>
  <c r="BC90" i="1"/>
  <c r="AQ55" i="1"/>
  <c r="AO48" i="1"/>
  <c r="AO49" i="1" s="1"/>
  <c r="AE92" i="1"/>
  <c r="AE90" i="1"/>
  <c r="AE98" i="1"/>
  <c r="BB92" i="1"/>
  <c r="BB90" i="1"/>
  <c r="AK48" i="1"/>
  <c r="AK49" i="1" s="1"/>
  <c r="AS48" i="1"/>
  <c r="AS49" i="1" s="1"/>
  <c r="Y98" i="1"/>
  <c r="BC98" i="1"/>
  <c r="AA55" i="1"/>
  <c r="AM48" i="1"/>
  <c r="AM49" i="1" s="1"/>
  <c r="E55" i="1"/>
  <c r="J90" i="1"/>
  <c r="N46" i="1"/>
  <c r="AW38" i="1"/>
  <c r="AS55" i="1"/>
  <c r="AE34" i="1"/>
  <c r="AE36" i="1"/>
  <c r="BH34" i="1"/>
  <c r="BH36" i="1"/>
  <c r="BH38" i="1"/>
  <c r="AA34" i="1"/>
  <c r="AA38" i="1"/>
  <c r="AA36" i="1"/>
  <c r="AZ34" i="1"/>
  <c r="AZ38" i="1"/>
  <c r="AZ36" i="1"/>
  <c r="S34" i="1"/>
  <c r="S38" i="1"/>
  <c r="S36" i="1"/>
  <c r="AY34" i="1"/>
  <c r="AY38" i="1"/>
  <c r="AY36" i="1"/>
  <c r="AL34" i="1"/>
  <c r="AL38" i="1"/>
  <c r="AL36" i="1"/>
  <c r="BA83" i="1"/>
  <c r="BA84" i="1" s="1"/>
  <c r="AT99" i="1"/>
  <c r="AT83" i="1"/>
  <c r="AT84" i="1" s="1"/>
  <c r="AH34" i="1"/>
  <c r="AH36" i="1"/>
  <c r="P34" i="1"/>
  <c r="P36" i="1"/>
  <c r="P38" i="1"/>
  <c r="L34" i="1"/>
  <c r="L38" i="1"/>
  <c r="L36" i="1"/>
  <c r="AG34" i="1"/>
  <c r="AG36" i="1"/>
  <c r="Q34" i="1"/>
  <c r="Q36" i="1"/>
  <c r="Q38" i="1"/>
  <c r="K34" i="1"/>
  <c r="K36" i="1"/>
  <c r="K38" i="1"/>
  <c r="AF99" i="1"/>
  <c r="AM83" i="1"/>
  <c r="AM84" i="1" s="1"/>
  <c r="K98" i="1"/>
  <c r="AD30" i="1"/>
  <c r="AD29" i="1"/>
  <c r="AD89" i="1" s="1"/>
  <c r="AS83" i="1"/>
  <c r="AS84" i="1" s="1"/>
  <c r="AL99" i="1"/>
  <c r="AV47" i="1"/>
  <c r="BB30" i="1"/>
  <c r="BB29" i="1"/>
  <c r="BB89" i="1" s="1"/>
  <c r="BK99" i="1"/>
  <c r="AE47" i="1"/>
  <c r="AW99" i="1"/>
  <c r="BD83" i="1"/>
  <c r="BD84" i="1" s="1"/>
  <c r="R30" i="1"/>
  <c r="R29" i="1"/>
  <c r="R89" i="1" s="1"/>
  <c r="AR30" i="1"/>
  <c r="AR29" i="1"/>
  <c r="AR89" i="1" s="1"/>
  <c r="BC47" i="1"/>
  <c r="AD47" i="1"/>
  <c r="AO55" i="1"/>
  <c r="AT47" i="1"/>
  <c r="BB98" i="1"/>
  <c r="X47" i="1"/>
  <c r="Y30" i="1"/>
  <c r="Y29" i="1"/>
  <c r="Y89" i="1" s="1"/>
  <c r="U44" i="1"/>
  <c r="L47" i="1"/>
  <c r="AF55" i="1"/>
  <c r="AD83" i="1"/>
  <c r="AD84" i="1" s="1"/>
  <c r="W99" i="1"/>
  <c r="BG47" i="1"/>
  <c r="W30" i="1"/>
  <c r="W29" i="1"/>
  <c r="W89" i="1" s="1"/>
  <c r="Z30" i="1"/>
  <c r="Z29" i="1"/>
  <c r="Z89" i="1" s="1"/>
  <c r="AZ47" i="1"/>
  <c r="AI46" i="1"/>
  <c r="AK99" i="1"/>
  <c r="AR83" i="1"/>
  <c r="AR84" i="1" s="1"/>
  <c r="AT30" i="1"/>
  <c r="AT29" i="1"/>
  <c r="AT89" i="1" s="1"/>
  <c r="N30" i="1"/>
  <c r="N29" i="1"/>
  <c r="N89" i="1" s="1"/>
  <c r="AB30" i="1"/>
  <c r="AB29" i="1"/>
  <c r="AB89" i="1" s="1"/>
  <c r="AV30" i="1"/>
  <c r="AV29" i="1"/>
  <c r="AV89" i="1" s="1"/>
  <c r="BE55" i="1"/>
  <c r="AR55" i="1"/>
  <c r="BE47" i="1"/>
  <c r="AF30" i="1"/>
  <c r="AF29" i="1"/>
  <c r="AF89" i="1" s="1"/>
  <c r="AY30" i="1"/>
  <c r="AY29" i="1"/>
  <c r="AY89" i="1" s="1"/>
  <c r="BH55" i="1"/>
  <c r="O47" i="1"/>
  <c r="AL47" i="1"/>
  <c r="AG55" i="1"/>
  <c r="AW44" i="1"/>
  <c r="AP46" i="1"/>
  <c r="R99" i="1"/>
  <c r="Y83" i="1"/>
  <c r="Y84" i="1" s="1"/>
  <c r="P30" i="1"/>
  <c r="P29" i="1"/>
  <c r="P89" i="1" s="1"/>
  <c r="Z47" i="1"/>
  <c r="BF30" i="1"/>
  <c r="BF29" i="1"/>
  <c r="BF89" i="1" s="1"/>
  <c r="X30" i="1"/>
  <c r="X29" i="1"/>
  <c r="X89" i="1" s="1"/>
  <c r="AW46" i="1"/>
  <c r="BH47" i="1"/>
  <c r="BK83" i="1"/>
  <c r="AP30" i="1"/>
  <c r="AP29" i="1"/>
  <c r="AP89" i="1" s="1"/>
  <c r="AO30" i="1"/>
  <c r="AO29" i="1"/>
  <c r="AO89" i="1" s="1"/>
  <c r="BI30" i="1"/>
  <c r="BI29" i="1"/>
  <c r="BI89" i="1" s="1"/>
  <c r="G47" i="1"/>
  <c r="F47" i="1"/>
  <c r="AI44" i="1"/>
  <c r="BG30" i="1"/>
  <c r="BG29" i="1"/>
  <c r="BG89" i="1" s="1"/>
  <c r="BG90" i="1"/>
  <c r="BH30" i="1"/>
  <c r="BH29" i="1"/>
  <c r="BH89" i="1" s="1"/>
  <c r="AU47" i="1"/>
  <c r="O55" i="1"/>
  <c r="AS30" i="1"/>
  <c r="AS29" i="1"/>
  <c r="AS89" i="1" s="1"/>
  <c r="I30" i="1"/>
  <c r="I29" i="1"/>
  <c r="I89" i="1" s="1"/>
  <c r="X99" i="1"/>
  <c r="AE83" i="1"/>
  <c r="AE84" i="1" s="1"/>
  <c r="AA99" i="1"/>
  <c r="AH83" i="1"/>
  <c r="AH84" i="1" s="1"/>
  <c r="BC30" i="1"/>
  <c r="BC29" i="1"/>
  <c r="BC89" i="1" s="1"/>
  <c r="AI45" i="1"/>
  <c r="U30" i="1"/>
  <c r="U29" i="1"/>
  <c r="U89" i="1" s="1"/>
  <c r="BH99" i="1"/>
  <c r="AR99" i="1"/>
  <c r="AY83" i="1"/>
  <c r="AY84" i="1" s="1"/>
  <c r="L30" i="1"/>
  <c r="L29" i="1"/>
  <c r="L89" i="1" s="1"/>
  <c r="K47" i="1"/>
  <c r="AF47" i="1"/>
  <c r="AL55" i="1"/>
  <c r="BG99" i="1"/>
  <c r="AA30" i="1"/>
  <c r="AA29" i="1"/>
  <c r="AA89" i="1" s="1"/>
  <c r="AE30" i="1"/>
  <c r="AE29" i="1"/>
  <c r="AE89" i="1" s="1"/>
  <c r="P47" i="1"/>
  <c r="BJ30" i="1"/>
  <c r="BJ29" i="1"/>
  <c r="BJ89" i="1" s="1"/>
  <c r="BF47" i="1"/>
  <c r="AN47" i="1"/>
  <c r="R47" i="1"/>
  <c r="U99" i="1"/>
  <c r="AB83" i="1"/>
  <c r="AB84" i="1" s="1"/>
  <c r="E47" i="1"/>
  <c r="AJ47" i="1"/>
  <c r="N44" i="1"/>
  <c r="AK30" i="1"/>
  <c r="AK29" i="1"/>
  <c r="AK89" i="1" s="1"/>
  <c r="J86" i="1"/>
  <c r="AU30" i="1"/>
  <c r="AU29" i="1"/>
  <c r="AU89" i="1" s="1"/>
  <c r="M30" i="1"/>
  <c r="M29" i="1"/>
  <c r="M89" i="1" s="1"/>
  <c r="BK46" i="1"/>
  <c r="Q47" i="1"/>
  <c r="AB99" i="1"/>
  <c r="AI83" i="1"/>
  <c r="AI84" i="1" s="1"/>
  <c r="AM30" i="1"/>
  <c r="AM29" i="1"/>
  <c r="AM89" i="1" s="1"/>
  <c r="BB47" i="1"/>
  <c r="J30" i="1"/>
  <c r="J29" i="1"/>
  <c r="J89" i="1" s="1"/>
  <c r="AH30" i="1"/>
  <c r="AH29" i="1"/>
  <c r="AH89" i="1" s="1"/>
  <c r="AI30" i="1"/>
  <c r="AI29" i="1"/>
  <c r="AI89" i="1" s="1"/>
  <c r="I99" i="1"/>
  <c r="I83" i="1"/>
  <c r="I84" i="1" s="1"/>
  <c r="P83" i="1"/>
  <c r="P84" i="1" s="1"/>
  <c r="AH47" i="1"/>
  <c r="AA47" i="1"/>
  <c r="I47" i="1"/>
  <c r="W47" i="1"/>
  <c r="AX47" i="1"/>
  <c r="AW30" i="1"/>
  <c r="AW29" i="1"/>
  <c r="AW89" i="1" s="1"/>
  <c r="BD30" i="1"/>
  <c r="BD29" i="1"/>
  <c r="BD89" i="1" s="1"/>
  <c r="BA47" i="1"/>
  <c r="Q30" i="1"/>
  <c r="Q29" i="1"/>
  <c r="Q89" i="1" s="1"/>
  <c r="BK30" i="1"/>
  <c r="BK29" i="1"/>
  <c r="BK89" i="1" s="1"/>
  <c r="AL30" i="1"/>
  <c r="AL29" i="1"/>
  <c r="AL89" i="1" s="1"/>
  <c r="AZ30" i="1"/>
  <c r="AZ29" i="1"/>
  <c r="AZ89" i="1" s="1"/>
  <c r="AO47" i="1"/>
  <c r="S30" i="1"/>
  <c r="S29" i="1"/>
  <c r="S89" i="1" s="1"/>
  <c r="AQ47" i="1"/>
  <c r="BA30" i="1"/>
  <c r="BA29" i="1"/>
  <c r="BA89" i="1" s="1"/>
  <c r="U83" i="1"/>
  <c r="U84" i="1" s="1"/>
  <c r="N99" i="1"/>
  <c r="P99" i="1"/>
  <c r="W83" i="1"/>
  <c r="W84" i="1" s="1"/>
  <c r="BG98" i="1"/>
  <c r="AM47" i="1"/>
  <c r="AG30" i="1"/>
  <c r="AG29" i="1"/>
  <c r="AG89" i="1" s="1"/>
  <c r="AJ55" i="1"/>
  <c r="Y99" i="1"/>
  <c r="AF83" i="1"/>
  <c r="AF84" i="1" s="1"/>
  <c r="J47" i="1"/>
  <c r="AN99" i="1"/>
  <c r="AU83" i="1"/>
  <c r="AU84" i="1" s="1"/>
  <c r="AN30" i="1"/>
  <c r="AN29" i="1"/>
  <c r="AN89" i="1" s="1"/>
  <c r="M47" i="1"/>
  <c r="K30" i="1"/>
  <c r="K29" i="1"/>
  <c r="K89" i="1" s="1"/>
  <c r="T30" i="1"/>
  <c r="T29" i="1"/>
  <c r="T89" i="1" s="1"/>
  <c r="AS47" i="1"/>
  <c r="AK47" i="1"/>
  <c r="L99" i="1"/>
  <c r="S83" i="1"/>
  <c r="S84" i="1" s="1"/>
  <c r="AR47" i="1"/>
  <c r="BL64" i="2" l="1"/>
  <c r="BW72" i="1" s="1"/>
  <c r="BH80" i="1"/>
  <c r="BH81" i="1"/>
  <c r="BH84" i="1" s="1"/>
  <c r="BH86" i="1" s="1"/>
  <c r="BH79" i="1"/>
  <c r="BK80" i="1"/>
  <c r="BK81" i="1"/>
  <c r="BK84" i="1" s="1"/>
  <c r="BK86" i="1" s="1"/>
  <c r="BK79" i="1"/>
  <c r="BG81" i="1"/>
  <c r="BG84" i="1" s="1"/>
  <c r="BG86" i="1" s="1"/>
  <c r="BG80" i="1"/>
  <c r="BG79" i="1"/>
  <c r="BF80" i="1"/>
  <c r="BF81" i="1"/>
  <c r="BF84" i="1" s="1"/>
  <c r="BF86" i="1" s="1"/>
  <c r="BF79" i="1"/>
  <c r="BJ80" i="1"/>
  <c r="BJ81" i="1"/>
  <c r="BJ84" i="1" s="1"/>
  <c r="BJ86" i="1" s="1"/>
  <c r="BJ79" i="1"/>
  <c r="BI81" i="1"/>
  <c r="BI84" i="1" s="1"/>
  <c r="BI86" i="1" s="1"/>
  <c r="BI80" i="1"/>
  <c r="BI79" i="1"/>
  <c r="H44" i="1"/>
  <c r="AJ44" i="1"/>
  <c r="V44" i="1"/>
  <c r="AC44" i="1"/>
  <c r="O44" i="1"/>
  <c r="AX44" i="1"/>
  <c r="AQ48" i="1"/>
  <c r="BD34" i="1"/>
  <c r="BD88" i="1" s="1"/>
  <c r="BD38" i="1"/>
  <c r="BI92" i="1"/>
  <c r="BI90" i="1"/>
  <c r="I98" i="1"/>
  <c r="I90" i="1"/>
  <c r="BI48" i="1"/>
  <c r="BI49" i="1" s="1"/>
  <c r="BF92" i="1"/>
  <c r="AY48" i="1"/>
  <c r="AY49" i="1" s="1"/>
  <c r="BD47" i="1"/>
  <c r="BF90" i="1"/>
  <c r="AP83" i="1"/>
  <c r="AP84" i="1" s="1"/>
  <c r="AP86" i="1" s="1"/>
  <c r="N48" i="1"/>
  <c r="N49" i="1" s="1"/>
  <c r="AW83" i="1"/>
  <c r="AW84" i="1" s="1"/>
  <c r="AW86" i="1" s="1"/>
  <c r="BK48" i="1"/>
  <c r="BK49" i="1" s="1"/>
  <c r="AB55" i="1"/>
  <c r="AB92" i="1" s="1"/>
  <c r="I48" i="1"/>
  <c r="I49" i="1" s="1"/>
  <c r="BD55" i="1"/>
  <c r="BD92" i="1" s="1"/>
  <c r="BJ48" i="1"/>
  <c r="BJ49" i="1" s="1"/>
  <c r="AW36" i="1"/>
  <c r="AW34" i="1"/>
  <c r="AW88" i="1" s="1"/>
  <c r="AZ69" i="1"/>
  <c r="F48" i="1"/>
  <c r="G48" i="1"/>
  <c r="AH98" i="1"/>
  <c r="AH90" i="1"/>
  <c r="X48" i="1"/>
  <c r="X49" i="1" s="1"/>
  <c r="Q48" i="1"/>
  <c r="Q49" i="1" s="1"/>
  <c r="AH92" i="1"/>
  <c r="M48" i="1"/>
  <c r="M49" i="1" s="1"/>
  <c r="AB36" i="1"/>
  <c r="AB48" i="1"/>
  <c r="AB49" i="1" s="1"/>
  <c r="BD69" i="1"/>
  <c r="AZ48" i="1"/>
  <c r="AZ49" i="1" s="1"/>
  <c r="K69" i="1"/>
  <c r="AY69" i="1"/>
  <c r="AB34" i="1"/>
  <c r="AB88" i="1" s="1"/>
  <c r="AI73" i="1"/>
  <c r="AI78" i="1" s="1"/>
  <c r="U48" i="1"/>
  <c r="U49" i="1" s="1"/>
  <c r="AB40" i="1"/>
  <c r="AI36" i="1"/>
  <c r="AN92" i="1"/>
  <c r="AN98" i="1"/>
  <c r="AN90" i="1"/>
  <c r="P92" i="1"/>
  <c r="P90" i="1"/>
  <c r="P98" i="1"/>
  <c r="BA92" i="1"/>
  <c r="BA90" i="1"/>
  <c r="BH69" i="1"/>
  <c r="AQ92" i="1"/>
  <c r="AQ98" i="1"/>
  <c r="AS90" i="1"/>
  <c r="AS98" i="1"/>
  <c r="AS92" i="1"/>
  <c r="AA98" i="1"/>
  <c r="AA90" i="1"/>
  <c r="AA92" i="1"/>
  <c r="E92" i="1"/>
  <c r="E98" i="1"/>
  <c r="AK34" i="1"/>
  <c r="AK36" i="1"/>
  <c r="AK38" i="1"/>
  <c r="O92" i="1"/>
  <c r="O98" i="1"/>
  <c r="L48" i="1"/>
  <c r="L49" i="1" s="1"/>
  <c r="BE92" i="1"/>
  <c r="BE98" i="1"/>
  <c r="AF92" i="1"/>
  <c r="AF90" i="1"/>
  <c r="AF98" i="1"/>
  <c r="Q73" i="1"/>
  <c r="Q78" i="1" s="1"/>
  <c r="Q40" i="1"/>
  <c r="AH73" i="1"/>
  <c r="AH78" i="1" s="1"/>
  <c r="AH40" i="1"/>
  <c r="AH41" i="1"/>
  <c r="AL88" i="1"/>
  <c r="AL39" i="1"/>
  <c r="AG27" i="1"/>
  <c r="AG26" i="1"/>
  <c r="AW27" i="1"/>
  <c r="AW26" i="1"/>
  <c r="AM34" i="1"/>
  <c r="AM38" i="1"/>
  <c r="N55" i="1"/>
  <c r="AA27" i="1"/>
  <c r="AA26" i="1"/>
  <c r="AL92" i="1"/>
  <c r="AL90" i="1"/>
  <c r="AL98" i="1"/>
  <c r="U27" i="1"/>
  <c r="U26" i="1"/>
  <c r="U85" i="1" s="1"/>
  <c r="AD48" i="1"/>
  <c r="AD49" i="1" s="1"/>
  <c r="Z27" i="1"/>
  <c r="Z26" i="1"/>
  <c r="U55" i="1"/>
  <c r="AA48" i="1"/>
  <c r="AA49" i="1" s="1"/>
  <c r="AL40" i="1"/>
  <c r="AL73" i="1"/>
  <c r="AL78" i="1" s="1"/>
  <c r="AL41" i="1"/>
  <c r="BD27" i="1"/>
  <c r="BD26" i="1"/>
  <c r="BJ34" i="1"/>
  <c r="BJ38" i="1"/>
  <c r="AO34" i="1"/>
  <c r="AO38" i="1"/>
  <c r="AO36" i="1"/>
  <c r="AE86" i="1"/>
  <c r="BF34" i="1"/>
  <c r="BF38" i="1"/>
  <c r="AT48" i="1"/>
  <c r="AT49" i="1" s="1"/>
  <c r="AF34" i="1"/>
  <c r="AV27" i="1"/>
  <c r="AV26" i="1"/>
  <c r="AR27" i="1"/>
  <c r="AR26" i="1"/>
  <c r="AR85" i="1" s="1"/>
  <c r="AU48" i="1"/>
  <c r="AU49" i="1" s="1"/>
  <c r="AG88" i="1"/>
  <c r="AG39" i="1"/>
  <c r="AU34" i="1"/>
  <c r="AU38" i="1"/>
  <c r="BB34" i="1"/>
  <c r="BB38" i="1"/>
  <c r="Q41" i="1"/>
  <c r="J34" i="1"/>
  <c r="J36" i="1"/>
  <c r="J38" i="1"/>
  <c r="AM27" i="1"/>
  <c r="AM26" i="1"/>
  <c r="AM85" i="1" s="1"/>
  <c r="AU27" i="1"/>
  <c r="AU26" i="1"/>
  <c r="AU85" i="1" s="1"/>
  <c r="AK27" i="1"/>
  <c r="AK26" i="1"/>
  <c r="AS27" i="1"/>
  <c r="AS26" i="1"/>
  <c r="AS85" i="1" s="1"/>
  <c r="P27" i="1"/>
  <c r="P26" i="1"/>
  <c r="P85" i="1" s="1"/>
  <c r="W27" i="1"/>
  <c r="W26" i="1"/>
  <c r="W85" i="1" s="1"/>
  <c r="BB27" i="1"/>
  <c r="BB26" i="1"/>
  <c r="AG40" i="1"/>
  <c r="AG73" i="1"/>
  <c r="AG78" i="1" s="1"/>
  <c r="BH88" i="1"/>
  <c r="BH39" i="1"/>
  <c r="T27" i="1"/>
  <c r="T26" i="1"/>
  <c r="BG48" i="1"/>
  <c r="BG49" i="1" s="1"/>
  <c r="N27" i="1"/>
  <c r="N26" i="1"/>
  <c r="AY88" i="1"/>
  <c r="AY39" i="1"/>
  <c r="AA88" i="1"/>
  <c r="AA39" i="1"/>
  <c r="BH40" i="1"/>
  <c r="BH73" i="1"/>
  <c r="AP47" i="1"/>
  <c r="P86" i="1"/>
  <c r="BJ27" i="1"/>
  <c r="BJ26" i="1"/>
  <c r="AF86" i="1"/>
  <c r="S27" i="1"/>
  <c r="S26" i="1"/>
  <c r="S85" i="1" s="1"/>
  <c r="I86" i="1"/>
  <c r="AP34" i="1"/>
  <c r="AP38" i="1"/>
  <c r="AI86" i="1"/>
  <c r="K48" i="1"/>
  <c r="K49" i="1" s="1"/>
  <c r="BF27" i="1"/>
  <c r="BF26" i="1"/>
  <c r="AI88" i="1"/>
  <c r="AI39" i="1"/>
  <c r="AF27" i="1"/>
  <c r="AF26" i="1"/>
  <c r="AF85" i="1" s="1"/>
  <c r="AY73" i="1"/>
  <c r="AY40" i="1"/>
  <c r="AA73" i="1"/>
  <c r="AA78" i="1" s="1"/>
  <c r="AA40" i="1"/>
  <c r="BK34" i="1"/>
  <c r="BK38" i="1"/>
  <c r="BK27" i="1"/>
  <c r="BK26" i="1"/>
  <c r="J27" i="1"/>
  <c r="J26" i="1"/>
  <c r="BF48" i="1"/>
  <c r="BF49" i="1" s="1"/>
  <c r="BI34" i="1"/>
  <c r="BI38" i="1"/>
  <c r="AO27" i="1"/>
  <c r="AO26" i="1"/>
  <c r="Y86" i="1"/>
  <c r="BH92" i="1"/>
  <c r="BH90" i="1"/>
  <c r="BH98" i="1"/>
  <c r="AT34" i="1"/>
  <c r="AT38" i="1"/>
  <c r="AD34" i="1"/>
  <c r="AD36" i="1"/>
  <c r="K88" i="1"/>
  <c r="K39" i="1"/>
  <c r="P88" i="1"/>
  <c r="P39" i="1"/>
  <c r="AA41" i="1"/>
  <c r="T34" i="1"/>
  <c r="T36" i="1"/>
  <c r="T38" i="1"/>
  <c r="AV34" i="1"/>
  <c r="AV38" i="1"/>
  <c r="AE27" i="1"/>
  <c r="AE26" i="1"/>
  <c r="AE85" i="1" s="1"/>
  <c r="P41" i="1"/>
  <c r="I34" i="1"/>
  <c r="I38" i="1"/>
  <c r="I36" i="1"/>
  <c r="AY86" i="1"/>
  <c r="AI55" i="1"/>
  <c r="N34" i="1"/>
  <c r="N38" i="1"/>
  <c r="K73" i="1"/>
  <c r="K78" i="1" s="1"/>
  <c r="K40" i="1"/>
  <c r="P40" i="1"/>
  <c r="P73" i="1"/>
  <c r="P78" i="1" s="1"/>
  <c r="AN34" i="1"/>
  <c r="AN38" i="1"/>
  <c r="AN36" i="1"/>
  <c r="AW47" i="1"/>
  <c r="BC34" i="1"/>
  <c r="BC38" i="1"/>
  <c r="I27" i="1"/>
  <c r="I26" i="1"/>
  <c r="I85" i="1" s="1"/>
  <c r="BH27" i="1"/>
  <c r="BH26" i="1"/>
  <c r="W34" i="1"/>
  <c r="W36" i="1"/>
  <c r="W38" i="1"/>
  <c r="AR92" i="1"/>
  <c r="AR90" i="1"/>
  <c r="AR98" i="1"/>
  <c r="AT27" i="1"/>
  <c r="AT26" i="1"/>
  <c r="AT85" i="1" s="1"/>
  <c r="W86" i="1"/>
  <c r="AB27" i="1"/>
  <c r="AB26" i="1"/>
  <c r="AB85" i="1" s="1"/>
  <c r="R27" i="1"/>
  <c r="R26" i="1"/>
  <c r="AD27" i="1"/>
  <c r="AD26" i="1"/>
  <c r="AD85" i="1" s="1"/>
  <c r="AT86" i="1"/>
  <c r="AZ41" i="1"/>
  <c r="AS34" i="1"/>
  <c r="AS38" i="1"/>
  <c r="AL27" i="1"/>
  <c r="AL26" i="1"/>
  <c r="BH41" i="1"/>
  <c r="BA34" i="1"/>
  <c r="BA38" i="1"/>
  <c r="AI47" i="1"/>
  <c r="BG34" i="1"/>
  <c r="BG38" i="1"/>
  <c r="AW55" i="1"/>
  <c r="Y27" i="1"/>
  <c r="Y26" i="1"/>
  <c r="Y85" i="1" s="1"/>
  <c r="AO92" i="1"/>
  <c r="AO98" i="1"/>
  <c r="AO90" i="1"/>
  <c r="S88" i="1"/>
  <c r="S39" i="1"/>
  <c r="BD40" i="1"/>
  <c r="BD73" i="1"/>
  <c r="BI27" i="1"/>
  <c r="BI26" i="1"/>
  <c r="AZ27" i="1"/>
  <c r="AZ26" i="1"/>
  <c r="BC27" i="1"/>
  <c r="BC26" i="1"/>
  <c r="AP27" i="1"/>
  <c r="AP26" i="1"/>
  <c r="AE41" i="1"/>
  <c r="X34" i="1"/>
  <c r="X38" i="1"/>
  <c r="X36" i="1"/>
  <c r="AY27" i="1"/>
  <c r="AY26" i="1"/>
  <c r="BA86" i="1"/>
  <c r="S73" i="1"/>
  <c r="S78" i="1" s="1"/>
  <c r="S41" i="1"/>
  <c r="S40" i="1"/>
  <c r="Y34" i="1"/>
  <c r="Y38" i="1"/>
  <c r="AN27" i="1"/>
  <c r="AN26" i="1"/>
  <c r="AJ92" i="1"/>
  <c r="AJ98" i="1"/>
  <c r="AI27" i="1"/>
  <c r="AI26" i="1"/>
  <c r="AI85" i="1" s="1"/>
  <c r="R34" i="1"/>
  <c r="R38" i="1"/>
  <c r="K27" i="1"/>
  <c r="K26" i="1"/>
  <c r="AU86" i="1"/>
  <c r="M34" i="1"/>
  <c r="M38" i="1"/>
  <c r="M36" i="1"/>
  <c r="AB86" i="1"/>
  <c r="BG27" i="1"/>
  <c r="BG26" i="1"/>
  <c r="AR86" i="1"/>
  <c r="AD86" i="1"/>
  <c r="BH48" i="1"/>
  <c r="BH49" i="1" s="1"/>
  <c r="BD86" i="1"/>
  <c r="AS86" i="1"/>
  <c r="L88" i="1"/>
  <c r="L39" i="1"/>
  <c r="AE88" i="1"/>
  <c r="AE39" i="1"/>
  <c r="S86" i="1"/>
  <c r="BA27" i="1"/>
  <c r="BA26" i="1"/>
  <c r="BA85" i="1" s="1"/>
  <c r="W48" i="1"/>
  <c r="W49" i="1" s="1"/>
  <c r="AH27" i="1"/>
  <c r="AH26" i="1"/>
  <c r="L27" i="1"/>
  <c r="L26" i="1"/>
  <c r="AP92" i="1"/>
  <c r="AP90" i="1"/>
  <c r="AP98" i="1"/>
  <c r="X27" i="1"/>
  <c r="X26" i="1"/>
  <c r="BD48" i="1"/>
  <c r="BD49" i="1" s="1"/>
  <c r="L40" i="1"/>
  <c r="L73" i="1"/>
  <c r="L78" i="1" s="1"/>
  <c r="AE73" i="1"/>
  <c r="AE78" i="1" s="1"/>
  <c r="AE40" i="1"/>
  <c r="U86" i="1"/>
  <c r="M27" i="1"/>
  <c r="M26" i="1"/>
  <c r="U34" i="1"/>
  <c r="U38" i="1"/>
  <c r="AH86" i="1"/>
  <c r="P48" i="1"/>
  <c r="P49" i="1" s="1"/>
  <c r="Z34" i="1"/>
  <c r="Z36" i="1"/>
  <c r="Z38" i="1"/>
  <c r="AN48" i="1"/>
  <c r="AN49" i="1" s="1"/>
  <c r="AM86" i="1"/>
  <c r="AZ88" i="1"/>
  <c r="AZ39" i="1"/>
  <c r="AF48" i="1"/>
  <c r="AF49" i="1" s="1"/>
  <c r="BC48" i="1"/>
  <c r="BC49" i="1" s="1"/>
  <c r="AL48" i="1"/>
  <c r="AL49" i="1" s="1"/>
  <c r="BK92" i="1"/>
  <c r="BK90" i="1"/>
  <c r="BK98" i="1"/>
  <c r="Q27" i="1"/>
  <c r="Q26" i="1"/>
  <c r="AG92" i="1"/>
  <c r="AG90" i="1"/>
  <c r="AG98" i="1"/>
  <c r="AE48" i="1"/>
  <c r="AE49" i="1" s="1"/>
  <c r="AH48" i="1"/>
  <c r="AH49" i="1" s="1"/>
  <c r="AY41" i="1"/>
  <c r="AR34" i="1"/>
  <c r="AR38" i="1"/>
  <c r="Q88" i="1"/>
  <c r="Q39" i="1"/>
  <c r="AH39" i="1"/>
  <c r="AH88" i="1"/>
  <c r="AZ40" i="1"/>
  <c r="AZ73" i="1"/>
  <c r="BM64" i="2" l="1"/>
  <c r="BN64" i="2" s="1"/>
  <c r="BY72" i="1" s="1"/>
  <c r="BL118" i="2"/>
  <c r="H48" i="1"/>
  <c r="AC48" i="1"/>
  <c r="AX48" i="1"/>
  <c r="O48" i="1"/>
  <c r="V48" i="1"/>
  <c r="BE44" i="1"/>
  <c r="BL48" i="1"/>
  <c r="BL44" i="1"/>
  <c r="AJ48" i="1"/>
  <c r="BD39" i="1"/>
  <c r="AW85" i="1"/>
  <c r="AB90" i="1"/>
  <c r="AB98" i="1"/>
  <c r="BD90" i="1"/>
  <c r="BD98" i="1"/>
  <c r="AW69" i="1"/>
  <c r="AB41" i="1"/>
  <c r="AB73" i="1"/>
  <c r="AB78" i="1" s="1"/>
  <c r="AB39" i="1"/>
  <c r="AB94" i="1" s="1"/>
  <c r="AW39" i="1"/>
  <c r="AW87" i="1" s="1"/>
  <c r="AW41" i="1"/>
  <c r="AB69" i="1"/>
  <c r="AI40" i="1"/>
  <c r="AI41" i="1"/>
  <c r="BD41" i="1"/>
  <c r="AW73" i="1"/>
  <c r="AW78" i="1" s="1"/>
  <c r="AW40" i="1"/>
  <c r="AI69" i="1"/>
  <c r="AI48" i="1"/>
  <c r="AI49" i="1" s="1"/>
  <c r="M88" i="1"/>
  <c r="M39" i="1"/>
  <c r="BG36" i="1"/>
  <c r="BG69" i="1"/>
  <c r="BD100" i="1"/>
  <c r="BD96" i="1"/>
  <c r="AH100" i="1"/>
  <c r="AH96" i="1"/>
  <c r="M73" i="1"/>
  <c r="M78" i="1" s="1"/>
  <c r="M40" i="1"/>
  <c r="AG87" i="1"/>
  <c r="AG91" i="1"/>
  <c r="AG93" i="1"/>
  <c r="AG94" i="1"/>
  <c r="AA100" i="1"/>
  <c r="AA96" i="1"/>
  <c r="AA85" i="1"/>
  <c r="AR88" i="1"/>
  <c r="AR39" i="1"/>
  <c r="BH78" i="1"/>
  <c r="AF73" i="1"/>
  <c r="AF78" i="1" s="1"/>
  <c r="AF41" i="1"/>
  <c r="AF40" i="1"/>
  <c r="AZ78" i="1"/>
  <c r="U36" i="1"/>
  <c r="U69" i="1"/>
  <c r="X100" i="1"/>
  <c r="X96" i="1"/>
  <c r="X85" i="1"/>
  <c r="BG73" i="1"/>
  <c r="BG41" i="1"/>
  <c r="BG40" i="1"/>
  <c r="AK100" i="1"/>
  <c r="AK96" i="1"/>
  <c r="AK85" i="1"/>
  <c r="AW100" i="1"/>
  <c r="AW96" i="1"/>
  <c r="U88" i="1"/>
  <c r="U39" i="1"/>
  <c r="R36" i="1"/>
  <c r="R69" i="1"/>
  <c r="I100" i="1"/>
  <c r="I96" i="1"/>
  <c r="AV88" i="1"/>
  <c r="AV39" i="1"/>
  <c r="T88" i="1"/>
  <c r="T39" i="1"/>
  <c r="AT36" i="1"/>
  <c r="AT69" i="1"/>
  <c r="AO100" i="1"/>
  <c r="AO96" i="1"/>
  <c r="AO85" i="1"/>
  <c r="AS40" i="1"/>
  <c r="AS73" i="1"/>
  <c r="AS78" i="1" s="1"/>
  <c r="AS41" i="1"/>
  <c r="U40" i="1"/>
  <c r="U73" i="1"/>
  <c r="U78" i="1" s="1"/>
  <c r="U41" i="1"/>
  <c r="M100" i="1"/>
  <c r="M96" i="1"/>
  <c r="Y36" i="1"/>
  <c r="Y69" i="1"/>
  <c r="R100" i="1"/>
  <c r="R96" i="1"/>
  <c r="R85" i="1"/>
  <c r="AV41" i="1"/>
  <c r="AV73" i="1"/>
  <c r="AV78" i="1" s="1"/>
  <c r="AV40" i="1"/>
  <c r="T40" i="1"/>
  <c r="T73" i="1"/>
  <c r="T78" i="1" s="1"/>
  <c r="T41" i="1"/>
  <c r="BK100" i="1"/>
  <c r="BK96" i="1"/>
  <c r="AF100" i="1"/>
  <c r="AF96" i="1"/>
  <c r="BJ100" i="1"/>
  <c r="BJ96" i="1"/>
  <c r="BJ85" i="1"/>
  <c r="AA93" i="1"/>
  <c r="AA91" i="1"/>
  <c r="AA87" i="1"/>
  <c r="AA94" i="1"/>
  <c r="AU100" i="1"/>
  <c r="AU96" i="1"/>
  <c r="AO88" i="1"/>
  <c r="AO39" i="1"/>
  <c r="U92" i="1"/>
  <c r="U90" i="1"/>
  <c r="U98" i="1"/>
  <c r="BK85" i="1"/>
  <c r="AL94" i="1"/>
  <c r="AL91" i="1"/>
  <c r="AL93" i="1"/>
  <c r="AL87" i="1"/>
  <c r="K100" i="1"/>
  <c r="K96" i="1"/>
  <c r="K85" i="1"/>
  <c r="AY100" i="1"/>
  <c r="AY96" i="1"/>
  <c r="BA100" i="1"/>
  <c r="BA96" i="1"/>
  <c r="BG100" i="1"/>
  <c r="BG96" i="1"/>
  <c r="BG85" i="1"/>
  <c r="R39" i="1"/>
  <c r="R88" i="1"/>
  <c r="Y100" i="1"/>
  <c r="Y96" i="1"/>
  <c r="BA36" i="1"/>
  <c r="BA69" i="1"/>
  <c r="W88" i="1"/>
  <c r="W39" i="1"/>
  <c r="BC36" i="1"/>
  <c r="BC69" i="1"/>
  <c r="AT88" i="1"/>
  <c r="AT39" i="1"/>
  <c r="AR100" i="1"/>
  <c r="AR96" i="1"/>
  <c r="BF36" i="1"/>
  <c r="BF69" i="1"/>
  <c r="AO73" i="1"/>
  <c r="AO78" i="1" s="1"/>
  <c r="AO41" i="1"/>
  <c r="AO40" i="1"/>
  <c r="AS88" i="1"/>
  <c r="AS39" i="1"/>
  <c r="AU73" i="1"/>
  <c r="AU78" i="1" s="1"/>
  <c r="AU40" i="1"/>
  <c r="AU41" i="1"/>
  <c r="BD78" i="1"/>
  <c r="Y88" i="1"/>
  <c r="Y39" i="1"/>
  <c r="BA88" i="1"/>
  <c r="BA39" i="1"/>
  <c r="AT100" i="1"/>
  <c r="AT96" i="1"/>
  <c r="W41" i="1"/>
  <c r="W73" i="1"/>
  <c r="W78" i="1" s="1"/>
  <c r="W40" i="1"/>
  <c r="AI92" i="1"/>
  <c r="AI90" i="1"/>
  <c r="AI98" i="1"/>
  <c r="AT40" i="1"/>
  <c r="AT41" i="1"/>
  <c r="AT73" i="1"/>
  <c r="AT78" i="1" s="1"/>
  <c r="BI36" i="1"/>
  <c r="BI69" i="1"/>
  <c r="J100" i="1"/>
  <c r="J96" i="1"/>
  <c r="J85" i="1"/>
  <c r="AY91" i="1"/>
  <c r="AY93" i="1"/>
  <c r="AY87" i="1"/>
  <c r="AY94" i="1"/>
  <c r="BB100" i="1"/>
  <c r="BB96" i="1"/>
  <c r="BB85" i="1"/>
  <c r="AS100" i="1"/>
  <c r="AS96" i="1"/>
  <c r="AM100" i="1"/>
  <c r="AM96" i="1"/>
  <c r="BB36" i="1"/>
  <c r="BB69" i="1"/>
  <c r="BF88" i="1"/>
  <c r="BF39" i="1"/>
  <c r="BJ36" i="1"/>
  <c r="BJ69" i="1"/>
  <c r="AR40" i="1"/>
  <c r="AR41" i="1"/>
  <c r="AR73" i="1"/>
  <c r="AR78" i="1" s="1"/>
  <c r="AN100" i="1"/>
  <c r="AN96" i="1"/>
  <c r="AN85" i="1"/>
  <c r="AD88" i="1"/>
  <c r="AD39" i="1"/>
  <c r="AD40" i="1"/>
  <c r="AD73" i="1"/>
  <c r="AD78" i="1" s="1"/>
  <c r="AD41" i="1"/>
  <c r="T100" i="1"/>
  <c r="T96" i="1"/>
  <c r="T85" i="1"/>
  <c r="AH93" i="1"/>
  <c r="AH91" i="1"/>
  <c r="AH87" i="1"/>
  <c r="AH94" i="1"/>
  <c r="R40" i="1"/>
  <c r="R73" i="1"/>
  <c r="R78" i="1" s="1"/>
  <c r="R41" i="1"/>
  <c r="Q91" i="1"/>
  <c r="Q93" i="1"/>
  <c r="Q94" i="1"/>
  <c r="Q87" i="1"/>
  <c r="Y73" i="1"/>
  <c r="Y78" i="1" s="1"/>
  <c r="Y40" i="1"/>
  <c r="Y41" i="1"/>
  <c r="X88" i="1"/>
  <c r="X39" i="1"/>
  <c r="S91" i="1"/>
  <c r="S93" i="1"/>
  <c r="S94" i="1"/>
  <c r="S87" i="1"/>
  <c r="BA40" i="1"/>
  <c r="BA41" i="1"/>
  <c r="BA73" i="1"/>
  <c r="BC88" i="1"/>
  <c r="BC39" i="1"/>
  <c r="AY85" i="1"/>
  <c r="P87" i="1"/>
  <c r="P91" i="1"/>
  <c r="P93" i="1"/>
  <c r="P94" i="1"/>
  <c r="BI88" i="1"/>
  <c r="BI39" i="1"/>
  <c r="AP36" i="1"/>
  <c r="AP69" i="1"/>
  <c r="BF73" i="1"/>
  <c r="BF41" i="1"/>
  <c r="BF40" i="1"/>
  <c r="N100" i="1"/>
  <c r="N96" i="1"/>
  <c r="BG39" i="1"/>
  <c r="BG88" i="1"/>
  <c r="Q100" i="1"/>
  <c r="Q96" i="1"/>
  <c r="Q85" i="1"/>
  <c r="X41" i="1"/>
  <c r="X73" i="1"/>
  <c r="X78" i="1" s="1"/>
  <c r="X40" i="1"/>
  <c r="BB88" i="1"/>
  <c r="BB39" i="1"/>
  <c r="AV36" i="1"/>
  <c r="AV69" i="1"/>
  <c r="BC40" i="1"/>
  <c r="BC41" i="1"/>
  <c r="BC73" i="1"/>
  <c r="BI40" i="1"/>
  <c r="BI73" i="1"/>
  <c r="BI41" i="1"/>
  <c r="AY78" i="1"/>
  <c r="AP39" i="1"/>
  <c r="AP88" i="1"/>
  <c r="BJ88" i="1"/>
  <c r="BJ39" i="1"/>
  <c r="AP100" i="1"/>
  <c r="AP96" i="1"/>
  <c r="AP85" i="1"/>
  <c r="N36" i="1"/>
  <c r="N69" i="1"/>
  <c r="AI91" i="1"/>
  <c r="AI93" i="1"/>
  <c r="AI87" i="1"/>
  <c r="AI94" i="1"/>
  <c r="AP73" i="1"/>
  <c r="AP78" i="1" s="1"/>
  <c r="AP41" i="1"/>
  <c r="AP40" i="1"/>
  <c r="BB73" i="1"/>
  <c r="BB40" i="1"/>
  <c r="BB41" i="1"/>
  <c r="BJ73" i="1"/>
  <c r="BJ40" i="1"/>
  <c r="BJ41" i="1"/>
  <c r="N92" i="1"/>
  <c r="N98" i="1"/>
  <c r="N90" i="1"/>
  <c r="AG100" i="1"/>
  <c r="AG96" i="1"/>
  <c r="AG85" i="1"/>
  <c r="AZ87" i="1"/>
  <c r="AZ91" i="1"/>
  <c r="AZ94" i="1"/>
  <c r="AZ93" i="1"/>
  <c r="Z88" i="1"/>
  <c r="Z39" i="1"/>
  <c r="Z73" i="1"/>
  <c r="Z78" i="1" s="1"/>
  <c r="Z40" i="1"/>
  <c r="Z41" i="1"/>
  <c r="AN88" i="1"/>
  <c r="AN39" i="1"/>
  <c r="N88" i="1"/>
  <c r="N39" i="1"/>
  <c r="J88" i="1"/>
  <c r="J39" i="1"/>
  <c r="U100" i="1"/>
  <c r="U96" i="1"/>
  <c r="AM36" i="1"/>
  <c r="AM69" i="1"/>
  <c r="AK88" i="1"/>
  <c r="AK39" i="1"/>
  <c r="AK40" i="1"/>
  <c r="AK73" i="1"/>
  <c r="AK78" i="1" s="1"/>
  <c r="AK41" i="1"/>
  <c r="I88" i="1"/>
  <c r="I39" i="1"/>
  <c r="BH91" i="1"/>
  <c r="BH94" i="1"/>
  <c r="BH93" i="1"/>
  <c r="BH87" i="1"/>
  <c r="AZ100" i="1"/>
  <c r="AZ96" i="1"/>
  <c r="AZ85" i="1"/>
  <c r="AL100" i="1"/>
  <c r="AL96" i="1"/>
  <c r="AL85" i="1"/>
  <c r="AB100" i="1"/>
  <c r="AB96" i="1"/>
  <c r="I73" i="1"/>
  <c r="I78" i="1" s="1"/>
  <c r="I40" i="1"/>
  <c r="W100" i="1"/>
  <c r="W96" i="1"/>
  <c r="AV100" i="1"/>
  <c r="AV96" i="1"/>
  <c r="AV85" i="1"/>
  <c r="AM88" i="1"/>
  <c r="AM39" i="1"/>
  <c r="BC100" i="1"/>
  <c r="BC96" i="1"/>
  <c r="BC85" i="1"/>
  <c r="AN41" i="1"/>
  <c r="AN73" i="1"/>
  <c r="AN78" i="1" s="1"/>
  <c r="AN40" i="1"/>
  <c r="N73" i="1"/>
  <c r="N78" i="1" s="1"/>
  <c r="N40" i="1"/>
  <c r="BF100" i="1"/>
  <c r="BF96" i="1"/>
  <c r="BF85" i="1"/>
  <c r="Z100" i="1"/>
  <c r="Z96" i="1"/>
  <c r="Z85" i="1"/>
  <c r="AH85" i="1"/>
  <c r="L100" i="1"/>
  <c r="L96" i="1"/>
  <c r="AE87" i="1"/>
  <c r="AE94" i="1"/>
  <c r="AE91" i="1"/>
  <c r="AE93" i="1"/>
  <c r="BD85" i="1"/>
  <c r="AW48" i="1"/>
  <c r="AW49" i="1" s="1"/>
  <c r="AD100" i="1"/>
  <c r="AD96" i="1"/>
  <c r="AE100" i="1"/>
  <c r="AE96" i="1"/>
  <c r="BK36" i="1"/>
  <c r="BK69" i="1"/>
  <c r="AM41" i="1"/>
  <c r="AM40" i="1"/>
  <c r="AM73" i="1"/>
  <c r="AM78" i="1" s="1"/>
  <c r="AI100" i="1"/>
  <c r="AI96" i="1"/>
  <c r="K93" i="1"/>
  <c r="K91" i="1"/>
  <c r="K87" i="1"/>
  <c r="K94" i="1"/>
  <c r="J73" i="1"/>
  <c r="J78" i="1" s="1"/>
  <c r="J40" i="1"/>
  <c r="AR36" i="1"/>
  <c r="AR69" i="1"/>
  <c r="BI100" i="1"/>
  <c r="BI96" i="1"/>
  <c r="BI85" i="1"/>
  <c r="AW92" i="1"/>
  <c r="AW90" i="1"/>
  <c r="AW98" i="1"/>
  <c r="BH100" i="1"/>
  <c r="BH96" i="1"/>
  <c r="BH85" i="1"/>
  <c r="BK88" i="1"/>
  <c r="BK39" i="1"/>
  <c r="S100" i="1"/>
  <c r="S96" i="1"/>
  <c r="AG41" i="1"/>
  <c r="P100" i="1"/>
  <c r="P96" i="1"/>
  <c r="AU36" i="1"/>
  <c r="AU69" i="1"/>
  <c r="AF36" i="1"/>
  <c r="AF69" i="1"/>
  <c r="L87" i="1"/>
  <c r="L91" i="1"/>
  <c r="L94" i="1"/>
  <c r="L93" i="1"/>
  <c r="AS36" i="1"/>
  <c r="AS69" i="1"/>
  <c r="BK73" i="1"/>
  <c r="BK41" i="1"/>
  <c r="BK40" i="1"/>
  <c r="AP48" i="1"/>
  <c r="AP49" i="1" s="1"/>
  <c r="AU88" i="1"/>
  <c r="AU39" i="1"/>
  <c r="AF88" i="1"/>
  <c r="AF39" i="1"/>
  <c r="BX72" i="1" l="1"/>
  <c r="BM118" i="2"/>
  <c r="AX29" i="2"/>
  <c r="AX263" i="2" s="1"/>
  <c r="BO64" i="2"/>
  <c r="BZ72" i="1" s="1"/>
  <c r="BN118" i="2"/>
  <c r="BE48" i="1"/>
  <c r="BD94" i="1"/>
  <c r="BD93" i="1"/>
  <c r="BD91" i="1"/>
  <c r="BD87" i="1"/>
  <c r="AB91" i="1"/>
  <c r="AB87" i="1"/>
  <c r="AB93" i="1"/>
  <c r="AW94" i="1"/>
  <c r="AW93" i="1"/>
  <c r="AW91" i="1"/>
  <c r="AM87" i="1"/>
  <c r="AM94" i="1"/>
  <c r="AM91" i="1"/>
  <c r="AM93" i="1"/>
  <c r="Z91" i="1"/>
  <c r="Z93" i="1"/>
  <c r="Z94" i="1"/>
  <c r="Z87" i="1"/>
  <c r="AF87" i="1"/>
  <c r="AF91" i="1"/>
  <c r="AF93" i="1"/>
  <c r="AF94" i="1"/>
  <c r="BC87" i="1"/>
  <c r="BC94" i="1"/>
  <c r="BC91" i="1"/>
  <c r="BC93" i="1"/>
  <c r="AS94" i="1"/>
  <c r="AS93" i="1"/>
  <c r="AS87" i="1"/>
  <c r="AS91" i="1"/>
  <c r="BI78" i="1"/>
  <c r="BB78" i="1"/>
  <c r="AP91" i="1"/>
  <c r="AP93" i="1"/>
  <c r="AP94" i="1"/>
  <c r="AP87" i="1"/>
  <c r="AD94" i="1"/>
  <c r="AD87" i="1"/>
  <c r="AD91" i="1"/>
  <c r="AD93" i="1"/>
  <c r="BF78" i="1"/>
  <c r="I87" i="1"/>
  <c r="I91" i="1"/>
  <c r="I93" i="1"/>
  <c r="I94" i="1"/>
  <c r="BC78" i="1"/>
  <c r="X87" i="1"/>
  <c r="X93" i="1"/>
  <c r="X94" i="1"/>
  <c r="X91" i="1"/>
  <c r="BF91" i="1"/>
  <c r="BF93" i="1"/>
  <c r="BF94" i="1"/>
  <c r="BF87" i="1"/>
  <c r="T91" i="1"/>
  <c r="T94" i="1"/>
  <c r="T93" i="1"/>
  <c r="T87" i="1"/>
  <c r="AR91" i="1"/>
  <c r="AR94" i="1"/>
  <c r="AR93" i="1"/>
  <c r="AR87" i="1"/>
  <c r="BI91" i="1"/>
  <c r="BI94" i="1"/>
  <c r="BI93" i="1"/>
  <c r="BI87" i="1"/>
  <c r="BA78" i="1"/>
  <c r="BK87" i="1"/>
  <c r="BK94" i="1"/>
  <c r="BK91" i="1"/>
  <c r="BK93" i="1"/>
  <c r="AU87" i="1"/>
  <c r="AU94" i="1"/>
  <c r="AU91" i="1"/>
  <c r="AU93" i="1"/>
  <c r="BB94" i="1"/>
  <c r="BB87" i="1"/>
  <c r="BB91" i="1"/>
  <c r="BB93" i="1"/>
  <c r="AV87" i="1"/>
  <c r="AV94" i="1"/>
  <c r="AV91" i="1"/>
  <c r="AV93" i="1"/>
  <c r="U91" i="1"/>
  <c r="U94" i="1"/>
  <c r="U93" i="1"/>
  <c r="U87" i="1"/>
  <c r="N94" i="1"/>
  <c r="N91" i="1"/>
  <c r="N93" i="1"/>
  <c r="N87" i="1"/>
  <c r="AN87" i="1"/>
  <c r="AN91" i="1"/>
  <c r="AN93" i="1"/>
  <c r="AN94" i="1"/>
  <c r="BA87" i="1"/>
  <c r="BA91" i="1"/>
  <c r="BA94" i="1"/>
  <c r="BA93" i="1"/>
  <c r="W87" i="1"/>
  <c r="W94" i="1"/>
  <c r="W93" i="1"/>
  <c r="W91" i="1"/>
  <c r="AO91" i="1"/>
  <c r="AO93" i="1"/>
  <c r="AO94" i="1"/>
  <c r="AO87" i="1"/>
  <c r="BG78" i="1"/>
  <c r="J91" i="1"/>
  <c r="J93" i="1"/>
  <c r="J87" i="1"/>
  <c r="J94" i="1"/>
  <c r="R93" i="1"/>
  <c r="R91" i="1"/>
  <c r="R94" i="1"/>
  <c r="R87" i="1"/>
  <c r="BK78" i="1"/>
  <c r="AK91" i="1"/>
  <c r="AK94" i="1"/>
  <c r="AK93" i="1"/>
  <c r="AK87" i="1"/>
  <c r="BJ78" i="1"/>
  <c r="Y94" i="1"/>
  <c r="Y87" i="1"/>
  <c r="Y91" i="1"/>
  <c r="Y93" i="1"/>
  <c r="AT94" i="1"/>
  <c r="AT93" i="1"/>
  <c r="AT87" i="1"/>
  <c r="AT91" i="1"/>
  <c r="M87" i="1"/>
  <c r="M91" i="1"/>
  <c r="M94" i="1"/>
  <c r="M93" i="1"/>
  <c r="BJ94" i="1"/>
  <c r="BJ91" i="1"/>
  <c r="BJ93" i="1"/>
  <c r="BJ87" i="1"/>
  <c r="BG93" i="1"/>
  <c r="BG91" i="1"/>
  <c r="BG94" i="1"/>
  <c r="BG87" i="1"/>
  <c r="AZ29" i="2" l="1"/>
  <c r="AZ263" i="2" s="1"/>
  <c r="BC29" i="2"/>
  <c r="BC263" i="2" s="1"/>
  <c r="AY29" i="2"/>
  <c r="AY263" i="2" s="1"/>
  <c r="BB29" i="2"/>
  <c r="BB263" i="2" s="1"/>
  <c r="BA29" i="2"/>
  <c r="BA263" i="2" s="1"/>
  <c r="BP64" i="2"/>
  <c r="BO118" i="2"/>
  <c r="AJ69" i="1"/>
  <c r="F69" i="1"/>
  <c r="BL69" i="1"/>
  <c r="AC69" i="1"/>
  <c r="AG64" i="2"/>
  <c r="AM64" i="2"/>
  <c r="AV64" i="2"/>
  <c r="F64" i="2"/>
  <c r="BL348" i="2"/>
  <c r="F124" i="2"/>
  <c r="AA64" i="2"/>
  <c r="Y64" i="2"/>
  <c r="AZ64" i="2"/>
  <c r="R64" i="2"/>
  <c r="AD64" i="2"/>
  <c r="D64" i="2"/>
  <c r="J64" i="2"/>
  <c r="AU64" i="2"/>
  <c r="AR64" i="2"/>
  <c r="BD124" i="2"/>
  <c r="AF64" i="2"/>
  <c r="E124" i="2"/>
  <c r="I124" i="2"/>
  <c r="X64" i="2"/>
  <c r="BD64" i="2"/>
  <c r="AO64" i="2"/>
  <c r="N332" i="2"/>
  <c r="N124" i="2"/>
  <c r="AL64" i="2"/>
  <c r="M64" i="2"/>
  <c r="AS64" i="2"/>
  <c r="AE64" i="2"/>
  <c r="BP332" i="2"/>
  <c r="Z64" i="2"/>
  <c r="AY64" i="2"/>
  <c r="L64" i="2"/>
  <c r="L124" i="2"/>
  <c r="BB64" i="2"/>
  <c r="AQ35" i="2"/>
  <c r="AF35" i="2"/>
  <c r="Q64" i="2"/>
  <c r="T64" i="2"/>
  <c r="G64" i="2"/>
  <c r="BL332" i="2"/>
  <c r="E332" i="2"/>
  <c r="AT64" i="2"/>
  <c r="P332" i="2"/>
  <c r="D124" i="2"/>
  <c r="BC64" i="2"/>
  <c r="I64" i="2"/>
  <c r="T332" i="2"/>
  <c r="Q332" i="2"/>
  <c r="AH64" i="2"/>
  <c r="AK64" i="2"/>
  <c r="BM332" i="2"/>
  <c r="R35" i="2"/>
  <c r="K64" i="2"/>
  <c r="I332" i="2"/>
  <c r="O36" i="2"/>
  <c r="K124" i="2"/>
  <c r="AJ36" i="2"/>
  <c r="J124" i="2"/>
  <c r="V36" i="2"/>
  <c r="BN332" i="2"/>
  <c r="P64" i="2"/>
  <c r="AL35" i="2"/>
  <c r="J332" i="2"/>
  <c r="O332" i="2"/>
  <c r="H64" i="2"/>
  <c r="O124" i="2"/>
  <c r="S64" i="2"/>
  <c r="BA64" i="2"/>
  <c r="BO332" i="2"/>
  <c r="BZ81" i="1" s="1"/>
  <c r="AV36" i="2"/>
  <c r="N64" i="2"/>
  <c r="M124" i="2"/>
  <c r="M332" i="2"/>
  <c r="H332" i="2"/>
  <c r="BC36" i="2"/>
  <c r="AH35" i="2"/>
  <c r="AR36" i="2"/>
  <c r="P124" i="2"/>
  <c r="W64" i="2"/>
  <c r="S36" i="2"/>
  <c r="Z35" i="2"/>
  <c r="BQ332" i="2"/>
  <c r="BC35" i="2"/>
  <c r="AK35" i="2"/>
  <c r="AU35" i="2"/>
  <c r="BR332" i="2"/>
  <c r="L332" i="2"/>
  <c r="W36" i="2"/>
  <c r="J35" i="2"/>
  <c r="AQ36" i="2"/>
  <c r="X35" i="2"/>
  <c r="AA35" i="2"/>
  <c r="BM348" i="2"/>
  <c r="G332" i="2"/>
  <c r="AN64" i="2"/>
  <c r="E64" i="2"/>
  <c r="AD36" i="2"/>
  <c r="O64" i="2"/>
  <c r="D332" i="2"/>
  <c r="F332" i="2"/>
  <c r="G124" i="2"/>
  <c r="X36" i="2"/>
  <c r="Z36" i="2"/>
  <c r="R332" i="2"/>
  <c r="H124" i="2"/>
  <c r="K332" i="2"/>
  <c r="I35" i="2"/>
  <c r="AY35" i="2"/>
  <c r="AS36" i="2"/>
  <c r="AH36" i="2"/>
  <c r="BD332" i="2"/>
  <c r="Y35" i="2"/>
  <c r="Q35" i="2"/>
  <c r="E35" i="2"/>
  <c r="AX35" i="2"/>
  <c r="S332" i="2"/>
  <c r="AO36" i="2"/>
  <c r="E36" i="2"/>
  <c r="AJ35" i="2"/>
  <c r="N35" i="2"/>
  <c r="BB36" i="2"/>
  <c r="H36" i="2"/>
  <c r="AO35" i="2"/>
  <c r="AT35" i="2"/>
  <c r="AM36" i="2"/>
  <c r="AU36" i="2"/>
  <c r="AV35" i="2"/>
  <c r="F36" i="2"/>
  <c r="AN36" i="2"/>
  <c r="AM35" i="2"/>
  <c r="N36" i="2"/>
  <c r="W35" i="2"/>
  <c r="AC36" i="2"/>
  <c r="G36" i="2"/>
  <c r="F35" i="2"/>
  <c r="V35" i="2"/>
  <c r="BB35" i="2"/>
  <c r="Y36" i="2"/>
  <c r="BA35" i="2"/>
  <c r="AZ35" i="2"/>
  <c r="AR35" i="2"/>
  <c r="K36" i="2"/>
  <c r="Q36" i="2"/>
  <c r="R36" i="2"/>
  <c r="AG36" i="2"/>
  <c r="M35" i="2"/>
  <c r="AX36" i="2"/>
  <c r="T36" i="2"/>
  <c r="L36" i="2"/>
  <c r="AN35" i="2"/>
  <c r="AA36" i="2"/>
  <c r="BD35" i="2"/>
  <c r="AY36" i="2"/>
  <c r="S35" i="2"/>
  <c r="AE36" i="2"/>
  <c r="AK36" i="2"/>
  <c r="T35" i="2"/>
  <c r="P35" i="2"/>
  <c r="AL36" i="2"/>
  <c r="J36" i="2"/>
  <c r="H35" i="2"/>
  <c r="AG35" i="2"/>
  <c r="AD35" i="2"/>
  <c r="AZ36" i="2"/>
  <c r="O35" i="2"/>
  <c r="AF36" i="2"/>
  <c r="AT36" i="2"/>
  <c r="I36" i="2"/>
  <c r="AC35" i="2"/>
  <c r="BD36" i="2"/>
  <c r="P36" i="2"/>
  <c r="G35" i="2"/>
  <c r="BA36" i="2"/>
  <c r="D35" i="2"/>
  <c r="M36" i="2"/>
  <c r="L35" i="2"/>
  <c r="D36" i="2"/>
  <c r="AS35" i="2"/>
  <c r="AE35" i="2"/>
  <c r="K35" i="2"/>
  <c r="K226" i="2" l="1"/>
  <c r="E169" i="2"/>
  <c r="H234" i="2"/>
  <c r="I168" i="2"/>
  <c r="T157" i="2"/>
  <c r="AF231" i="2"/>
  <c r="AE226" i="2"/>
  <c r="F234" i="2"/>
  <c r="Y157" i="2"/>
  <c r="AJ157" i="2"/>
  <c r="W231" i="2"/>
  <c r="AX157" i="2"/>
  <c r="AS226" i="2"/>
  <c r="AA234" i="2"/>
  <c r="D296" i="2"/>
  <c r="D222" i="2"/>
  <c r="BB231" i="2"/>
  <c r="U231" i="2"/>
  <c r="AG231" i="2"/>
  <c r="BA231" i="2"/>
  <c r="L226" i="2"/>
  <c r="N234" i="2"/>
  <c r="E157" i="2"/>
  <c r="D168" i="2"/>
  <c r="D172" i="2" s="1"/>
  <c r="E234" i="2"/>
  <c r="BK140" i="2"/>
  <c r="BJ140" i="2"/>
  <c r="M296" i="2"/>
  <c r="M222" i="2"/>
  <c r="D226" i="2"/>
  <c r="J234" i="2"/>
  <c r="AH231" i="2"/>
  <c r="BA222" i="2"/>
  <c r="BA296" i="2"/>
  <c r="AR157" i="2"/>
  <c r="AG157" i="2"/>
  <c r="F169" i="2"/>
  <c r="G226" i="2"/>
  <c r="Y234" i="2"/>
  <c r="I181" i="2"/>
  <c r="BE157" i="2"/>
  <c r="Z157" i="2"/>
  <c r="AK231" i="2"/>
  <c r="N209" i="2"/>
  <c r="BF157" i="2"/>
  <c r="M157" i="2"/>
  <c r="AB231" i="2"/>
  <c r="V157" i="2"/>
  <c r="H157" i="2"/>
  <c r="P296" i="2"/>
  <c r="P222" i="2"/>
  <c r="W157" i="2"/>
  <c r="BI231" i="2"/>
  <c r="I169" i="2"/>
  <c r="AD157" i="2"/>
  <c r="AW157" i="2"/>
  <c r="Y231" i="2"/>
  <c r="BD222" i="2"/>
  <c r="BD296" i="2"/>
  <c r="AC226" i="2"/>
  <c r="W234" i="2"/>
  <c r="D182" i="2"/>
  <c r="D187" i="2" s="1"/>
  <c r="D188" i="2" s="1"/>
  <c r="P234" i="2"/>
  <c r="AO157" i="2"/>
  <c r="I296" i="2"/>
  <c r="I222" i="2"/>
  <c r="AT296" i="2"/>
  <c r="AT222" i="2"/>
  <c r="G181" i="2"/>
  <c r="AF222" i="2"/>
  <c r="AF296" i="2"/>
  <c r="AQ157" i="2"/>
  <c r="G169" i="2"/>
  <c r="Q231" i="2"/>
  <c r="M209" i="2"/>
  <c r="AN231" i="2"/>
  <c r="O226" i="2"/>
  <c r="H181" i="2"/>
  <c r="AZ296" i="2"/>
  <c r="AZ222" i="2"/>
  <c r="AC157" i="2"/>
  <c r="AS157" i="2"/>
  <c r="AD226" i="2"/>
  <c r="N231" i="2"/>
  <c r="AS231" i="2"/>
  <c r="AN157" i="2"/>
  <c r="AG226" i="2"/>
  <c r="H226" i="2"/>
  <c r="J182" i="2"/>
  <c r="O209" i="2"/>
  <c r="Q234" i="2"/>
  <c r="V231" i="2"/>
  <c r="J168" i="2"/>
  <c r="R231" i="2"/>
  <c r="F231" i="2"/>
  <c r="E181" i="2"/>
  <c r="O231" i="2"/>
  <c r="X231" i="2"/>
  <c r="BH231" i="2"/>
  <c r="AU157" i="2"/>
  <c r="BA157" i="2"/>
  <c r="O234" i="2"/>
  <c r="J222" i="2"/>
  <c r="J296" i="2"/>
  <c r="L157" i="2"/>
  <c r="H168" i="2"/>
  <c r="P209" i="2"/>
  <c r="Z231" i="2"/>
  <c r="T231" i="2"/>
  <c r="BB157" i="2"/>
  <c r="BG231" i="2"/>
  <c r="AC231" i="2"/>
  <c r="Q157" i="2"/>
  <c r="AL222" i="2"/>
  <c r="AL296" i="2"/>
  <c r="I182" i="2"/>
  <c r="AE157" i="2"/>
  <c r="P226" i="2"/>
  <c r="S157" i="2"/>
  <c r="T226" i="2"/>
  <c r="AK222" i="2"/>
  <c r="AK296" i="2"/>
  <c r="AE296" i="2"/>
  <c r="AE222" i="2"/>
  <c r="M231" i="2"/>
  <c r="AQ231" i="2"/>
  <c r="D231" i="2"/>
  <c r="S231" i="2"/>
  <c r="S226" i="2"/>
  <c r="AY296" i="2"/>
  <c r="AY222" i="2"/>
  <c r="K209" i="2"/>
  <c r="G182" i="2"/>
  <c r="BD226" i="2"/>
  <c r="J181" i="2"/>
  <c r="BE14" i="2"/>
  <c r="AA222" i="2"/>
  <c r="AA296" i="2"/>
  <c r="J231" i="2"/>
  <c r="R157" i="2"/>
  <c r="AY231" i="2"/>
  <c r="J169" i="2"/>
  <c r="AN226" i="2"/>
  <c r="G157" i="2"/>
  <c r="D169" i="2"/>
  <c r="AL157" i="2"/>
  <c r="BG157" i="2"/>
  <c r="D209" i="2"/>
  <c r="Q209" i="2"/>
  <c r="G234" i="2"/>
  <c r="F168" i="2"/>
  <c r="L296" i="2"/>
  <c r="L222" i="2"/>
  <c r="D181" i="2"/>
  <c r="J209" i="2"/>
  <c r="T296" i="2"/>
  <c r="T222" i="2"/>
  <c r="AX222" i="2"/>
  <c r="AX296" i="2"/>
  <c r="F209" i="2"/>
  <c r="M226" i="2"/>
  <c r="AH157" i="2"/>
  <c r="AP157" i="2"/>
  <c r="AG296" i="2"/>
  <c r="AG222" i="2"/>
  <c r="R296" i="2"/>
  <c r="R222" i="2"/>
  <c r="G209" i="2"/>
  <c r="AV231" i="2"/>
  <c r="Q296" i="2"/>
  <c r="Q222" i="2"/>
  <c r="F182" i="2"/>
  <c r="AZ157" i="2"/>
  <c r="K222" i="2"/>
  <c r="K296" i="2"/>
  <c r="AR226" i="2"/>
  <c r="AZ226" i="2"/>
  <c r="L209" i="2"/>
  <c r="P231" i="2"/>
  <c r="D234" i="2"/>
  <c r="AB157" i="2"/>
  <c r="BA226" i="2"/>
  <c r="Y296" i="2"/>
  <c r="Y222" i="2"/>
  <c r="K234" i="2"/>
  <c r="AI231" i="2"/>
  <c r="S234" i="2"/>
  <c r="BF231" i="2"/>
  <c r="BB226" i="2"/>
  <c r="AA157" i="2"/>
  <c r="U157" i="2"/>
  <c r="BH157" i="2"/>
  <c r="V226" i="2"/>
  <c r="F226" i="2"/>
  <c r="E209" i="2"/>
  <c r="G222" i="2"/>
  <c r="G296" i="2"/>
  <c r="E168" i="2"/>
  <c r="AC222" i="2"/>
  <c r="AC296" i="2"/>
  <c r="AX231" i="2"/>
  <c r="K157" i="2"/>
  <c r="AV157" i="2"/>
  <c r="W226" i="2"/>
  <c r="AT231" i="2"/>
  <c r="N296" i="2"/>
  <c r="N222" i="2"/>
  <c r="P157" i="2"/>
  <c r="AM226" i="2"/>
  <c r="F181" i="2"/>
  <c r="AN222" i="2"/>
  <c r="AN296" i="2"/>
  <c r="F222" i="2"/>
  <c r="F296" i="2"/>
  <c r="AA231" i="2"/>
  <c r="AL231" i="2"/>
  <c r="AI157" i="2"/>
  <c r="H209" i="2"/>
  <c r="H169" i="2"/>
  <c r="AV226" i="2"/>
  <c r="BD157" i="2"/>
  <c r="AU296" i="2"/>
  <c r="AU222" i="2"/>
  <c r="J157" i="2"/>
  <c r="BC231" i="2"/>
  <c r="T234" i="2"/>
  <c r="AE231" i="2"/>
  <c r="AM296" i="2"/>
  <c r="AM222" i="2"/>
  <c r="AT226" i="2"/>
  <c r="AO226" i="2"/>
  <c r="N157" i="2"/>
  <c r="I234" i="2"/>
  <c r="V234" i="2"/>
  <c r="R177" i="2"/>
  <c r="BJ231" i="2"/>
  <c r="H222" i="2"/>
  <c r="H296" i="2"/>
  <c r="BB222" i="2"/>
  <c r="BB296" i="2"/>
  <c r="N226" i="2"/>
  <c r="Z234" i="2"/>
  <c r="AJ226" i="2"/>
  <c r="BJ157" i="2"/>
  <c r="E296" i="2"/>
  <c r="E222" i="2"/>
  <c r="AM157" i="2"/>
  <c r="X234" i="2"/>
  <c r="AT157" i="2"/>
  <c r="AO296" i="2"/>
  <c r="AO222" i="2"/>
  <c r="BN81" i="1"/>
  <c r="AX226" i="2"/>
  <c r="E226" i="2"/>
  <c r="AM231" i="2"/>
  <c r="BD231" i="2"/>
  <c r="I231" i="2"/>
  <c r="Q226" i="2"/>
  <c r="Y226" i="2"/>
  <c r="AH222" i="2"/>
  <c r="AH296" i="2"/>
  <c r="BE231" i="2"/>
  <c r="BK157" i="2"/>
  <c r="AS222" i="2"/>
  <c r="AS296" i="2"/>
  <c r="M234" i="2"/>
  <c r="O157" i="2"/>
  <c r="AY226" i="2"/>
  <c r="I226" i="2"/>
  <c r="BK231" i="2"/>
  <c r="BL231" i="2" s="1"/>
  <c r="BM231" i="2" s="1"/>
  <c r="BN231" i="2" s="1"/>
  <c r="BO231" i="2" s="1"/>
  <c r="BP231" i="2" s="1"/>
  <c r="BQ231" i="2" s="1"/>
  <c r="BR231" i="2" s="1"/>
  <c r="BC140" i="2"/>
  <c r="BD140" i="2"/>
  <c r="AR231" i="2"/>
  <c r="F157" i="2"/>
  <c r="H122" i="2"/>
  <c r="G77" i="1" s="1"/>
  <c r="H344" i="2"/>
  <c r="I297" i="2"/>
  <c r="BM81" i="1"/>
  <c r="BC157" i="2"/>
  <c r="Z222" i="2"/>
  <c r="Z296" i="2"/>
  <c r="K40" i="28"/>
  <c r="D157" i="2"/>
  <c r="X222" i="2"/>
  <c r="X296" i="2"/>
  <c r="Z297" i="2"/>
  <c r="AL297" i="2"/>
  <c r="H297" i="2"/>
  <c r="G122" i="2"/>
  <c r="F77" i="1" s="1"/>
  <c r="G344" i="2"/>
  <c r="AF297" i="2"/>
  <c r="R234" i="2"/>
  <c r="AX72" i="1"/>
  <c r="O118" i="2"/>
  <c r="L231" i="2"/>
  <c r="I209" i="2"/>
  <c r="AK157" i="2"/>
  <c r="AD222" i="2"/>
  <c r="AD296" i="2"/>
  <c r="X157" i="2"/>
  <c r="E118" i="2"/>
  <c r="E231" i="2"/>
  <c r="BE261" i="2"/>
  <c r="BE22" i="2"/>
  <c r="BE20" i="2" s="1"/>
  <c r="H182" i="2"/>
  <c r="BX74" i="1"/>
  <c r="AZ231" i="2"/>
  <c r="H231" i="2"/>
  <c r="AA226" i="2"/>
  <c r="X226" i="2"/>
  <c r="AQ222" i="2"/>
  <c r="AQ296" i="2"/>
  <c r="J226" i="2"/>
  <c r="W296" i="2"/>
  <c r="W222" i="2"/>
  <c r="BR3" i="1"/>
  <c r="BR5" i="1" s="1"/>
  <c r="N80" i="28"/>
  <c r="U234" i="2"/>
  <c r="AU226" i="2"/>
  <c r="AK226" i="2"/>
  <c r="G168" i="2"/>
  <c r="L234" i="2"/>
  <c r="BC226" i="2"/>
  <c r="AO231" i="2"/>
  <c r="AU231" i="2"/>
  <c r="Z226" i="2"/>
  <c r="AY157" i="2"/>
  <c r="S296" i="2"/>
  <c r="S222" i="2"/>
  <c r="G231" i="2"/>
  <c r="P122" i="2"/>
  <c r="BE77" i="1" s="1"/>
  <c r="BE80" i="1" s="1"/>
  <c r="Q297" i="2"/>
  <c r="P344" i="2"/>
  <c r="I157" i="2"/>
  <c r="AR296" i="2"/>
  <c r="AR222" i="2"/>
  <c r="AH226" i="2"/>
  <c r="BC296" i="2"/>
  <c r="BC222" i="2"/>
  <c r="K231" i="2"/>
  <c r="M344" i="2"/>
  <c r="AR297" i="2"/>
  <c r="N297" i="2"/>
  <c r="M122" i="2"/>
  <c r="AJ77" i="1" s="1"/>
  <c r="AQ72" i="1"/>
  <c r="AQ81" i="1" s="1"/>
  <c r="N118" i="2"/>
  <c r="AV296" i="2"/>
  <c r="AV222" i="2"/>
  <c r="S118" i="2"/>
  <c r="BN72" i="1"/>
  <c r="AW231" i="2"/>
  <c r="AD231" i="2"/>
  <c r="BI157" i="2"/>
  <c r="O344" i="2"/>
  <c r="P297" i="2"/>
  <c r="O122" i="2"/>
  <c r="AX77" i="1" s="1"/>
  <c r="G72" i="1"/>
  <c r="H118" i="2"/>
  <c r="AL226" i="2"/>
  <c r="BE72" i="1"/>
  <c r="P118" i="2"/>
  <c r="BY81" i="1"/>
  <c r="V296" i="2"/>
  <c r="V222" i="2"/>
  <c r="J344" i="2"/>
  <c r="K297" i="2"/>
  <c r="J122" i="2"/>
  <c r="O77" i="1" s="1"/>
  <c r="AJ296" i="2"/>
  <c r="AJ222" i="2"/>
  <c r="AF157" i="2"/>
  <c r="K344" i="2"/>
  <c r="K122" i="2"/>
  <c r="V77" i="1" s="1"/>
  <c r="L297" i="2"/>
  <c r="O222" i="2"/>
  <c r="O296" i="2"/>
  <c r="AJ231" i="2"/>
  <c r="V72" i="1"/>
  <c r="V81" i="1" s="1"/>
  <c r="K118" i="2"/>
  <c r="R226" i="2"/>
  <c r="AP231" i="2"/>
  <c r="BO81" i="1"/>
  <c r="I118" i="2"/>
  <c r="H72" i="1"/>
  <c r="H76" i="1" s="1"/>
  <c r="H79" i="1" s="1"/>
  <c r="E297" i="2"/>
  <c r="D344" i="2"/>
  <c r="D122" i="2"/>
  <c r="E182" i="2"/>
  <c r="F72" i="1"/>
  <c r="G118" i="2"/>
  <c r="BO72" i="1"/>
  <c r="T118" i="2"/>
  <c r="Q118" i="2"/>
  <c r="BL72" i="1"/>
  <c r="AF226" i="2"/>
  <c r="AQ226" i="2"/>
  <c r="L122" i="2"/>
  <c r="AC77" i="1" s="1"/>
  <c r="L344" i="2"/>
  <c r="AQ297" i="2"/>
  <c r="M297" i="2"/>
  <c r="AC72" i="1"/>
  <c r="AC76" i="1" s="1"/>
  <c r="AC79" i="1" s="1"/>
  <c r="L118" i="2"/>
  <c r="AJ72" i="1"/>
  <c r="AJ81" i="1" s="1"/>
  <c r="M118" i="2"/>
  <c r="AG297" i="2"/>
  <c r="O297" i="2"/>
  <c r="AM297" i="2"/>
  <c r="AA297" i="2"/>
  <c r="N344" i="2"/>
  <c r="N122" i="2"/>
  <c r="AQ77" i="1" s="1"/>
  <c r="AS297" i="2"/>
  <c r="BU72" i="1"/>
  <c r="BD118" i="2"/>
  <c r="I344" i="2"/>
  <c r="I122" i="2"/>
  <c r="H77" i="1" s="1"/>
  <c r="J297" i="2"/>
  <c r="F297" i="2"/>
  <c r="AJ297" i="2"/>
  <c r="E122" i="2"/>
  <c r="E344" i="2"/>
  <c r="BK297" i="2"/>
  <c r="BD122" i="2"/>
  <c r="BD344" i="2"/>
  <c r="O72" i="1"/>
  <c r="O81" i="1" s="1"/>
  <c r="J118" i="2"/>
  <c r="D118" i="2"/>
  <c r="R118" i="2"/>
  <c r="BM72" i="1"/>
  <c r="AK297" i="2"/>
  <c r="F122" i="2"/>
  <c r="E77" i="1" s="1"/>
  <c r="E80" i="1" s="1"/>
  <c r="G297" i="2"/>
  <c r="F344" i="2"/>
  <c r="BW74" i="1"/>
  <c r="Y46" i="28"/>
  <c r="E72" i="1"/>
  <c r="E81" i="1" s="1"/>
  <c r="E84" i="1" s="1"/>
  <c r="F118" i="2"/>
  <c r="AC81" i="1"/>
  <c r="G4" i="28"/>
  <c r="O76" i="1"/>
  <c r="O79" i="1" s="1"/>
  <c r="H81" i="1"/>
  <c r="AJ76" i="1"/>
  <c r="AJ79" i="1" s="1"/>
  <c r="BP118" i="2"/>
  <c r="BQ64" i="2"/>
  <c r="AX69" i="1"/>
  <c r="BE69" i="1"/>
  <c r="H69" i="1"/>
  <c r="E69" i="1"/>
  <c r="V69" i="1"/>
  <c r="AQ69" i="1"/>
  <c r="O69" i="1"/>
  <c r="G69" i="1"/>
  <c r="M41" i="28" l="1"/>
  <c r="J187" i="2"/>
  <c r="G17" i="28"/>
  <c r="I174" i="2"/>
  <c r="J174" i="2"/>
  <c r="M45" i="28"/>
  <c r="L41" i="28"/>
  <c r="G13" i="28"/>
  <c r="G185" i="2"/>
  <c r="H172" i="2"/>
  <c r="K44" i="28"/>
  <c r="I185" i="2"/>
  <c r="F185" i="2"/>
  <c r="K43" i="28"/>
  <c r="M49" i="28"/>
  <c r="M31" i="28"/>
  <c r="M43" i="28"/>
  <c r="D185" i="2"/>
  <c r="E185" i="2"/>
  <c r="K31" i="28"/>
  <c r="K45" i="28"/>
  <c r="K49" i="28"/>
  <c r="J172" i="2"/>
  <c r="J185" i="2"/>
  <c r="G16" i="28"/>
  <c r="G15" i="28"/>
  <c r="E172" i="2"/>
  <c r="L44" i="28"/>
  <c r="M44" i="28"/>
  <c r="H187" i="2"/>
  <c r="H188" i="2" s="1"/>
  <c r="E187" i="2"/>
  <c r="E188" i="2" s="1"/>
  <c r="I175" i="2"/>
  <c r="BK225" i="2"/>
  <c r="BK227" i="2" s="1"/>
  <c r="BL227" i="2" s="1"/>
  <c r="BM227" i="2" s="1"/>
  <c r="BN227" i="2" s="1"/>
  <c r="BO227" i="2" s="1"/>
  <c r="BP227" i="2" s="1"/>
  <c r="BQ227" i="2" s="1"/>
  <c r="BR227" i="2" s="1"/>
  <c r="BK307" i="2"/>
  <c r="F174" i="2"/>
  <c r="F175" i="2" s="1"/>
  <c r="G174" i="2"/>
  <c r="G175" i="2" s="1"/>
  <c r="D174" i="2"/>
  <c r="E174" i="2"/>
  <c r="BD307" i="2"/>
  <c r="BK306" i="2"/>
  <c r="BD225" i="2"/>
  <c r="BD227" i="2" s="1"/>
  <c r="G81" i="1"/>
  <c r="G76" i="1"/>
  <c r="G79" i="1" s="1"/>
  <c r="BE76" i="1"/>
  <c r="BE79" i="1" s="1"/>
  <c r="BE81" i="1"/>
  <c r="I187" i="2"/>
  <c r="AQ76" i="1"/>
  <c r="AQ79" i="1" s="1"/>
  <c r="F172" i="2"/>
  <c r="K41" i="28"/>
  <c r="K42" i="28" s="1"/>
  <c r="H174" i="2"/>
  <c r="AX76" i="1"/>
  <c r="AX79" i="1" s="1"/>
  <c r="AX81" i="1"/>
  <c r="K35" i="28"/>
  <c r="K48" i="28"/>
  <c r="L35" i="28"/>
  <c r="L48" i="28"/>
  <c r="H185" i="2"/>
  <c r="BL76" i="1"/>
  <c r="BL79" i="1" s="1"/>
  <c r="BL81" i="1"/>
  <c r="V76" i="1"/>
  <c r="V79" i="1" s="1"/>
  <c r="L31" i="28"/>
  <c r="L49" i="28"/>
  <c r="M35" i="28"/>
  <c r="M48" i="28"/>
  <c r="G172" i="2"/>
  <c r="L40" i="28"/>
  <c r="L43" i="28"/>
  <c r="E76" i="1"/>
  <c r="E79" i="1" s="1"/>
  <c r="M40" i="28"/>
  <c r="M42" i="28" s="1"/>
  <c r="F187" i="2"/>
  <c r="BC225" i="2"/>
  <c r="BC227" i="2" s="1"/>
  <c r="BC307" i="2"/>
  <c r="F81" i="1"/>
  <c r="F76" i="1"/>
  <c r="F79" i="1" s="1"/>
  <c r="G187" i="2"/>
  <c r="G188" i="2" s="1"/>
  <c r="BJ225" i="2"/>
  <c r="BJ227" i="2" s="1"/>
  <c r="BJ307" i="2"/>
  <c r="L45" i="28"/>
  <c r="I172" i="2"/>
  <c r="BR64" i="2"/>
  <c r="BR118" i="2" s="1"/>
  <c r="BQ118" i="2"/>
  <c r="J188" i="2" l="1"/>
  <c r="J175" i="2"/>
  <c r="J190" i="2"/>
  <c r="L42" i="28"/>
  <c r="K46" i="28"/>
  <c r="G18" i="28"/>
  <c r="I188" i="2"/>
  <c r="I190" i="2"/>
  <c r="D190" i="2"/>
  <c r="D175" i="2"/>
  <c r="M46" i="28"/>
  <c r="E175" i="2"/>
  <c r="E190" i="2"/>
  <c r="F190" i="2"/>
  <c r="F188" i="2"/>
  <c r="G190" i="2"/>
  <c r="G352" i="2" s="1"/>
  <c r="L46" i="28"/>
  <c r="H175" i="2"/>
  <c r="H190" i="2"/>
  <c r="BQ41" i="1"/>
  <c r="J352" i="2" l="1"/>
  <c r="J29" i="2"/>
  <c r="I352" i="2"/>
  <c r="I29" i="2"/>
  <c r="E352" i="2"/>
  <c r="E29" i="2"/>
  <c r="E263" i="2" s="1"/>
  <c r="F29" i="2"/>
  <c r="F352" i="2"/>
  <c r="D352" i="2"/>
  <c r="D29" i="2"/>
  <c r="D263" i="2" s="1"/>
  <c r="G29" i="2"/>
  <c r="G263" i="2" s="1"/>
  <c r="H29" i="2"/>
  <c r="H352" i="2"/>
  <c r="AE38" i="1"/>
  <c r="AG38" i="1"/>
  <c r="AD38" i="1"/>
  <c r="AI38" i="1"/>
  <c r="AH38" i="1"/>
  <c r="AF38" i="1"/>
  <c r="J263" i="2" l="1"/>
  <c r="O28" i="1"/>
  <c r="I263" i="2"/>
  <c r="H28" i="1"/>
  <c r="E28" i="1"/>
  <c r="F263" i="2"/>
  <c r="F28" i="1"/>
  <c r="G28" i="1"/>
  <c r="H263" i="2"/>
  <c r="BP46" i="1"/>
  <c r="BQ46" i="1" l="1"/>
  <c r="BU46" i="1" l="1"/>
  <c r="BU45" i="1"/>
  <c r="AX261" i="2" l="1"/>
  <c r="AX22" i="2"/>
  <c r="AN261" i="2"/>
  <c r="AN22" i="2"/>
  <c r="BD261" i="2"/>
  <c r="BD22" i="2"/>
  <c r="S22" i="2"/>
  <c r="S20" i="2" s="1"/>
  <c r="S261" i="2"/>
  <c r="AM22" i="2"/>
  <c r="AM261" i="2"/>
  <c r="AZ23" i="2"/>
  <c r="AZ262" i="2"/>
  <c r="AU261" i="2"/>
  <c r="AU22" i="2"/>
  <c r="BA22" i="2"/>
  <c r="BA261" i="2"/>
  <c r="AU23" i="2"/>
  <c r="AU262" i="2"/>
  <c r="AE262" i="2"/>
  <c r="AE23" i="2"/>
  <c r="BD262" i="2"/>
  <c r="BD23" i="2"/>
  <c r="AC262" i="2"/>
  <c r="AC23" i="2"/>
  <c r="AT22" i="2"/>
  <c r="AT261" i="2"/>
  <c r="AJ22" i="2"/>
  <c r="AJ261" i="2"/>
  <c r="N261" i="2"/>
  <c r="N22" i="2"/>
  <c r="N20" i="2" s="1"/>
  <c r="BA23" i="2"/>
  <c r="BA262" i="2"/>
  <c r="W262" i="2"/>
  <c r="W23" i="2"/>
  <c r="AW22" i="2"/>
  <c r="AW261" i="2"/>
  <c r="Z262" i="2"/>
  <c r="Z23" i="2"/>
  <c r="AY261" i="2"/>
  <c r="AY22" i="2"/>
  <c r="Q261" i="2"/>
  <c r="Q22" i="2"/>
  <c r="Q20" i="2" s="1"/>
  <c r="AN23" i="2"/>
  <c r="AN262" i="2"/>
  <c r="X23" i="2"/>
  <c r="X262" i="2"/>
  <c r="AX14" i="2"/>
  <c r="AR22" i="2"/>
  <c r="AR261" i="2"/>
  <c r="BB262" i="2"/>
  <c r="BB23" i="2"/>
  <c r="Y22" i="2"/>
  <c r="Y261" i="2"/>
  <c r="AS22" i="2"/>
  <c r="AS261" i="2"/>
  <c r="P261" i="2"/>
  <c r="P22" i="2"/>
  <c r="P20" i="2" s="1"/>
  <c r="AK262" i="2"/>
  <c r="AK23" i="2"/>
  <c r="AL22" i="2"/>
  <c r="AL261" i="2"/>
  <c r="W22" i="2"/>
  <c r="W261" i="2"/>
  <c r="AB262" i="2"/>
  <c r="AB23" i="2"/>
  <c r="AE261" i="2"/>
  <c r="AE22" i="2"/>
  <c r="AZ22" i="2"/>
  <c r="AZ261" i="2"/>
  <c r="AW262" i="2"/>
  <c r="AW23" i="2"/>
  <c r="V261" i="2"/>
  <c r="V22" i="2"/>
  <c r="AM262" i="2"/>
  <c r="AM23" i="2"/>
  <c r="R22" i="2"/>
  <c r="R20" i="2" s="1"/>
  <c r="R261" i="2"/>
  <c r="AS262" i="2"/>
  <c r="AS23" i="2"/>
  <c r="AG262" i="2"/>
  <c r="AG23" i="2"/>
  <c r="O261" i="2"/>
  <c r="O22" i="2"/>
  <c r="O20" i="2" s="1"/>
  <c r="U262" i="2"/>
  <c r="U23" i="2"/>
  <c r="AR23" i="2"/>
  <c r="AR262" i="2"/>
  <c r="AI261" i="2"/>
  <c r="AI22" i="2"/>
  <c r="AQ23" i="2"/>
  <c r="AQ262" i="2"/>
  <c r="AB22" i="2"/>
  <c r="AB261" i="2"/>
  <c r="AP22" i="2"/>
  <c r="AP261" i="2"/>
  <c r="AJ262" i="2"/>
  <c r="AJ23" i="2"/>
  <c r="AF261" i="2"/>
  <c r="AF22" i="2"/>
  <c r="AQ22" i="2"/>
  <c r="AQ261" i="2"/>
  <c r="V262" i="2"/>
  <c r="V23" i="2"/>
  <c r="Z261" i="2"/>
  <c r="Z22" i="2"/>
  <c r="AI262" i="2"/>
  <c r="AI23" i="2"/>
  <c r="AP23" i="2"/>
  <c r="AP262" i="2"/>
  <c r="Y262" i="2"/>
  <c r="Y23" i="2"/>
  <c r="T22" i="2"/>
  <c r="T20" i="2" s="1"/>
  <c r="T261" i="2"/>
  <c r="AX262" i="2"/>
  <c r="AX23" i="2"/>
  <c r="AD22" i="2"/>
  <c r="AD261" i="2"/>
  <c r="M22" i="2"/>
  <c r="M20" i="2" s="1"/>
  <c r="M261" i="2"/>
  <c r="AC22" i="2"/>
  <c r="AC261" i="2"/>
  <c r="AD262" i="2"/>
  <c r="AD23" i="2"/>
  <c r="AY23" i="2"/>
  <c r="AY262" i="2"/>
  <c r="AL262" i="2"/>
  <c r="AL23" i="2"/>
  <c r="U22" i="2"/>
  <c r="U261" i="2"/>
  <c r="X261" i="2"/>
  <c r="X22" i="2"/>
  <c r="AT23" i="2"/>
  <c r="AT262" i="2"/>
  <c r="AK22" i="2"/>
  <c r="AK261" i="2"/>
  <c r="AF262" i="2"/>
  <c r="AF23" i="2"/>
  <c r="BB22" i="2"/>
  <c r="BB261" i="2"/>
  <c r="AG22" i="2"/>
  <c r="AG261" i="2"/>
  <c r="BW46" i="1"/>
  <c r="BW45" i="1"/>
  <c r="X20" i="2" l="1"/>
  <c r="AG20" i="2"/>
  <c r="AZ20" i="2"/>
  <c r="AK20" i="2"/>
  <c r="U20" i="2"/>
  <c r="BB20" i="2"/>
  <c r="AJ20" i="2"/>
  <c r="AP20" i="2"/>
  <c r="BD20" i="2"/>
  <c r="BU22" i="1" s="1"/>
  <c r="AC20" i="2"/>
  <c r="AE20" i="2"/>
  <c r="AN20" i="2"/>
  <c r="AX20" i="2"/>
  <c r="W20" i="2"/>
  <c r="Y20" i="2"/>
  <c r="BA20" i="2"/>
  <c r="Z20" i="2"/>
  <c r="AW20" i="2"/>
  <c r="AM20" i="2"/>
  <c r="AQ22" i="1"/>
  <c r="AL20" i="2"/>
  <c r="BL22" i="1"/>
  <c r="AJ22" i="1"/>
  <c r="BC262" i="2"/>
  <c r="BC23" i="2"/>
  <c r="AU20" i="2"/>
  <c r="AV261" i="2"/>
  <c r="AV22" i="2"/>
  <c r="AR20" i="2"/>
  <c r="AS20" i="2"/>
  <c r="AA261" i="2"/>
  <c r="AA22" i="2"/>
  <c r="AD20" i="2"/>
  <c r="AB20" i="2"/>
  <c r="BE22" i="1"/>
  <c r="BO22" i="1"/>
  <c r="AH23" i="2"/>
  <c r="AH262" i="2"/>
  <c r="AX22" i="1"/>
  <c r="AV262" i="2"/>
  <c r="AV23" i="2"/>
  <c r="AT20" i="2"/>
  <c r="AO261" i="2"/>
  <c r="AO22" i="2"/>
  <c r="AA23" i="2"/>
  <c r="AA262" i="2"/>
  <c r="BC261" i="2"/>
  <c r="BC22" i="2"/>
  <c r="AO262" i="2"/>
  <c r="AO23" i="2"/>
  <c r="AQ20" i="2"/>
  <c r="BV22" i="1"/>
  <c r="AF20" i="2"/>
  <c r="BM22" i="1"/>
  <c r="AH22" i="2"/>
  <c r="AH261" i="2"/>
  <c r="V20" i="2"/>
  <c r="BN22" i="1"/>
  <c r="AI20" i="2"/>
  <c r="AY20" i="2"/>
  <c r="BS22" i="1" l="1"/>
  <c r="BP22" i="1"/>
  <c r="BT22" i="1"/>
  <c r="AA20" i="2"/>
  <c r="BC20" i="2"/>
  <c r="AH20" i="2"/>
  <c r="AO20" i="2"/>
  <c r="BL22" i="2"/>
  <c r="BL20" i="2" s="1"/>
  <c r="BW22" i="1" s="1"/>
  <c r="BQ22" i="1"/>
  <c r="AV20" i="2"/>
  <c r="BR22" i="1"/>
  <c r="BM22" i="2" l="1"/>
  <c r="BM20" i="2" s="1"/>
  <c r="BX22" i="1" s="1"/>
  <c r="BN22" i="2" l="1"/>
  <c r="BN20" i="2" s="1"/>
  <c r="BY22" i="1" s="1"/>
  <c r="BO22" i="2" l="1"/>
  <c r="BO20" i="2" s="1"/>
  <c r="BZ22" i="1" s="1"/>
  <c r="BP22" i="2" l="1"/>
  <c r="BP20" i="2" s="1"/>
  <c r="BV46" i="1"/>
  <c r="BV45" i="1"/>
  <c r="O80" i="28" l="1"/>
  <c r="BQ22" i="2"/>
  <c r="BQ20" i="2" s="1"/>
  <c r="BR22" i="2"/>
  <c r="BR20" i="2" s="1"/>
  <c r="H13" i="28" l="1"/>
  <c r="H15" i="28"/>
  <c r="O43" i="28"/>
  <c r="Q43" i="28"/>
  <c r="P43" i="28"/>
  <c r="I15" i="28" l="1"/>
  <c r="I13" i="28"/>
  <c r="J15" i="28" l="1"/>
  <c r="J13" i="28"/>
  <c r="Q80" i="28"/>
  <c r="H18" i="28" l="1"/>
  <c r="BL56" i="2"/>
  <c r="BL42" i="2"/>
  <c r="BL41" i="2" l="1"/>
  <c r="BL46" i="2"/>
  <c r="BM56" i="2"/>
  <c r="I18" i="28"/>
  <c r="BM42" i="2"/>
  <c r="BM46" i="2" l="1"/>
  <c r="J18" i="28"/>
  <c r="BN56" i="2"/>
  <c r="BY36" i="1" s="1"/>
  <c r="BN42" i="2"/>
  <c r="BM41" i="2" l="1"/>
  <c r="BN46" i="2"/>
  <c r="BO56" i="2"/>
  <c r="BZ36" i="1" s="1"/>
  <c r="BO42" i="2"/>
  <c r="BN41" i="2" l="1"/>
  <c r="BO46" i="2"/>
  <c r="BP56" i="2"/>
  <c r="BP42" i="2"/>
  <c r="BL45" i="2" l="1"/>
  <c r="BW32" i="1" s="1"/>
  <c r="BM45" i="2"/>
  <c r="BX32" i="1" s="1"/>
  <c r="BO41" i="2"/>
  <c r="BP46" i="2"/>
  <c r="BQ56" i="2"/>
  <c r="BR56" i="2"/>
  <c r="BQ42" i="2"/>
  <c r="BR42" i="2"/>
  <c r="BH287" i="2" l="1"/>
  <c r="BF140" i="2"/>
  <c r="BI152" i="2"/>
  <c r="BH149" i="2"/>
  <c r="BH205" i="2"/>
  <c r="BE238" i="2"/>
  <c r="BI243" i="2"/>
  <c r="BG284" i="2"/>
  <c r="BH144" i="2"/>
  <c r="BH70" i="2" s="1"/>
  <c r="BF253" i="2"/>
  <c r="BG138" i="2"/>
  <c r="BF291" i="2"/>
  <c r="BH49" i="2"/>
  <c r="BE294" i="2"/>
  <c r="BE138" i="2"/>
  <c r="BF46" i="2"/>
  <c r="BG235" i="2"/>
  <c r="BE16" i="2"/>
  <c r="BF50" i="2"/>
  <c r="BK236" i="2"/>
  <c r="BL236" i="2" s="1"/>
  <c r="BM236" i="2" s="1"/>
  <c r="BN236" i="2" s="1"/>
  <c r="BO236" i="2" s="1"/>
  <c r="BP236" i="2" s="1"/>
  <c r="BQ236" i="2" s="1"/>
  <c r="BR236" i="2" s="1"/>
  <c r="BE57" i="2"/>
  <c r="BE260" i="2" s="1"/>
  <c r="BH59" i="2"/>
  <c r="BH259" i="2" s="1"/>
  <c r="BK302" i="2"/>
  <c r="BK206" i="2"/>
  <c r="BK193" i="2"/>
  <c r="BK277" i="2"/>
  <c r="BI159" i="2"/>
  <c r="BF55" i="2"/>
  <c r="BF49" i="2"/>
  <c r="BG237" i="2"/>
  <c r="BK7" i="2"/>
  <c r="BG55" i="2"/>
  <c r="BK234" i="2"/>
  <c r="BL234" i="2" s="1"/>
  <c r="BM234" i="2" s="1"/>
  <c r="BN234" i="2" s="1"/>
  <c r="BO234" i="2" s="1"/>
  <c r="BP234" i="2" s="1"/>
  <c r="BQ234" i="2" s="1"/>
  <c r="BR234" i="2" s="1"/>
  <c r="BE292" i="2"/>
  <c r="BE153" i="2"/>
  <c r="BK205" i="2"/>
  <c r="BG152" i="2"/>
  <c r="BK45" i="2"/>
  <c r="BK281" i="2"/>
  <c r="BI233" i="2"/>
  <c r="BH234" i="2"/>
  <c r="BE34" i="2"/>
  <c r="BI287" i="2"/>
  <c r="BK49" i="2"/>
  <c r="BE216" i="2"/>
  <c r="BF154" i="2"/>
  <c r="BH150" i="2"/>
  <c r="BF45" i="2"/>
  <c r="BF266" i="2" s="1"/>
  <c r="BF216" i="2"/>
  <c r="BF59" i="2"/>
  <c r="BE159" i="2"/>
  <c r="BG177" i="2"/>
  <c r="BG213" i="2"/>
  <c r="BI41" i="2"/>
  <c r="BH206" i="2"/>
  <c r="BK159" i="2"/>
  <c r="BG232" i="2"/>
  <c r="BG14" i="2"/>
  <c r="BH233" i="2"/>
  <c r="BI253" i="2"/>
  <c r="BE205" i="2"/>
  <c r="BI55" i="2"/>
  <c r="BH253" i="2"/>
  <c r="BE230" i="2"/>
  <c r="BH55" i="2"/>
  <c r="BI237" i="2"/>
  <c r="BE280" i="2"/>
  <c r="BG294" i="2"/>
  <c r="BF292" i="2"/>
  <c r="BH242" i="2"/>
  <c r="BE179" i="2"/>
  <c r="BE291" i="2"/>
  <c r="BI234" i="2"/>
  <c r="BI193" i="2"/>
  <c r="BK150" i="2"/>
  <c r="BH235" i="2"/>
  <c r="BG299" i="2"/>
  <c r="BK284" i="2"/>
  <c r="BH207" i="2"/>
  <c r="BH232" i="2"/>
  <c r="BH195" i="2"/>
  <c r="BI217" i="2"/>
  <c r="BG179" i="2"/>
  <c r="BK166" i="2"/>
  <c r="BK253" i="2"/>
  <c r="BF16" i="2"/>
  <c r="BF150" i="2"/>
  <c r="BG238" i="2"/>
  <c r="BH209" i="2"/>
  <c r="BK161" i="2"/>
  <c r="BE150" i="2"/>
  <c r="BE242" i="2"/>
  <c r="BK181" i="2"/>
  <c r="BI195" i="2"/>
  <c r="BH34" i="2"/>
  <c r="BH264" i="2" s="1"/>
  <c r="BI57" i="2"/>
  <c r="BI260" i="2" s="1"/>
  <c r="BI236" i="2"/>
  <c r="BH50" i="2"/>
  <c r="BF237" i="2"/>
  <c r="BF47" i="2"/>
  <c r="BK291" i="2"/>
  <c r="BV65" i="1" s="1"/>
  <c r="BE207" i="2"/>
  <c r="BG140" i="2"/>
  <c r="BK235" i="2"/>
  <c r="BL235" i="2" s="1"/>
  <c r="BM235" i="2" s="1"/>
  <c r="BN235" i="2" s="1"/>
  <c r="BO235" i="2" s="1"/>
  <c r="BP235" i="2" s="1"/>
  <c r="BQ235" i="2" s="1"/>
  <c r="BR235" i="2" s="1"/>
  <c r="BH14" i="2"/>
  <c r="BI255" i="2"/>
  <c r="BE235" i="2"/>
  <c r="BE59" i="2"/>
  <c r="BE259" i="2" s="1"/>
  <c r="BF280" i="2"/>
  <c r="BE149" i="2"/>
  <c r="BI166" i="2"/>
  <c r="BI153" i="2"/>
  <c r="BE255" i="2"/>
  <c r="BG241" i="2"/>
  <c r="BI242" i="2"/>
  <c r="BE151" i="2"/>
  <c r="BK282" i="2"/>
  <c r="BJ234" i="2"/>
  <c r="BI50" i="2"/>
  <c r="BE299" i="2"/>
  <c r="BG277" i="2"/>
  <c r="BK295" i="2"/>
  <c r="BF299" i="2"/>
  <c r="BG18" i="2"/>
  <c r="BH18" i="2"/>
  <c r="BG9" i="2"/>
  <c r="BH299" i="2"/>
  <c r="BH7" i="2"/>
  <c r="BF207" i="2"/>
  <c r="BF312" i="2"/>
  <c r="BH208" i="2"/>
  <c r="BE47" i="2"/>
  <c r="BH216" i="2"/>
  <c r="BH217" i="2"/>
  <c r="BH152" i="2"/>
  <c r="BI140" i="2"/>
  <c r="BF153" i="2"/>
  <c r="BE154" i="2"/>
  <c r="BF152" i="2"/>
  <c r="BH159" i="2"/>
  <c r="BI204" i="2"/>
  <c r="BE240" i="2"/>
  <c r="BF302" i="2"/>
  <c r="BI292" i="2"/>
  <c r="BK239" i="2"/>
  <c r="BL239" i="2" s="1"/>
  <c r="BM239" i="2" s="1"/>
  <c r="BN239" i="2" s="1"/>
  <c r="BO239" i="2" s="1"/>
  <c r="BP239" i="2" s="1"/>
  <c r="BQ239" i="2" s="1"/>
  <c r="BR239" i="2" s="1"/>
  <c r="BF204" i="2"/>
  <c r="BJ204" i="2"/>
  <c r="BK138" i="2"/>
  <c r="BE241" i="2"/>
  <c r="BE302" i="2"/>
  <c r="BE161" i="2"/>
  <c r="BG209" i="2"/>
  <c r="BI208" i="2"/>
  <c r="BK280" i="2"/>
  <c r="BI206" i="2"/>
  <c r="BK292" i="2"/>
  <c r="BE41" i="2"/>
  <c r="BH9" i="2"/>
  <c r="BG166" i="2"/>
  <c r="BF205" i="2"/>
  <c r="BH241" i="2"/>
  <c r="BI59" i="2"/>
  <c r="BI259" i="2" s="1"/>
  <c r="BH57" i="2"/>
  <c r="BH260" i="2" s="1"/>
  <c r="BH155" i="2"/>
  <c r="BE284" i="2"/>
  <c r="BF277" i="2"/>
  <c r="BE9" i="2"/>
  <c r="BG153" i="2"/>
  <c r="BI155" i="2"/>
  <c r="BI144" i="2"/>
  <c r="BH154" i="2"/>
  <c r="BK5" i="2"/>
  <c r="BK21" i="2" s="1"/>
  <c r="BH295" i="2"/>
  <c r="BH148" i="2"/>
  <c r="BH237" i="2"/>
  <c r="BK238" i="2"/>
  <c r="BL238" i="2" s="1"/>
  <c r="BM238" i="2" s="1"/>
  <c r="BN238" i="2" s="1"/>
  <c r="BO238" i="2" s="1"/>
  <c r="BP238" i="2" s="1"/>
  <c r="BQ238" i="2" s="1"/>
  <c r="BR238" i="2" s="1"/>
  <c r="BK217" i="2"/>
  <c r="BF295" i="2"/>
  <c r="BE209" i="2"/>
  <c r="BE206" i="2"/>
  <c r="BF57" i="2"/>
  <c r="BF260" i="2" s="1"/>
  <c r="BG255" i="2"/>
  <c r="BG45" i="2"/>
  <c r="BG266" i="2" s="1"/>
  <c r="BH138" i="2"/>
  <c r="BI5" i="2"/>
  <c r="BE234" i="2"/>
  <c r="BH153" i="2"/>
  <c r="BH41" i="2"/>
  <c r="BF238" i="2"/>
  <c r="BH255" i="2"/>
  <c r="BK237" i="2"/>
  <c r="BK177" i="2"/>
  <c r="BL177" i="2" s="1"/>
  <c r="BM177" i="2" s="1"/>
  <c r="BN177" i="2" s="1"/>
  <c r="BO177" i="2" s="1"/>
  <c r="BP177" i="2" s="1"/>
  <c r="BQ177" i="2" s="1"/>
  <c r="BR177" i="2" s="1"/>
  <c r="BK230" i="2"/>
  <c r="BE7" i="2"/>
  <c r="BH238" i="2"/>
  <c r="BF287" i="2"/>
  <c r="BG151" i="2"/>
  <c r="BE140" i="2"/>
  <c r="BG7" i="2"/>
  <c r="BF217" i="2"/>
  <c r="BE152" i="2"/>
  <c r="BK312" i="2"/>
  <c r="BF284" i="2"/>
  <c r="BG204" i="2"/>
  <c r="BG208" i="2"/>
  <c r="BF209" i="2"/>
  <c r="BI291" i="2"/>
  <c r="BG230" i="2"/>
  <c r="BG41" i="2"/>
  <c r="BF282" i="2"/>
  <c r="BK155" i="2"/>
  <c r="BG287" i="2"/>
  <c r="BK204" i="2"/>
  <c r="BI201" i="2"/>
  <c r="BE282" i="2"/>
  <c r="BH166" i="2"/>
  <c r="BI45" i="2"/>
  <c r="BI266" i="2" s="1"/>
  <c r="BF294" i="2"/>
  <c r="BH16" i="2"/>
  <c r="BI299" i="2"/>
  <c r="BE233" i="2"/>
  <c r="BG280" i="2"/>
  <c r="BH284" i="2"/>
  <c r="BG34" i="2"/>
  <c r="BG264" i="2" s="1"/>
  <c r="BK169" i="2"/>
  <c r="BI239" i="2"/>
  <c r="BF241" i="2"/>
  <c r="BI281" i="2"/>
  <c r="BG253" i="2"/>
  <c r="BH177" i="2"/>
  <c r="BK363" i="2"/>
  <c r="BH239" i="2"/>
  <c r="BF208" i="2"/>
  <c r="BK232" i="2"/>
  <c r="BL232" i="2" s="1"/>
  <c r="BM232" i="2" s="1"/>
  <c r="BN232" i="2" s="1"/>
  <c r="BO232" i="2" s="1"/>
  <c r="BP232" i="2" s="1"/>
  <c r="BQ232" i="2" s="1"/>
  <c r="BR232" i="2" s="1"/>
  <c r="BF255" i="2"/>
  <c r="BG150" i="2"/>
  <c r="BF234" i="2"/>
  <c r="BI49" i="2"/>
  <c r="BK294" i="2"/>
  <c r="BG159" i="2"/>
  <c r="BH204" i="2"/>
  <c r="BE195" i="2"/>
  <c r="BG240" i="2"/>
  <c r="BG5" i="2"/>
  <c r="BG21" i="2" s="1"/>
  <c r="BF149" i="2"/>
  <c r="BG233" i="2"/>
  <c r="BH203" i="2"/>
  <c r="BI18" i="2"/>
  <c r="BK213" i="2"/>
  <c r="BK9" i="2"/>
  <c r="BK41" i="2"/>
  <c r="BG201" i="2"/>
  <c r="BK55" i="2"/>
  <c r="BI241" i="2"/>
  <c r="BE237" i="2"/>
  <c r="BE243" i="2"/>
  <c r="BE177" i="2"/>
  <c r="BK50" i="2"/>
  <c r="BJ209" i="2"/>
  <c r="BE213" i="2"/>
  <c r="BK149" i="2"/>
  <c r="BI149" i="2"/>
  <c r="BH201" i="2"/>
  <c r="BF5" i="2"/>
  <c r="BF21" i="2" s="1"/>
  <c r="BH45" i="2"/>
  <c r="BH266" i="2" s="1"/>
  <c r="BF156" i="2"/>
  <c r="BI302" i="2"/>
  <c r="BG236" i="2"/>
  <c r="BG302" i="2"/>
  <c r="BK287" i="2"/>
  <c r="BK299" i="2"/>
  <c r="BI42" i="2"/>
  <c r="BI265" i="2" s="1"/>
  <c r="BG59" i="2"/>
  <c r="BG259" i="2" s="1"/>
  <c r="BK243" i="2"/>
  <c r="BF235" i="2"/>
  <c r="BF177" i="2"/>
  <c r="BI177" i="2"/>
  <c r="BI161" i="2"/>
  <c r="BH302" i="2"/>
  <c r="BK14" i="2"/>
  <c r="BH277" i="2"/>
  <c r="BE18" i="2"/>
  <c r="BE45" i="2"/>
  <c r="BE266" i="2" s="1"/>
  <c r="BG50" i="2"/>
  <c r="BI277" i="2"/>
  <c r="BF363" i="2"/>
  <c r="BF18" i="2"/>
  <c r="BI205" i="2"/>
  <c r="BE46" i="2"/>
  <c r="BF179" i="2"/>
  <c r="BK153" i="2"/>
  <c r="BF155" i="2"/>
  <c r="BF202" i="2"/>
  <c r="BI154" i="2"/>
  <c r="BE363" i="2"/>
  <c r="BK156" i="2"/>
  <c r="BK216" i="2"/>
  <c r="BG234" i="2"/>
  <c r="BE50" i="2"/>
  <c r="BE204" i="2"/>
  <c r="BG154" i="2"/>
  <c r="BI294" i="2"/>
  <c r="BG291" i="2"/>
  <c r="BH281" i="2"/>
  <c r="BK34" i="2"/>
  <c r="BK264" i="2" s="1"/>
  <c r="BK168" i="2"/>
  <c r="BK241" i="2"/>
  <c r="BL241" i="2" s="1"/>
  <c r="BM241" i="2" s="1"/>
  <c r="BN241" i="2" s="1"/>
  <c r="BO241" i="2" s="1"/>
  <c r="BP241" i="2" s="1"/>
  <c r="BQ241" i="2" s="1"/>
  <c r="BR241" i="2" s="1"/>
  <c r="BF148" i="2"/>
  <c r="BH312" i="2"/>
  <c r="BF144" i="2"/>
  <c r="BF70" i="2" s="1"/>
  <c r="BF239" i="2"/>
  <c r="BG239" i="2"/>
  <c r="BE277" i="2"/>
  <c r="BG148" i="2"/>
  <c r="BG206" i="2"/>
  <c r="BK16" i="2"/>
  <c r="BE236" i="2"/>
  <c r="BH292" i="2"/>
  <c r="BK195" i="2"/>
  <c r="BL195" i="2" s="1"/>
  <c r="BM195" i="2" s="1"/>
  <c r="BN195" i="2" s="1"/>
  <c r="BO195" i="2" s="1"/>
  <c r="BP195" i="2" s="1"/>
  <c r="BQ195" i="2" s="1"/>
  <c r="BR195" i="2" s="1"/>
  <c r="BG149" i="2"/>
  <c r="BH202" i="2"/>
  <c r="BK203" i="2"/>
  <c r="BH47" i="2"/>
  <c r="BF242" i="2"/>
  <c r="BE144" i="2"/>
  <c r="BE70" i="2" s="1"/>
  <c r="BF138" i="2"/>
  <c r="BH282" i="2"/>
  <c r="BK57" i="2"/>
  <c r="BK260" i="2" s="1"/>
  <c r="BI209" i="2"/>
  <c r="BK182" i="2"/>
  <c r="BI213" i="2"/>
  <c r="BH240" i="2"/>
  <c r="BK201" i="2"/>
  <c r="BH46" i="2"/>
  <c r="BE166" i="2"/>
  <c r="BG203" i="2"/>
  <c r="BF151" i="2"/>
  <c r="BE208" i="2"/>
  <c r="BG49" i="2"/>
  <c r="BH5" i="2"/>
  <c r="BF159" i="2"/>
  <c r="BH294" i="2"/>
  <c r="BI138" i="2"/>
  <c r="BE281" i="2"/>
  <c r="BG42" i="2"/>
  <c r="BG265" i="2" s="1"/>
  <c r="BI235" i="2"/>
  <c r="BK59" i="2"/>
  <c r="BE55" i="2"/>
  <c r="BF9" i="2"/>
  <c r="BK144" i="2"/>
  <c r="BE202" i="2"/>
  <c r="BK152" i="2"/>
  <c r="BI284" i="2"/>
  <c r="BF195" i="2"/>
  <c r="BF14" i="2"/>
  <c r="BE232" i="2"/>
  <c r="BG312" i="2"/>
  <c r="BI203" i="2"/>
  <c r="BH42" i="2"/>
  <c r="BH265" i="2" s="1"/>
  <c r="BE49" i="2"/>
  <c r="BH213" i="2"/>
  <c r="BE148" i="2"/>
  <c r="BG57" i="2"/>
  <c r="BG260" i="2" s="1"/>
  <c r="BE42" i="2"/>
  <c r="BE265" i="2" s="1"/>
  <c r="BI363" i="2"/>
  <c r="BK240" i="2"/>
  <c r="BF213" i="2"/>
  <c r="BI238" i="2"/>
  <c r="BI295" i="2"/>
  <c r="BI312" i="2"/>
  <c r="BK148" i="2"/>
  <c r="BI150" i="2"/>
  <c r="BI46" i="2"/>
  <c r="BF206" i="2"/>
  <c r="BE201" i="2"/>
  <c r="BH236" i="2"/>
  <c r="BH243" i="2"/>
  <c r="BK208" i="2"/>
  <c r="BG193" i="2"/>
  <c r="BI216" i="2"/>
  <c r="BG16" i="2"/>
  <c r="BI230" i="2"/>
  <c r="BK207" i="2"/>
  <c r="BI9" i="2"/>
  <c r="BI16" i="2"/>
  <c r="BE312" i="2"/>
  <c r="BI282" i="2"/>
  <c r="BG46" i="2"/>
  <c r="BF34" i="2"/>
  <c r="BF264" i="2" s="1"/>
  <c r="BI14" i="2"/>
  <c r="BG242" i="2"/>
  <c r="BG195" i="2"/>
  <c r="BF233" i="2"/>
  <c r="BI179" i="2"/>
  <c r="BK179" i="2"/>
  <c r="BF7" i="2"/>
  <c r="BI34" i="2"/>
  <c r="BI264" i="2" s="1"/>
  <c r="BK209" i="2"/>
  <c r="BH156" i="2"/>
  <c r="BF236" i="2"/>
  <c r="BG363" i="2"/>
  <c r="BH230" i="2"/>
  <c r="BH193" i="2"/>
  <c r="BF193" i="2"/>
  <c r="BK202" i="2"/>
  <c r="BG156" i="2"/>
  <c r="BE239" i="2"/>
  <c r="BF161" i="2"/>
  <c r="BE217" i="2"/>
  <c r="BF201" i="2"/>
  <c r="BI202" i="2"/>
  <c r="BE253" i="2"/>
  <c r="BK255" i="2"/>
  <c r="BG281" i="2"/>
  <c r="BF243" i="2"/>
  <c r="BK18" i="2"/>
  <c r="BF166" i="2"/>
  <c r="BF41" i="2"/>
  <c r="BI280" i="2"/>
  <c r="BK46" i="2"/>
  <c r="BH161" i="2"/>
  <c r="BG217" i="2"/>
  <c r="BF240" i="2"/>
  <c r="BF232" i="2"/>
  <c r="BG216" i="2"/>
  <c r="BI47" i="2"/>
  <c r="BF281" i="2"/>
  <c r="BI151" i="2"/>
  <c r="BH280" i="2"/>
  <c r="BG205" i="2"/>
  <c r="BK47" i="2"/>
  <c r="BE203" i="2"/>
  <c r="BK242" i="2"/>
  <c r="BI207" i="2"/>
  <c r="BG202" i="2"/>
  <c r="BI232" i="2"/>
  <c r="BE156" i="2"/>
  <c r="BH363" i="2"/>
  <c r="BK42" i="2"/>
  <c r="BK265" i="2" s="1"/>
  <c r="BG282" i="2"/>
  <c r="BE155" i="2"/>
  <c r="BK233" i="2"/>
  <c r="BE5" i="2"/>
  <c r="BF203" i="2"/>
  <c r="BI156" i="2"/>
  <c r="BF230" i="2"/>
  <c r="BG292" i="2"/>
  <c r="BG144" i="2"/>
  <c r="BG70" i="2" s="1"/>
  <c r="BG243" i="2"/>
  <c r="BE295" i="2"/>
  <c r="BK154" i="2"/>
  <c r="BH140" i="2"/>
  <c r="BH307" i="2" s="1"/>
  <c r="BH179" i="2"/>
  <c r="BG47" i="2"/>
  <c r="BG295" i="2"/>
  <c r="BG161" i="2"/>
  <c r="BG155" i="2"/>
  <c r="BH291" i="2"/>
  <c r="BH151" i="2"/>
  <c r="BE193" i="2"/>
  <c r="BK151" i="2"/>
  <c r="BI7" i="2"/>
  <c r="BI148" i="2"/>
  <c r="BG207" i="2"/>
  <c r="BI240" i="2"/>
  <c r="BE287" i="2"/>
  <c r="BF42" i="2"/>
  <c r="BF265" i="2" s="1"/>
  <c r="BH274" i="2"/>
  <c r="BH275" i="2"/>
  <c r="BE274" i="2"/>
  <c r="BE275" i="2"/>
  <c r="BF275" i="2"/>
  <c r="BF274" i="2"/>
  <c r="BG275" i="2"/>
  <c r="BG274" i="2"/>
  <c r="BI274" i="2"/>
  <c r="BI275" i="2"/>
  <c r="BK275" i="2"/>
  <c r="BK274" i="2"/>
  <c r="BL230" i="2"/>
  <c r="BM230" i="2" s="1"/>
  <c r="BN230" i="2" s="1"/>
  <c r="BO230" i="2" s="1"/>
  <c r="BP230" i="2" s="1"/>
  <c r="BQ230" i="2" s="1"/>
  <c r="BR230" i="2" s="1"/>
  <c r="BN45" i="2"/>
  <c r="BY32" i="1" s="1"/>
  <c r="BP41" i="2"/>
  <c r="BQ46" i="2"/>
  <c r="BR46" i="2"/>
  <c r="BE24" i="2" l="1"/>
  <c r="BI19" i="2"/>
  <c r="BK19" i="2"/>
  <c r="BI10" i="2"/>
  <c r="BI17" i="2"/>
  <c r="BG130" i="2"/>
  <c r="BG106" i="2" s="1"/>
  <c r="BG108" i="2" s="1"/>
  <c r="BK10" i="2"/>
  <c r="BG15" i="2"/>
  <c r="BH130" i="2"/>
  <c r="BH106" i="2" s="1"/>
  <c r="BH108" i="2" s="1"/>
  <c r="BK130" i="2"/>
  <c r="BI51" i="2"/>
  <c r="BI52" i="2" s="1"/>
  <c r="BK15" i="2"/>
  <c r="BF19" i="2"/>
  <c r="BK17" i="2"/>
  <c r="BH145" i="2"/>
  <c r="BI130" i="2"/>
  <c r="BI106" i="2" s="1"/>
  <c r="BI108" i="2" s="1"/>
  <c r="BF10" i="2"/>
  <c r="BF15" i="2"/>
  <c r="BI215" i="2"/>
  <c r="BG17" i="2"/>
  <c r="BH131" i="2"/>
  <c r="BE17" i="2"/>
  <c r="BE131" i="2"/>
  <c r="BF225" i="2"/>
  <c r="BF227" i="2" s="1"/>
  <c r="BF307" i="2"/>
  <c r="BF308" i="2" s="1"/>
  <c r="BK131" i="2"/>
  <c r="BK333" i="2"/>
  <c r="BK358" i="2"/>
  <c r="G23" i="28" s="1"/>
  <c r="BI131" i="2"/>
  <c r="BI358" i="2"/>
  <c r="N51" i="28" s="1"/>
  <c r="BI15" i="2"/>
  <c r="BG358" i="2"/>
  <c r="BK266" i="2"/>
  <c r="BV32" i="1"/>
  <c r="BE264" i="2"/>
  <c r="BE37" i="2"/>
  <c r="BF259" i="2"/>
  <c r="BF60" i="2"/>
  <c r="BG307" i="2"/>
  <c r="BG308" i="2" s="1"/>
  <c r="BG225" i="2"/>
  <c r="BG227" i="2" s="1"/>
  <c r="BI225" i="2"/>
  <c r="BI227" i="2" s="1"/>
  <c r="BI307" i="2"/>
  <c r="BI308" i="2" s="1"/>
  <c r="BI145" i="2"/>
  <c r="BI70" i="2"/>
  <c r="BI71" i="2" s="1"/>
  <c r="BI60" i="2"/>
  <c r="BI21" i="2"/>
  <c r="BE307" i="2"/>
  <c r="BE308" i="2" s="1"/>
  <c r="BE225" i="2"/>
  <c r="BE227" i="2" s="1"/>
  <c r="BK120" i="2"/>
  <c r="BK259" i="2"/>
  <c r="BF8" i="2"/>
  <c r="BF145" i="2"/>
  <c r="BF105" i="2"/>
  <c r="BF107" i="2" s="1"/>
  <c r="BH21" i="2"/>
  <c r="BH60" i="2"/>
  <c r="BH15" i="2"/>
  <c r="BK324" i="2"/>
  <c r="BH308" i="2"/>
  <c r="BG105" i="2"/>
  <c r="BG107" i="2" s="1"/>
  <c r="BK170" i="2"/>
  <c r="BH24" i="2"/>
  <c r="BH25" i="2" s="1"/>
  <c r="BG60" i="2"/>
  <c r="BK37" i="2"/>
  <c r="BL37" i="2" s="1"/>
  <c r="BM37" i="2" s="1"/>
  <c r="BN37" i="2" s="1"/>
  <c r="BO37" i="2" s="1"/>
  <c r="BP37" i="2" s="1"/>
  <c r="BQ37" i="2" s="1"/>
  <c r="BR37" i="2" s="1"/>
  <c r="BF71" i="2"/>
  <c r="BG51" i="2"/>
  <c r="BG52" i="2" s="1"/>
  <c r="BF11" i="2"/>
  <c r="BF12" i="2" s="1"/>
  <c r="BG145" i="2"/>
  <c r="BG24" i="2"/>
  <c r="BG25" i="2" s="1"/>
  <c r="BI37" i="2"/>
  <c r="BE105" i="2"/>
  <c r="BE107" i="2" s="1"/>
  <c r="BI105" i="2"/>
  <c r="BI107" i="2" s="1"/>
  <c r="BK8" i="2"/>
  <c r="BE15" i="2"/>
  <c r="BG37" i="2"/>
  <c r="BI11" i="2"/>
  <c r="BI12" i="2" s="1"/>
  <c r="BF229" i="2"/>
  <c r="BF132" i="2" s="1"/>
  <c r="BK60" i="2"/>
  <c r="BE21" i="2"/>
  <c r="BE51" i="2"/>
  <c r="BE52" i="2" s="1"/>
  <c r="BK24" i="2"/>
  <c r="BK25" i="2" s="1"/>
  <c r="BE145" i="2"/>
  <c r="BE60" i="2"/>
  <c r="BI229" i="2"/>
  <c r="BI132" i="2" s="1"/>
  <c r="BF358" i="2"/>
  <c r="L51" i="28" s="1"/>
  <c r="BH10" i="2"/>
  <c r="BG10" i="2"/>
  <c r="BE146" i="2"/>
  <c r="BE147" i="2" s="1"/>
  <c r="BE25" i="2"/>
  <c r="BF37" i="2"/>
  <c r="BH358" i="2"/>
  <c r="M51" i="28" s="1"/>
  <c r="BI24" i="2"/>
  <c r="BI25" i="2" s="1"/>
  <c r="BE11" i="2"/>
  <c r="BE31" i="2" s="1"/>
  <c r="BF51" i="2"/>
  <c r="BF52" i="2" s="1"/>
  <c r="BI8" i="2"/>
  <c r="BH215" i="2"/>
  <c r="BH221" i="2" s="1"/>
  <c r="BH223" i="2" s="1"/>
  <c r="BK326" i="2"/>
  <c r="BG146" i="2"/>
  <c r="BG162" i="2"/>
  <c r="BG229" i="2"/>
  <c r="BG132" i="2" s="1"/>
  <c r="BH8" i="2"/>
  <c r="BE229" i="2"/>
  <c r="BE132" i="2" s="1"/>
  <c r="BH19" i="2"/>
  <c r="BE215" i="2"/>
  <c r="BE221" i="2" s="1"/>
  <c r="BE223" i="2" s="1"/>
  <c r="BH51" i="2"/>
  <c r="BH52" i="2" s="1"/>
  <c r="BF131" i="2"/>
  <c r="BG11" i="2"/>
  <c r="BG12" i="2" s="1"/>
  <c r="BH162" i="2"/>
  <c r="BG19" i="2"/>
  <c r="BK51" i="2"/>
  <c r="BK52" i="2" s="1"/>
  <c r="BK11" i="2"/>
  <c r="BK12" i="2" s="1"/>
  <c r="BH225" i="2"/>
  <c r="BH227" i="2" s="1"/>
  <c r="BH17" i="2"/>
  <c r="BI162" i="2"/>
  <c r="BE19" i="2"/>
  <c r="BK308" i="2"/>
  <c r="BL308" i="2" s="1"/>
  <c r="BM308" i="2" s="1"/>
  <c r="BN308" i="2" s="1"/>
  <c r="BO308" i="2" s="1"/>
  <c r="BP308" i="2" s="1"/>
  <c r="BQ308" i="2" s="1"/>
  <c r="BR308" i="2" s="1"/>
  <c r="BK145" i="2"/>
  <c r="BL145" i="2" s="1"/>
  <c r="BM145" i="2" s="1"/>
  <c r="BN145" i="2" s="1"/>
  <c r="BO145" i="2" s="1"/>
  <c r="BP145" i="2" s="1"/>
  <c r="BQ145" i="2" s="1"/>
  <c r="BR145" i="2" s="1"/>
  <c r="BG215" i="2"/>
  <c r="BG221" i="2" s="1"/>
  <c r="BG223" i="2" s="1"/>
  <c r="BK215" i="2"/>
  <c r="BK221" i="2" s="1"/>
  <c r="BK223" i="2" s="1"/>
  <c r="BK70" i="2"/>
  <c r="BH105" i="2"/>
  <c r="BH107" i="2" s="1"/>
  <c r="BK162" i="2"/>
  <c r="BL162" i="2" s="1"/>
  <c r="BM162" i="2" s="1"/>
  <c r="BN162" i="2" s="1"/>
  <c r="BO162" i="2" s="1"/>
  <c r="BP162" i="2" s="1"/>
  <c r="BQ162" i="2" s="1"/>
  <c r="BR162" i="2" s="1"/>
  <c r="BE358" i="2"/>
  <c r="K51" i="28" s="1"/>
  <c r="BG8" i="2"/>
  <c r="BE10" i="2"/>
  <c r="BI146" i="2"/>
  <c r="BF17" i="2"/>
  <c r="BV63" i="1"/>
  <c r="BF162" i="2"/>
  <c r="BK146" i="2"/>
  <c r="BK141" i="2" s="1"/>
  <c r="BF146" i="2"/>
  <c r="BH37" i="2"/>
  <c r="BK105" i="2"/>
  <c r="BK107" i="2" s="1"/>
  <c r="BH146" i="2"/>
  <c r="BH141" i="2" s="1"/>
  <c r="BH76" i="2" s="1"/>
  <c r="BH77" i="2" s="1"/>
  <c r="BH11" i="2"/>
  <c r="BF24" i="2"/>
  <c r="BF25" i="2" s="1"/>
  <c r="BE162" i="2"/>
  <c r="BE130" i="2"/>
  <c r="BE106" i="2" s="1"/>
  <c r="BE108" i="2" s="1"/>
  <c r="BH229" i="2"/>
  <c r="BH132" i="2" s="1"/>
  <c r="BE8" i="2"/>
  <c r="BK229" i="2"/>
  <c r="BK132" i="2" s="1"/>
  <c r="BK343" i="2" s="1"/>
  <c r="BF215" i="2"/>
  <c r="BF221" i="2" s="1"/>
  <c r="BF223" i="2" s="1"/>
  <c r="BJ293" i="2"/>
  <c r="BJ279" i="2"/>
  <c r="BJ298" i="2"/>
  <c r="BH283" i="2"/>
  <c r="BJ151" i="2"/>
  <c r="BJ154" i="2"/>
  <c r="BE210" i="2"/>
  <c r="BE199" i="2" s="1"/>
  <c r="BJ233" i="2"/>
  <c r="BH298" i="2"/>
  <c r="BH279" i="2"/>
  <c r="BJ42" i="2"/>
  <c r="BJ265" i="2" s="1"/>
  <c r="BJ242" i="2"/>
  <c r="BJ255" i="2"/>
  <c r="BJ18" i="2"/>
  <c r="BF210" i="2"/>
  <c r="BF199" i="2" s="1"/>
  <c r="BH210" i="2"/>
  <c r="BH199" i="2" s="1"/>
  <c r="BJ179" i="2"/>
  <c r="BJ278" i="2"/>
  <c r="BJ202" i="2"/>
  <c r="BG210" i="2"/>
  <c r="BG199" i="2" s="1"/>
  <c r="BJ152" i="2"/>
  <c r="BJ148" i="2"/>
  <c r="BJ240" i="2"/>
  <c r="BJ207" i="2"/>
  <c r="BJ59" i="2"/>
  <c r="BJ208" i="2"/>
  <c r="BG283" i="2"/>
  <c r="BJ144" i="2"/>
  <c r="BJ201" i="2"/>
  <c r="BJ274" i="2"/>
  <c r="BJ275" i="2"/>
  <c r="BJ241" i="2"/>
  <c r="BJ156" i="2"/>
  <c r="BJ203" i="2"/>
  <c r="BG279" i="2"/>
  <c r="BJ153" i="2"/>
  <c r="BG293" i="2"/>
  <c r="BG298" i="2"/>
  <c r="BJ195" i="2"/>
  <c r="BJ283" i="2"/>
  <c r="BJ149" i="2"/>
  <c r="BJ299" i="2"/>
  <c r="BJ294" i="2"/>
  <c r="BJ243" i="2"/>
  <c r="BJ287" i="2"/>
  <c r="BJ230" i="2"/>
  <c r="BJ213" i="2"/>
  <c r="BJ363" i="2"/>
  <c r="BJ312" i="2"/>
  <c r="BJ308" i="2" s="1"/>
  <c r="BJ217" i="2"/>
  <c r="BJ177" i="2"/>
  <c r="BJ155" i="2"/>
  <c r="BJ232" i="2"/>
  <c r="BJ237" i="2"/>
  <c r="BJ238" i="2"/>
  <c r="BJ239" i="2"/>
  <c r="BJ292" i="2"/>
  <c r="BJ138" i="2"/>
  <c r="BJ235" i="2"/>
  <c r="BJ291" i="2"/>
  <c r="BJ280" i="2"/>
  <c r="BJ161" i="2"/>
  <c r="BJ295" i="2"/>
  <c r="BJ282" i="2"/>
  <c r="BJ150" i="2"/>
  <c r="BJ284" i="2"/>
  <c r="BI210" i="2"/>
  <c r="BI199" i="2" s="1"/>
  <c r="BJ253" i="2"/>
  <c r="BJ166" i="2"/>
  <c r="BJ281" i="2"/>
  <c r="BJ206" i="2"/>
  <c r="BJ205" i="2"/>
  <c r="BJ302" i="2"/>
  <c r="BJ236" i="2"/>
  <c r="BG278" i="2"/>
  <c r="BG71" i="2"/>
  <c r="BI359" i="2"/>
  <c r="N52" i="28" s="1"/>
  <c r="BI303" i="2"/>
  <c r="BG359" i="2"/>
  <c r="BG303" i="2"/>
  <c r="BE71" i="2"/>
  <c r="BF359" i="2"/>
  <c r="L52" i="28" s="1"/>
  <c r="BF303" i="2"/>
  <c r="BE359" i="2"/>
  <c r="K52" i="28" s="1"/>
  <c r="BE303" i="2"/>
  <c r="BH359" i="2"/>
  <c r="M52" i="28" s="1"/>
  <c r="BH303" i="2"/>
  <c r="BH71" i="2"/>
  <c r="BK279" i="2"/>
  <c r="BK283" i="2"/>
  <c r="BK298" i="2"/>
  <c r="BK293" i="2"/>
  <c r="BK210" i="2"/>
  <c r="BK199" i="2" s="1"/>
  <c r="BK359" i="2"/>
  <c r="G24" i="28" s="1"/>
  <c r="BK303" i="2"/>
  <c r="BK329" i="2"/>
  <c r="BK345" i="2"/>
  <c r="BK106" i="2"/>
  <c r="BK108" i="2" s="1"/>
  <c r="BL242" i="2"/>
  <c r="BM242" i="2" s="1"/>
  <c r="BN242" i="2" s="1"/>
  <c r="BO242" i="2" s="1"/>
  <c r="BP242" i="2" s="1"/>
  <c r="BQ242" i="2" s="1"/>
  <c r="BR242" i="2" s="1"/>
  <c r="BL58" i="2"/>
  <c r="BW38" i="1" s="1"/>
  <c r="BL255" i="2"/>
  <c r="BL50" i="2"/>
  <c r="BL233" i="2"/>
  <c r="BM233" i="2" s="1"/>
  <c r="BN233" i="2" s="1"/>
  <c r="BO233" i="2" s="1"/>
  <c r="BP233" i="2" s="1"/>
  <c r="BQ233" i="2" s="1"/>
  <c r="BR233" i="2" s="1"/>
  <c r="BL216" i="2"/>
  <c r="BO45" i="2"/>
  <c r="BZ32" i="1" s="1"/>
  <c r="BR41" i="2"/>
  <c r="BQ41" i="2"/>
  <c r="BH12" i="2" l="1"/>
  <c r="BH31" i="2"/>
  <c r="BK123" i="2"/>
  <c r="BK347" i="2"/>
  <c r="BI221" i="2"/>
  <c r="BI223" i="2" s="1"/>
  <c r="BI219" i="2"/>
  <c r="BH134" i="2"/>
  <c r="BI134" i="2"/>
  <c r="BK315" i="2"/>
  <c r="BG31" i="2"/>
  <c r="BF130" i="2"/>
  <c r="BF106" i="2" s="1"/>
  <c r="BF108" i="2" s="1"/>
  <c r="BG131" i="2"/>
  <c r="BG134" i="2" s="1"/>
  <c r="BL170" i="2"/>
  <c r="BM170" i="2" s="1"/>
  <c r="BN170" i="2" s="1"/>
  <c r="BO170" i="2" s="1"/>
  <c r="BP170" i="2" s="1"/>
  <c r="BQ170" i="2" s="1"/>
  <c r="BR170" i="2" s="1"/>
  <c r="BJ210" i="2"/>
  <c r="BJ199" i="2" s="1"/>
  <c r="BJ248" i="2" s="1"/>
  <c r="BE12" i="2"/>
  <c r="BI293" i="2"/>
  <c r="BJ5" i="2"/>
  <c r="BJ105" i="2" s="1"/>
  <c r="BJ107" i="2" s="1"/>
  <c r="BJ14" i="2"/>
  <c r="BE278" i="2"/>
  <c r="BJ193" i="2"/>
  <c r="BJ131" i="2" s="1"/>
  <c r="BF298" i="2"/>
  <c r="BH278" i="2"/>
  <c r="BH285" i="2" s="1"/>
  <c r="BJ46" i="2"/>
  <c r="BK134" i="2"/>
  <c r="BK31" i="2"/>
  <c r="BJ159" i="2"/>
  <c r="BJ162" i="2" s="1"/>
  <c r="BJ16" i="2"/>
  <c r="BJ49" i="2"/>
  <c r="BJ50" i="2"/>
  <c r="BJ55" i="2"/>
  <c r="BI279" i="2"/>
  <c r="BE293" i="2"/>
  <c r="BJ34" i="2"/>
  <c r="BJ277" i="2"/>
  <c r="BJ285" i="2" s="1"/>
  <c r="BJ45" i="2"/>
  <c r="BJ266" i="2" s="1"/>
  <c r="BL223" i="2"/>
  <c r="BM223" i="2" s="1"/>
  <c r="BN223" i="2" s="1"/>
  <c r="BO223" i="2" s="1"/>
  <c r="BP223" i="2" s="1"/>
  <c r="BQ223" i="2" s="1"/>
  <c r="BR223" i="2" s="1"/>
  <c r="BI31" i="2"/>
  <c r="BI54" i="2" s="1"/>
  <c r="BK219" i="2"/>
  <c r="BL219" i="2" s="1"/>
  <c r="BM219" i="2" s="1"/>
  <c r="BN219" i="2" s="1"/>
  <c r="BO219" i="2" s="1"/>
  <c r="BP219" i="2" s="1"/>
  <c r="BQ219" i="2" s="1"/>
  <c r="BR219" i="2" s="1"/>
  <c r="BE219" i="2"/>
  <c r="BE73" i="2"/>
  <c r="BE74" i="2" s="1"/>
  <c r="BE247" i="2"/>
  <c r="BG300" i="2"/>
  <c r="BE141" i="2"/>
  <c r="BE76" i="2" s="1"/>
  <c r="BE77" i="2" s="1"/>
  <c r="BL279" i="2"/>
  <c r="BM279" i="2" s="1"/>
  <c r="BN279" i="2" s="1"/>
  <c r="BO279" i="2" s="1"/>
  <c r="BP279" i="2" s="1"/>
  <c r="BQ279" i="2" s="1"/>
  <c r="BR279" i="2" s="1"/>
  <c r="BK300" i="2"/>
  <c r="BE134" i="2"/>
  <c r="BG285" i="2"/>
  <c r="BF31" i="2"/>
  <c r="BF54" i="2" s="1"/>
  <c r="BH219" i="2"/>
  <c r="BK248" i="2"/>
  <c r="BK88" i="2"/>
  <c r="BK200" i="2"/>
  <c r="BK197" i="2"/>
  <c r="BK92" i="2" s="1"/>
  <c r="BK93" i="2" s="1"/>
  <c r="BH88" i="2"/>
  <c r="BH200" i="2"/>
  <c r="BH248" i="2"/>
  <c r="BH197" i="2"/>
  <c r="BH92" i="2" s="1"/>
  <c r="BH93" i="2" s="1"/>
  <c r="BF197" i="2"/>
  <c r="BF92" i="2" s="1"/>
  <c r="BF93" i="2" s="1"/>
  <c r="BF248" i="2"/>
  <c r="BF200" i="2"/>
  <c r="BF88" i="2"/>
  <c r="BE200" i="2"/>
  <c r="BE248" i="2"/>
  <c r="BE88" i="2"/>
  <c r="BE197" i="2"/>
  <c r="BE92" i="2" s="1"/>
  <c r="BE93" i="2" s="1"/>
  <c r="BI248" i="2"/>
  <c r="BI200" i="2"/>
  <c r="BI88" i="2"/>
  <c r="BI197" i="2"/>
  <c r="BI92" i="2" s="1"/>
  <c r="BI93" i="2" s="1"/>
  <c r="BG200" i="2"/>
  <c r="BG248" i="2"/>
  <c r="BG88" i="2"/>
  <c r="BG197" i="2"/>
  <c r="BG92" i="2" s="1"/>
  <c r="BG93" i="2" s="1"/>
  <c r="BK76" i="2"/>
  <c r="BK77" i="2" s="1"/>
  <c r="BK334" i="2"/>
  <c r="BG219" i="2"/>
  <c r="BJ229" i="2"/>
  <c r="BJ132" i="2" s="1"/>
  <c r="BF73" i="2"/>
  <c r="BF147" i="2"/>
  <c r="BF141" i="2"/>
  <c r="BF76" i="2" s="1"/>
  <c r="BF77" i="2" s="1"/>
  <c r="BF247" i="2"/>
  <c r="BJ300" i="2"/>
  <c r="BK73" i="2"/>
  <c r="BK74" i="2" s="1"/>
  <c r="BK147" i="2"/>
  <c r="BG147" i="2"/>
  <c r="BG73" i="2"/>
  <c r="BG141" i="2"/>
  <c r="BG76" i="2" s="1"/>
  <c r="BG77" i="2" s="1"/>
  <c r="BH247" i="2"/>
  <c r="BH73" i="2"/>
  <c r="BH147" i="2"/>
  <c r="BJ146" i="2"/>
  <c r="BJ141" i="2" s="1"/>
  <c r="BJ76" i="2" s="1"/>
  <c r="BF219" i="2"/>
  <c r="BK71" i="2"/>
  <c r="BK247" i="2"/>
  <c r="BI141" i="2"/>
  <c r="BI76" i="2" s="1"/>
  <c r="BI77" i="2" s="1"/>
  <c r="BI247" i="2"/>
  <c r="BI147" i="2"/>
  <c r="BI73" i="2"/>
  <c r="BG247" i="2"/>
  <c r="BE54" i="2"/>
  <c r="BE27" i="2"/>
  <c r="BE28" i="2" s="1"/>
  <c r="BE32" i="2"/>
  <c r="BJ359" i="2"/>
  <c r="BJ303" i="2"/>
  <c r="BJ70" i="2"/>
  <c r="BJ259" i="2"/>
  <c r="BL47" i="2"/>
  <c r="BL253" i="2"/>
  <c r="BL254" i="2" s="1"/>
  <c r="BL269" i="2" s="1"/>
  <c r="BL49" i="2"/>
  <c r="BL51" i="2" s="1"/>
  <c r="BL256" i="2"/>
  <c r="BL270" i="2" s="1"/>
  <c r="BM255" i="2"/>
  <c r="BM47" i="2"/>
  <c r="BV51" i="1"/>
  <c r="BM216" i="2"/>
  <c r="BM58" i="2"/>
  <c r="BX38" i="1" s="1"/>
  <c r="BM50" i="2"/>
  <c r="H16" i="28"/>
  <c r="Q44" i="28"/>
  <c r="P44" i="28"/>
  <c r="O44" i="28"/>
  <c r="BP45" i="2"/>
  <c r="BH54" i="2" l="1"/>
  <c r="BH27" i="2"/>
  <c r="BH28" i="2" s="1"/>
  <c r="BH32" i="2"/>
  <c r="BG54" i="2"/>
  <c r="BG27" i="2"/>
  <c r="BG28" i="2" s="1"/>
  <c r="BG32" i="2"/>
  <c r="BK321" i="2"/>
  <c r="BK54" i="2"/>
  <c r="BJ17" i="2"/>
  <c r="BG58" i="2"/>
  <c r="BJ15" i="2"/>
  <c r="BJ130" i="2"/>
  <c r="BJ134" i="2" s="1"/>
  <c r="BJ19" i="2"/>
  <c r="BJ60" i="2"/>
  <c r="BF134" i="2"/>
  <c r="BJ145" i="2"/>
  <c r="BJ358" i="2"/>
  <c r="BJ41" i="2"/>
  <c r="BI283" i="2"/>
  <c r="BF278" i="2"/>
  <c r="BJ24" i="2"/>
  <c r="BJ25" i="2" s="1"/>
  <c r="BE298" i="2"/>
  <c r="BE300" i="2" s="1"/>
  <c r="BJ47" i="2"/>
  <c r="BK278" i="2"/>
  <c r="BJ51" i="2"/>
  <c r="BJ57" i="2"/>
  <c r="BJ260" i="2" s="1"/>
  <c r="BI298" i="2"/>
  <c r="BI300" i="2" s="1"/>
  <c r="BF293" i="2"/>
  <c r="BF300" i="2" s="1"/>
  <c r="BI278" i="2"/>
  <c r="BE283" i="2"/>
  <c r="BF283" i="2"/>
  <c r="BJ7" i="2"/>
  <c r="BJ9" i="2"/>
  <c r="BJ10" i="2" s="1"/>
  <c r="BJ216" i="2"/>
  <c r="BJ215" i="2" s="1"/>
  <c r="BH293" i="2"/>
  <c r="BH300" i="2" s="1"/>
  <c r="BK32" i="2"/>
  <c r="BK246" i="2"/>
  <c r="BK335" i="2" s="1"/>
  <c r="BJ21" i="2"/>
  <c r="BJ264" i="2"/>
  <c r="BJ37" i="2"/>
  <c r="BI27" i="2"/>
  <c r="BI28" i="2" s="1"/>
  <c r="BI32" i="2"/>
  <c r="BE80" i="2"/>
  <c r="BL200" i="2"/>
  <c r="BM200" i="2" s="1"/>
  <c r="BN200" i="2" s="1"/>
  <c r="BO200" i="2" s="1"/>
  <c r="BP200" i="2" s="1"/>
  <c r="BQ200" i="2" s="1"/>
  <c r="BR200" i="2" s="1"/>
  <c r="BE246" i="2"/>
  <c r="BF32" i="2"/>
  <c r="BL147" i="2"/>
  <c r="BM147" i="2" s="1"/>
  <c r="BN147" i="2" s="1"/>
  <c r="BO147" i="2" s="1"/>
  <c r="BP147" i="2" s="1"/>
  <c r="BQ147" i="2" s="1"/>
  <c r="BR147" i="2" s="1"/>
  <c r="BE79" i="2"/>
  <c r="BJ147" i="2"/>
  <c r="BJ73" i="2"/>
  <c r="BI246" i="2"/>
  <c r="BJ247" i="2"/>
  <c r="BF27" i="2"/>
  <c r="BF28" i="2" s="1"/>
  <c r="BI74" i="2"/>
  <c r="BI80" i="2" s="1"/>
  <c r="BI79" i="2"/>
  <c r="BK79" i="2"/>
  <c r="BJ197" i="2"/>
  <c r="BJ92" i="2" s="1"/>
  <c r="BJ93" i="2" s="1"/>
  <c r="BG95" i="2"/>
  <c r="BG89" i="2"/>
  <c r="BG96" i="2" s="1"/>
  <c r="BF63" i="2"/>
  <c r="BF58" i="2"/>
  <c r="BF56" i="2"/>
  <c r="BE58" i="2"/>
  <c r="BE56" i="2"/>
  <c r="BK80" i="2"/>
  <c r="BI95" i="2"/>
  <c r="BI89" i="2"/>
  <c r="BI96" i="2" s="1"/>
  <c r="BH74" i="2"/>
  <c r="BH80" i="2" s="1"/>
  <c r="BH79" i="2"/>
  <c r="BH246" i="2"/>
  <c r="BF246" i="2"/>
  <c r="BJ200" i="2"/>
  <c r="BH95" i="2"/>
  <c r="BH89" i="2"/>
  <c r="BH96" i="2" s="1"/>
  <c r="BJ88" i="2"/>
  <c r="BE95" i="2"/>
  <c r="BE89" i="2"/>
  <c r="BE96" i="2" s="1"/>
  <c r="BF74" i="2"/>
  <c r="BF80" i="2" s="1"/>
  <c r="BF79" i="2"/>
  <c r="BK95" i="2"/>
  <c r="BK89" i="2"/>
  <c r="BK96" i="2" s="1"/>
  <c r="BF95" i="2"/>
  <c r="BF89" i="2"/>
  <c r="BF96" i="2" s="1"/>
  <c r="BI63" i="2"/>
  <c r="BI58" i="2"/>
  <c r="BI56" i="2"/>
  <c r="BG74" i="2"/>
  <c r="BG80" i="2" s="1"/>
  <c r="BG79" i="2"/>
  <c r="BG246" i="2"/>
  <c r="BW33" i="1"/>
  <c r="BL52" i="2"/>
  <c r="BM49" i="2"/>
  <c r="BM51" i="2" s="1"/>
  <c r="BM253" i="2"/>
  <c r="BN253" i="2" s="1"/>
  <c r="BV33" i="1"/>
  <c r="BL197" i="2"/>
  <c r="BL92" i="2" s="1"/>
  <c r="BN50" i="2"/>
  <c r="BN216" i="2"/>
  <c r="BN47" i="2"/>
  <c r="BM256" i="2"/>
  <c r="BM270" i="2" s="1"/>
  <c r="BN255" i="2"/>
  <c r="I16" i="28"/>
  <c r="BN58" i="2"/>
  <c r="BY38" i="1" s="1"/>
  <c r="BR45" i="2"/>
  <c r="BQ45" i="2"/>
  <c r="BH63" i="2" l="1"/>
  <c r="BH56" i="2"/>
  <c r="BH58" i="2"/>
  <c r="BG63" i="2"/>
  <c r="BG56" i="2"/>
  <c r="BK56" i="2"/>
  <c r="BK121" i="2" s="1"/>
  <c r="BK63" i="2"/>
  <c r="BK58" i="2"/>
  <c r="BV38" i="1" s="1"/>
  <c r="BJ74" i="2"/>
  <c r="BJ11" i="2"/>
  <c r="BJ12" i="2" s="1"/>
  <c r="BJ8" i="2"/>
  <c r="BE279" i="2"/>
  <c r="BE285" i="2" s="1"/>
  <c r="BJ106" i="2"/>
  <c r="BJ108" i="2" s="1"/>
  <c r="BJ71" i="2"/>
  <c r="BJ52" i="2"/>
  <c r="BI285" i="2"/>
  <c r="BJ77" i="2"/>
  <c r="BV61" i="1"/>
  <c r="BK285" i="2"/>
  <c r="BF279" i="2"/>
  <c r="BF285" i="2" s="1"/>
  <c r="BJ31" i="2"/>
  <c r="BJ27" i="2" s="1"/>
  <c r="BJ28" i="2" s="1"/>
  <c r="BJ221" i="2"/>
  <c r="BJ223" i="2" s="1"/>
  <c r="BJ219" i="2"/>
  <c r="BE102" i="2"/>
  <c r="BJ79" i="2"/>
  <c r="BE98" i="2"/>
  <c r="BE100" i="2" s="1"/>
  <c r="BF98" i="2"/>
  <c r="BF100" i="2" s="1"/>
  <c r="BH98" i="2"/>
  <c r="BH100" i="2" s="1"/>
  <c r="BJ246" i="2"/>
  <c r="BG98" i="2"/>
  <c r="BG100" i="2" s="1"/>
  <c r="BI102" i="2"/>
  <c r="BK323" i="2"/>
  <c r="BK340" i="2" s="1"/>
  <c r="BK98" i="2"/>
  <c r="BF102" i="2"/>
  <c r="BI98" i="2"/>
  <c r="BI100" i="2" s="1"/>
  <c r="BG102" i="2"/>
  <c r="BK102" i="2"/>
  <c r="BJ95" i="2"/>
  <c r="BJ89" i="2"/>
  <c r="BJ96" i="2" s="1"/>
  <c r="BH102" i="2"/>
  <c r="BL141" i="2"/>
  <c r="BM141" i="2" s="1"/>
  <c r="BM76" i="2" s="1"/>
  <c r="BX33" i="1"/>
  <c r="BM52" i="2"/>
  <c r="BM254" i="2"/>
  <c r="BM269" i="2" s="1"/>
  <c r="BN254" i="2"/>
  <c r="BN269" i="2" s="1"/>
  <c r="BO253" i="2"/>
  <c r="BN49" i="2"/>
  <c r="BN51" i="2" s="1"/>
  <c r="BM197" i="2"/>
  <c r="BM92" i="2" s="1"/>
  <c r="BO216" i="2"/>
  <c r="J16" i="28"/>
  <c r="BO58" i="2"/>
  <c r="BZ38" i="1" s="1"/>
  <c r="BO255" i="2"/>
  <c r="BN256" i="2"/>
  <c r="BN270" i="2" s="1"/>
  <c r="BO47" i="2"/>
  <c r="BO50" i="2"/>
  <c r="BX81" i="1"/>
  <c r="BW81" i="1"/>
  <c r="BV81" i="1"/>
  <c r="BU81" i="1"/>
  <c r="AB64" i="2"/>
  <c r="AW64" i="2"/>
  <c r="AP124" i="2"/>
  <c r="Q124" i="2"/>
  <c r="AB124" i="2"/>
  <c r="AP64" i="2"/>
  <c r="AI64" i="2"/>
  <c r="T124" i="2"/>
  <c r="S124" i="2"/>
  <c r="AB36" i="2"/>
  <c r="AI124" i="2"/>
  <c r="R124" i="2"/>
  <c r="AI35" i="2"/>
  <c r="AW124" i="2"/>
  <c r="U124" i="2"/>
  <c r="U64" i="2"/>
  <c r="U36" i="2"/>
  <c r="AW35" i="2"/>
  <c r="AW36" i="2"/>
  <c r="AI36" i="2"/>
  <c r="AP35" i="2"/>
  <c r="AP36" i="2"/>
  <c r="AB35" i="2"/>
  <c r="U35" i="2"/>
  <c r="AP332" i="2"/>
  <c r="U332" i="2"/>
  <c r="AW332" i="2"/>
  <c r="AI332" i="2"/>
  <c r="AB332" i="2"/>
  <c r="I7" i="2" l="1"/>
  <c r="AX159" i="2"/>
  <c r="AS42" i="2"/>
  <c r="AS265" i="2" s="1"/>
  <c r="AE149" i="2"/>
  <c r="E155" i="2"/>
  <c r="U41" i="2"/>
  <c r="AG205" i="2"/>
  <c r="AE202" i="2"/>
  <c r="AJ149" i="2"/>
  <c r="BD236" i="2"/>
  <c r="BC236" i="2"/>
  <c r="AT177" i="2"/>
  <c r="F42" i="2"/>
  <c r="F265" i="2" s="1"/>
  <c r="Q42" i="2"/>
  <c r="Q265" i="2" s="1"/>
  <c r="BD45" i="2"/>
  <c r="W233" i="2"/>
  <c r="E255" i="2"/>
  <c r="S156" i="2"/>
  <c r="AW298" i="2"/>
  <c r="S255" i="2"/>
  <c r="Q154" i="2"/>
  <c r="O159" i="2"/>
  <c r="BA205" i="2"/>
  <c r="N9" i="2"/>
  <c r="D138" i="2"/>
  <c r="BB243" i="2"/>
  <c r="AZ235" i="2"/>
  <c r="Q57" i="2"/>
  <c r="D206" i="2"/>
  <c r="G284" i="2"/>
  <c r="F62" i="1" s="1"/>
  <c r="M216" i="2"/>
  <c r="X154" i="2"/>
  <c r="AQ193" i="2"/>
  <c r="AR46" i="2"/>
  <c r="T153" i="2"/>
  <c r="AC177" i="2"/>
  <c r="AI295" i="2"/>
  <c r="AH295" i="2"/>
  <c r="AQ144" i="2"/>
  <c r="AW16" i="2"/>
  <c r="AM151" i="2"/>
  <c r="N255" i="2"/>
  <c r="T182" i="2"/>
  <c r="BC281" i="2"/>
  <c r="BD281" i="2"/>
  <c r="BB152" i="2"/>
  <c r="AE281" i="2"/>
  <c r="AE236" i="2"/>
  <c r="U240" i="2"/>
  <c r="BP53" i="1" s="1"/>
  <c r="BP82" i="1" s="1"/>
  <c r="AS239" i="2"/>
  <c r="R168" i="2"/>
  <c r="BA287" i="2"/>
  <c r="Q213" i="2"/>
  <c r="AB206" i="2"/>
  <c r="AA206" i="2"/>
  <c r="H151" i="2"/>
  <c r="H205" i="2"/>
  <c r="T210" i="2"/>
  <c r="AN206" i="2"/>
  <c r="T14" i="2"/>
  <c r="AH234" i="2"/>
  <c r="R240" i="2"/>
  <c r="BM53" i="1" s="1"/>
  <c r="BM82" i="1" s="1"/>
  <c r="AU241" i="2"/>
  <c r="BD206" i="2"/>
  <c r="BC206" i="2"/>
  <c r="AT302" i="2"/>
  <c r="K283" i="2"/>
  <c r="AF253" i="2"/>
  <c r="F274" i="2"/>
  <c r="F275" i="2"/>
  <c r="R298" i="2"/>
  <c r="V312" i="2"/>
  <c r="V313" i="2" s="1"/>
  <c r="BA49" i="2"/>
  <c r="X299" i="2"/>
  <c r="AT45" i="2"/>
  <c r="G206" i="2"/>
  <c r="K233" i="2"/>
  <c r="AE57" i="2"/>
  <c r="AE260" i="2" s="1"/>
  <c r="P207" i="2"/>
  <c r="AD203" i="2"/>
  <c r="T46" i="2"/>
  <c r="AJ202" i="2"/>
  <c r="AW281" i="2"/>
  <c r="AV281" i="2"/>
  <c r="Y59" i="2"/>
  <c r="AE203" i="2"/>
  <c r="X144" i="2"/>
  <c r="AC46" i="2"/>
  <c r="AG292" i="2"/>
  <c r="K292" i="2"/>
  <c r="AS202" i="2"/>
  <c r="AD144" i="2"/>
  <c r="J253" i="2"/>
  <c r="T149" i="2"/>
  <c r="H193" i="2"/>
  <c r="AY150" i="2"/>
  <c r="AG208" i="2"/>
  <c r="O206" i="2"/>
  <c r="AO282" i="2"/>
  <c r="AP282" i="2"/>
  <c r="M153" i="2"/>
  <c r="AQ46" i="2"/>
  <c r="AM57" i="2"/>
  <c r="AM260" i="2" s="1"/>
  <c r="X284" i="2"/>
  <c r="AX16" i="2"/>
  <c r="BA206" i="2"/>
  <c r="BB195" i="2"/>
  <c r="E311" i="2"/>
  <c r="BQ81" i="1"/>
  <c r="AN50" i="2"/>
  <c r="BB41" i="2"/>
  <c r="I50" i="2"/>
  <c r="S209" i="2"/>
  <c r="AU235" i="2"/>
  <c r="Z292" i="2"/>
  <c r="AE46" i="2"/>
  <c r="AG151" i="2"/>
  <c r="R210" i="2"/>
  <c r="V156" i="2"/>
  <c r="M217" i="2"/>
  <c r="L242" i="2"/>
  <c r="H242" i="2"/>
  <c r="BR81" i="1"/>
  <c r="AW242" i="2"/>
  <c r="AV242" i="2"/>
  <c r="S274" i="2"/>
  <c r="S275" i="2"/>
  <c r="BN59" i="1" s="1"/>
  <c r="M154" i="2"/>
  <c r="AL284" i="2"/>
  <c r="G179" i="2"/>
  <c r="H42" i="2"/>
  <c r="H265" i="2" s="1"/>
  <c r="BA59" i="2"/>
  <c r="AC295" i="2"/>
  <c r="R277" i="2"/>
  <c r="D284" i="2"/>
  <c r="AP234" i="2"/>
  <c r="D42" i="2"/>
  <c r="D265" i="2" s="1"/>
  <c r="Z284" i="2"/>
  <c r="AH151" i="2"/>
  <c r="AI151" i="2"/>
  <c r="BT81" i="1"/>
  <c r="U243" i="2"/>
  <c r="AU49" i="2"/>
  <c r="AW151" i="2"/>
  <c r="AV151" i="2"/>
  <c r="AK155" i="2"/>
  <c r="R181" i="2"/>
  <c r="AC55" i="2"/>
  <c r="AP148" i="2"/>
  <c r="AO148" i="2"/>
  <c r="W235" i="2"/>
  <c r="V161" i="2"/>
  <c r="I239" i="2"/>
  <c r="AD166" i="2"/>
  <c r="AD105" i="2" s="1"/>
  <c r="AD107" i="2" s="1"/>
  <c r="D166" i="2"/>
  <c r="D170" i="2" s="1"/>
  <c r="AE161" i="2"/>
  <c r="P255" i="2"/>
  <c r="AK153" i="2"/>
  <c r="Y207" i="2"/>
  <c r="I177" i="2"/>
  <c r="AW234" i="2"/>
  <c r="AK16" i="2"/>
  <c r="AN14" i="2"/>
  <c r="AR55" i="2"/>
  <c r="F34" i="2"/>
  <c r="AD177" i="2"/>
  <c r="AG18" i="2"/>
  <c r="AL7" i="2"/>
  <c r="AK287" i="2"/>
  <c r="J236" i="2"/>
  <c r="BP81" i="1"/>
  <c r="E22" i="2"/>
  <c r="E20" i="2" s="1"/>
  <c r="E261" i="2"/>
  <c r="Z239" i="2"/>
  <c r="AN291" i="2"/>
  <c r="AC239" i="2"/>
  <c r="BB193" i="2"/>
  <c r="AC243" i="2"/>
  <c r="AW232" i="2"/>
  <c r="AV232" i="2"/>
  <c r="AW149" i="2"/>
  <c r="AV149" i="2"/>
  <c r="AG5" i="2"/>
  <c r="AF235" i="2"/>
  <c r="P282" i="2"/>
  <c r="AO235" i="2"/>
  <c r="AP235" i="2"/>
  <c r="AB181" i="2"/>
  <c r="AE195" i="2"/>
  <c r="T206" i="2"/>
  <c r="AP140" i="2"/>
  <c r="AO140" i="2"/>
  <c r="O7" i="2"/>
  <c r="AI181" i="2"/>
  <c r="AI185" i="2" s="1"/>
  <c r="AZ14" i="2"/>
  <c r="AG9" i="2"/>
  <c r="AG10" i="2" s="1"/>
  <c r="BA232" i="2"/>
  <c r="M181" i="2"/>
  <c r="G298" i="2"/>
  <c r="AR151" i="2"/>
  <c r="S253" i="2"/>
  <c r="AY280" i="2"/>
  <c r="X156" i="2"/>
  <c r="AR302" i="2"/>
  <c r="BS81" i="1"/>
  <c r="I236" i="2"/>
  <c r="W177" i="2"/>
  <c r="AY49" i="2"/>
  <c r="AU179" i="2"/>
  <c r="D155" i="2"/>
  <c r="E253" i="2"/>
  <c r="S311" i="2"/>
  <c r="U226" i="2"/>
  <c r="Q235" i="2"/>
  <c r="G42" i="2"/>
  <c r="G265" i="2" s="1"/>
  <c r="J193" i="2"/>
  <c r="AN47" i="2"/>
  <c r="W42" i="2"/>
  <c r="W265" i="2" s="1"/>
  <c r="AM234" i="2"/>
  <c r="U311" i="2"/>
  <c r="L210" i="2"/>
  <c r="W282" i="2"/>
  <c r="AM236" i="2"/>
  <c r="Z159" i="2"/>
  <c r="AL217" i="2"/>
  <c r="AD138" i="2"/>
  <c r="AU294" i="2"/>
  <c r="H240" i="2"/>
  <c r="J294" i="2"/>
  <c r="R166" i="2"/>
  <c r="AM5" i="2"/>
  <c r="Q216" i="2"/>
  <c r="BA195" i="2"/>
  <c r="L179" i="2"/>
  <c r="AL57" i="2"/>
  <c r="AL260" i="2" s="1"/>
  <c r="AK299" i="2"/>
  <c r="W216" i="2"/>
  <c r="AH294" i="2"/>
  <c r="AI294" i="2"/>
  <c r="Z209" i="2"/>
  <c r="BB234" i="2"/>
  <c r="AE282" i="2"/>
  <c r="L287" i="2"/>
  <c r="AC63" i="1" s="1"/>
  <c r="AK204" i="2"/>
  <c r="R294" i="2"/>
  <c r="P208" i="2"/>
  <c r="I140" i="2"/>
  <c r="AG294" i="2"/>
  <c r="AT138" i="2"/>
  <c r="AS208" i="2"/>
  <c r="BD234" i="2"/>
  <c r="BD7" i="2"/>
  <c r="AD217" i="2"/>
  <c r="O201" i="2"/>
  <c r="AP156" i="2"/>
  <c r="AO156" i="2"/>
  <c r="BD235" i="2"/>
  <c r="BC235" i="2"/>
  <c r="G239" i="2"/>
  <c r="M42" i="2"/>
  <c r="M265" i="2" s="1"/>
  <c r="AK14" i="2"/>
  <c r="K241" i="2"/>
  <c r="M201" i="2"/>
  <c r="T302" i="2"/>
  <c r="O299" i="2"/>
  <c r="AX64" i="1" s="1"/>
  <c r="BB233" i="2"/>
  <c r="BB255" i="2"/>
  <c r="AS294" i="2"/>
  <c r="X236" i="2"/>
  <c r="AF154" i="2"/>
  <c r="AC59" i="2"/>
  <c r="J195" i="2"/>
  <c r="J210" i="2"/>
  <c r="AO149" i="2"/>
  <c r="AP149" i="2"/>
  <c r="M151" i="2"/>
  <c r="J239" i="2"/>
  <c r="AS280" i="2"/>
  <c r="J138" i="2"/>
  <c r="AT281" i="2"/>
  <c r="AC5" i="2"/>
  <c r="BA216" i="2"/>
  <c r="N232" i="2"/>
  <c r="AW50" i="2"/>
  <c r="U217" i="2"/>
  <c r="N280" i="2"/>
  <c r="M255" i="2"/>
  <c r="W50" i="2"/>
  <c r="AK140" i="2"/>
  <c r="AN233" i="2"/>
  <c r="AR45" i="2"/>
  <c r="AR266" i="2" s="1"/>
  <c r="X298" i="2"/>
  <c r="AG49" i="2"/>
  <c r="V230" i="2"/>
  <c r="AI138" i="2"/>
  <c r="AH138" i="2"/>
  <c r="AE144" i="2"/>
  <c r="AI275" i="2"/>
  <c r="AI274" i="2"/>
  <c r="Y47" i="2"/>
  <c r="AV255" i="2"/>
  <c r="AW255" i="2"/>
  <c r="Q311" i="2"/>
  <c r="L291" i="2"/>
  <c r="AC65" i="1" s="1"/>
  <c r="V238" i="2"/>
  <c r="AA207" i="2"/>
  <c r="AB207" i="2"/>
  <c r="AM161" i="2"/>
  <c r="J312" i="2"/>
  <c r="AN42" i="2"/>
  <c r="AN265" i="2" s="1"/>
  <c r="AL277" i="2"/>
  <c r="K193" i="2"/>
  <c r="AW49" i="2"/>
  <c r="AD55" i="2"/>
  <c r="L47" i="2"/>
  <c r="AY55" i="2"/>
  <c r="AO209" i="2"/>
  <c r="Y237" i="2"/>
  <c r="AP278" i="2"/>
  <c r="BS61" i="1" s="1"/>
  <c r="Z34" i="2"/>
  <c r="AX216" i="2"/>
  <c r="AG42" i="2"/>
  <c r="AG265" i="2" s="1"/>
  <c r="AC166" i="2"/>
  <c r="Z5" i="2"/>
  <c r="BB159" i="2"/>
  <c r="AK277" i="2"/>
  <c r="AA291" i="2"/>
  <c r="AB291" i="2"/>
  <c r="BQ65" i="1" s="1"/>
  <c r="D207" i="2"/>
  <c r="AH207" i="2"/>
  <c r="AI207" i="2"/>
  <c r="BD302" i="2"/>
  <c r="BC302" i="2"/>
  <c r="AR237" i="2"/>
  <c r="N201" i="2"/>
  <c r="AD5" i="2"/>
  <c r="AL298" i="2"/>
  <c r="AL152" i="2"/>
  <c r="AP5" i="2"/>
  <c r="AK284" i="2"/>
  <c r="AN243" i="2"/>
  <c r="BA299" i="2"/>
  <c r="G238" i="2"/>
  <c r="V155" i="2"/>
  <c r="AG230" i="2"/>
  <c r="AG209" i="2"/>
  <c r="BD159" i="2"/>
  <c r="AD238" i="2"/>
  <c r="AX238" i="2"/>
  <c r="X50" i="2"/>
  <c r="AY253" i="2"/>
  <c r="P281" i="2"/>
  <c r="I205" i="2"/>
  <c r="X277" i="2"/>
  <c r="F177" i="2"/>
  <c r="O156" i="2"/>
  <c r="AS9" i="2"/>
  <c r="AQ241" i="2"/>
  <c r="H206" i="2"/>
  <c r="AS243" i="2"/>
  <c r="O210" i="2"/>
  <c r="U312" i="2"/>
  <c r="AB166" i="2"/>
  <c r="AA166" i="2"/>
  <c r="H235" i="2"/>
  <c r="AT50" i="2"/>
  <c r="AS156" i="2"/>
  <c r="AL140" i="2"/>
  <c r="AQ5" i="2"/>
  <c r="K237" i="2"/>
  <c r="AS18" i="2"/>
  <c r="F154" i="2"/>
  <c r="U46" i="2"/>
  <c r="AC292" i="2"/>
  <c r="AI240" i="2"/>
  <c r="BR53" i="1" s="1"/>
  <c r="BR82" i="1" s="1"/>
  <c r="AH240" i="2"/>
  <c r="K205" i="2"/>
  <c r="H207" i="2"/>
  <c r="J277" i="2"/>
  <c r="AJ287" i="2"/>
  <c r="Q284" i="2"/>
  <c r="L294" i="2"/>
  <c r="AA230" i="2"/>
  <c r="AB230" i="2"/>
  <c r="AJ312" i="2"/>
  <c r="AK177" i="2"/>
  <c r="AD151" i="2"/>
  <c r="AD232" i="2"/>
  <c r="N47" i="2"/>
  <c r="AY291" i="2"/>
  <c r="AB195" i="2"/>
  <c r="AA195" i="2"/>
  <c r="G277" i="2"/>
  <c r="AN9" i="2"/>
  <c r="Q193" i="2"/>
  <c r="I302" i="2"/>
  <c r="AV148" i="2"/>
  <c r="AW148" i="2"/>
  <c r="G5" i="2"/>
  <c r="AC255" i="2"/>
  <c r="AC256" i="2" s="1"/>
  <c r="AC270" i="2" s="1"/>
  <c r="L149" i="2"/>
  <c r="AO240" i="2"/>
  <c r="AP240" i="2"/>
  <c r="BS53" i="1" s="1"/>
  <c r="BS82" i="1" s="1"/>
  <c r="AY216" i="2"/>
  <c r="Q312" i="2"/>
  <c r="Z150" i="2"/>
  <c r="G202" i="2"/>
  <c r="H9" i="2"/>
  <c r="AA235" i="2"/>
  <c r="AB235" i="2"/>
  <c r="Y144" i="2"/>
  <c r="AZ152" i="2"/>
  <c r="AD42" i="2"/>
  <c r="AD265" i="2" s="1"/>
  <c r="J311" i="2"/>
  <c r="BA150" i="2"/>
  <c r="T50" i="2"/>
  <c r="AG201" i="2"/>
  <c r="I57" i="2"/>
  <c r="AK208" i="2"/>
  <c r="J284" i="2"/>
  <c r="O62" i="1" s="1"/>
  <c r="O144" i="2"/>
  <c r="T255" i="2"/>
  <c r="T256" i="2" s="1"/>
  <c r="T270" i="2" s="1"/>
  <c r="AP152" i="2"/>
  <c r="AO152" i="2"/>
  <c r="E159" i="2"/>
  <c r="AJ16" i="2"/>
  <c r="AS312" i="2"/>
  <c r="AR47" i="2"/>
  <c r="W281" i="2"/>
  <c r="O230" i="2"/>
  <c r="W152" i="2"/>
  <c r="E156" i="2"/>
  <c r="AD46" i="2"/>
  <c r="AY50" i="2"/>
  <c r="O47" i="2"/>
  <c r="Q291" i="2"/>
  <c r="BL65" i="1" s="1"/>
  <c r="K294" i="2"/>
  <c r="AY154" i="2"/>
  <c r="K151" i="2"/>
  <c r="G50" i="2"/>
  <c r="AF201" i="2"/>
  <c r="AG148" i="2"/>
  <c r="Q9" i="2"/>
  <c r="D17" i="28"/>
  <c r="AP34" i="2"/>
  <c r="AV233" i="2"/>
  <c r="AW233" i="2"/>
  <c r="Q278" i="2"/>
  <c r="BL61" i="1" s="1"/>
  <c r="S55" i="2"/>
  <c r="BN35" i="1" s="1"/>
  <c r="AB201" i="2"/>
  <c r="AA201" i="2"/>
  <c r="AS291" i="2"/>
  <c r="AD236" i="2"/>
  <c r="AR18" i="2"/>
  <c r="V240" i="2"/>
  <c r="AX294" i="2"/>
  <c r="AS203" i="2"/>
  <c r="BD205" i="2"/>
  <c r="BC205" i="2"/>
  <c r="L230" i="2"/>
  <c r="X9" i="2"/>
  <c r="AF284" i="2"/>
  <c r="F151" i="2"/>
  <c r="AU5" i="2"/>
  <c r="P169" i="2"/>
  <c r="Q151" i="2"/>
  <c r="N207" i="2"/>
  <c r="Z238" i="2"/>
  <c r="AC205" i="2"/>
  <c r="AP299" i="2"/>
  <c r="BS64" i="1" s="1"/>
  <c r="AO299" i="2"/>
  <c r="S242" i="2"/>
  <c r="U42" i="2"/>
  <c r="U265" i="2" s="1"/>
  <c r="AP153" i="2"/>
  <c r="AO153" i="2"/>
  <c r="BA55" i="2"/>
  <c r="Q207" i="2"/>
  <c r="T154" i="2"/>
  <c r="AE295" i="2"/>
  <c r="AJ18" i="2"/>
  <c r="AY312" i="2"/>
  <c r="K255" i="2"/>
  <c r="AQ277" i="2"/>
  <c r="M159" i="2"/>
  <c r="AC242" i="2"/>
  <c r="AW283" i="2"/>
  <c r="AS235" i="2"/>
  <c r="S150" i="2"/>
  <c r="AW235" i="2"/>
  <c r="AV235" i="2"/>
  <c r="X208" i="2"/>
  <c r="J154" i="2"/>
  <c r="M148" i="2"/>
  <c r="AH150" i="2"/>
  <c r="AI150" i="2"/>
  <c r="R237" i="2"/>
  <c r="O238" i="2"/>
  <c r="AT363" i="2"/>
  <c r="AT358" i="2" s="1"/>
  <c r="E51" i="28" s="1"/>
  <c r="AO239" i="2"/>
  <c r="AP239" i="2"/>
  <c r="D159" i="2"/>
  <c r="O149" i="2"/>
  <c r="AW293" i="2"/>
  <c r="O49" i="2"/>
  <c r="K208" i="2"/>
  <c r="X18" i="2"/>
  <c r="AY140" i="2"/>
  <c r="AB363" i="2"/>
  <c r="AA363" i="2"/>
  <c r="AH153" i="2"/>
  <c r="AI153" i="2"/>
  <c r="U255" i="2"/>
  <c r="U256" i="2" s="1"/>
  <c r="U270" i="2" s="1"/>
  <c r="Z18" i="2"/>
  <c r="Z19" i="2" s="1"/>
  <c r="AF49" i="2"/>
  <c r="AG243" i="2"/>
  <c r="AE280" i="2"/>
  <c r="AF203" i="2"/>
  <c r="AL213" i="2"/>
  <c r="Q287" i="2"/>
  <c r="H161" i="2"/>
  <c r="AC16" i="2"/>
  <c r="D7" i="2"/>
  <c r="F292" i="2"/>
  <c r="Q182" i="2"/>
  <c r="P298" i="2"/>
  <c r="T299" i="2"/>
  <c r="BO64" i="1" s="1"/>
  <c r="BB59" i="2"/>
  <c r="AY59" i="2"/>
  <c r="AQ292" i="2"/>
  <c r="BA234" i="2"/>
  <c r="AX57" i="2"/>
  <c r="AX260" i="2" s="1"/>
  <c r="R148" i="2"/>
  <c r="S49" i="2"/>
  <c r="I22" i="2"/>
  <c r="I20" i="2" s="1"/>
  <c r="I261" i="2"/>
  <c r="O45" i="2"/>
  <c r="AM153" i="2"/>
  <c r="AY46" i="2"/>
  <c r="E293" i="2"/>
  <c r="V148" i="2"/>
  <c r="Z302" i="2"/>
  <c r="L280" i="2"/>
  <c r="F217" i="2"/>
  <c r="J238" i="2"/>
  <c r="AZ237" i="2"/>
  <c r="AK34" i="2"/>
  <c r="J49" i="2"/>
  <c r="W156" i="2"/>
  <c r="R208" i="2"/>
  <c r="AY45" i="2"/>
  <c r="AY266" i="2" s="1"/>
  <c r="H14" i="2"/>
  <c r="AT159" i="2"/>
  <c r="E138" i="2"/>
  <c r="F243" i="2"/>
  <c r="AZ177" i="2"/>
  <c r="H144" i="2"/>
  <c r="AC299" i="2"/>
  <c r="P277" i="2"/>
  <c r="AB277" i="2"/>
  <c r="BQ60" i="1" s="1"/>
  <c r="AA277" i="2"/>
  <c r="AQ239" i="2"/>
  <c r="AS209" i="2"/>
  <c r="BD293" i="2"/>
  <c r="AP287" i="2"/>
  <c r="BS63" i="1" s="1"/>
  <c r="AO287" i="2"/>
  <c r="BA50" i="2"/>
  <c r="Y161" i="2"/>
  <c r="L236" i="2"/>
  <c r="AL195" i="2"/>
  <c r="V144" i="2"/>
  <c r="AN166" i="2"/>
  <c r="AL148" i="2"/>
  <c r="P239" i="2"/>
  <c r="AT230" i="2"/>
  <c r="AZ41" i="2"/>
  <c r="AN232" i="2"/>
  <c r="AV299" i="2"/>
  <c r="AW299" i="2"/>
  <c r="BT64" i="1" s="1"/>
  <c r="AM148" i="2"/>
  <c r="U34" i="2"/>
  <c r="AI287" i="2"/>
  <c r="BR63" i="1" s="1"/>
  <c r="AH287" i="2"/>
  <c r="M50" i="2"/>
  <c r="F284" i="2"/>
  <c r="E62" i="1" s="1"/>
  <c r="AE275" i="2"/>
  <c r="AE274" i="2"/>
  <c r="AZ284" i="2"/>
  <c r="F7" i="2"/>
  <c r="V242" i="2"/>
  <c r="R213" i="2"/>
  <c r="AJ206" i="2"/>
  <c r="AZ232" i="2"/>
  <c r="X195" i="2"/>
  <c r="F205" i="2"/>
  <c r="X295" i="2"/>
  <c r="M206" i="2"/>
  <c r="AJ209" i="2"/>
  <c r="AD156" i="2"/>
  <c r="G59" i="2"/>
  <c r="G281" i="2"/>
  <c r="N311" i="2"/>
  <c r="N156" i="2"/>
  <c r="AT207" i="2"/>
  <c r="BB55" i="2"/>
  <c r="AW253" i="2"/>
  <c r="AV253" i="2"/>
  <c r="D299" i="2"/>
  <c r="AD59" i="2"/>
  <c r="AH232" i="2"/>
  <c r="AI232" i="2"/>
  <c r="E207" i="2"/>
  <c r="Q169" i="2"/>
  <c r="F232" i="2"/>
  <c r="AC161" i="2"/>
  <c r="Q45" i="2"/>
  <c r="W150" i="2"/>
  <c r="AG193" i="2"/>
  <c r="AE302" i="2"/>
  <c r="AT49" i="2"/>
  <c r="L49" i="2"/>
  <c r="N34" i="2"/>
  <c r="N264" i="2" s="1"/>
  <c r="F155" i="2"/>
  <c r="H287" i="2"/>
  <c r="G63" i="1" s="1"/>
  <c r="AN230" i="2"/>
  <c r="N151" i="2"/>
  <c r="K311" i="2"/>
  <c r="H299" i="2"/>
  <c r="G64" i="1" s="1"/>
  <c r="AQ312" i="2"/>
  <c r="W16" i="2"/>
  <c r="I217" i="2"/>
  <c r="J202" i="2"/>
  <c r="H275" i="2"/>
  <c r="H274" i="2"/>
  <c r="M203" i="2"/>
  <c r="BB57" i="2"/>
  <c r="BB260" i="2" s="1"/>
  <c r="W255" i="2"/>
  <c r="W256" i="2" s="1"/>
  <c r="W270" i="2" s="1"/>
  <c r="AF205" i="2"/>
  <c r="AG282" i="2"/>
  <c r="AU156" i="2"/>
  <c r="AZ238" i="2"/>
  <c r="K59" i="2"/>
  <c r="AM205" i="2"/>
  <c r="S243" i="2"/>
  <c r="BD193" i="2"/>
  <c r="BD210" i="2"/>
  <c r="AO237" i="2"/>
  <c r="AP237" i="2"/>
  <c r="AU34" i="2"/>
  <c r="AX230" i="2"/>
  <c r="AT204" i="2"/>
  <c r="BA7" i="2"/>
  <c r="Q274" i="2"/>
  <c r="Q275" i="2"/>
  <c r="P57" i="2"/>
  <c r="S16" i="2"/>
  <c r="P295" i="2"/>
  <c r="L144" i="2"/>
  <c r="J232" i="2"/>
  <c r="G166" i="2"/>
  <c r="G170" i="2" s="1"/>
  <c r="AF5" i="2"/>
  <c r="AW277" i="2"/>
  <c r="BT60" i="1" s="1"/>
  <c r="V46" i="2"/>
  <c r="AG177" i="2"/>
  <c r="AG47" i="2"/>
  <c r="AF42" i="2"/>
  <c r="AF265" i="2" s="1"/>
  <c r="R236" i="2"/>
  <c r="AX150" i="2"/>
  <c r="AG237" i="2"/>
  <c r="AU18" i="2"/>
  <c r="AE138" i="2"/>
  <c r="AG207" i="2"/>
  <c r="F144" i="2"/>
  <c r="AX280" i="2"/>
  <c r="O277" i="2"/>
  <c r="H159" i="2"/>
  <c r="AR159" i="2"/>
  <c r="BB50" i="2"/>
  <c r="H238" i="2"/>
  <c r="AR213" i="2"/>
  <c r="AK7" i="2"/>
  <c r="AO154" i="2"/>
  <c r="AP154" i="2"/>
  <c r="AC281" i="2"/>
  <c r="AD233" i="2"/>
  <c r="AF240" i="2"/>
  <c r="T57" i="2"/>
  <c r="F203" i="2"/>
  <c r="O232" i="2"/>
  <c r="AT179" i="2"/>
  <c r="AY292" i="2"/>
  <c r="BC295" i="2"/>
  <c r="BD295" i="2"/>
  <c r="G34" i="2"/>
  <c r="AS293" i="2"/>
  <c r="AY237" i="2"/>
  <c r="AA237" i="2"/>
  <c r="AB237" i="2"/>
  <c r="AA159" i="2"/>
  <c r="AB159" i="2"/>
  <c r="AQ299" i="2"/>
  <c r="X237" i="2"/>
  <c r="AK282" i="2"/>
  <c r="X213" i="2"/>
  <c r="AZ55" i="2"/>
  <c r="AK230" i="2"/>
  <c r="G7" i="2"/>
  <c r="L168" i="2"/>
  <c r="T232" i="2"/>
  <c r="F230" i="2"/>
  <c r="AG217" i="2"/>
  <c r="N237" i="2"/>
  <c r="BC166" i="2"/>
  <c r="BD166" i="2"/>
  <c r="BA235" i="2"/>
  <c r="N283" i="2"/>
  <c r="BB253" i="2"/>
  <c r="Z230" i="2"/>
  <c r="AL151" i="2"/>
  <c r="S50" i="2"/>
  <c r="AI234" i="2"/>
  <c r="N155" i="2"/>
  <c r="AR144" i="2"/>
  <c r="P312" i="2"/>
  <c r="P181" i="2"/>
  <c r="AV240" i="2"/>
  <c r="AW240" i="2"/>
  <c r="BT53" i="1" s="1"/>
  <c r="BT82" i="1" s="1"/>
  <c r="X179" i="2"/>
  <c r="AB45" i="2"/>
  <c r="BA209" i="2"/>
  <c r="T138" i="2"/>
  <c r="AL153" i="2"/>
  <c r="AI238" i="2"/>
  <c r="AH238" i="2"/>
  <c r="F235" i="2"/>
  <c r="BA253" i="2"/>
  <c r="P206" i="2"/>
  <c r="P311" i="2"/>
  <c r="AZ241" i="2"/>
  <c r="O166" i="2"/>
  <c r="AQ42" i="2"/>
  <c r="AQ265" i="2" s="1"/>
  <c r="AN208" i="2"/>
  <c r="AB47" i="2"/>
  <c r="AJ46" i="2"/>
  <c r="AT18" i="2"/>
  <c r="Z42" i="2"/>
  <c r="Z265" i="2" s="1"/>
  <c r="AF243" i="2"/>
  <c r="F238" i="2"/>
  <c r="AJ14" i="2"/>
  <c r="AV287" i="2"/>
  <c r="AW287" i="2"/>
  <c r="BT63" i="1" s="1"/>
  <c r="AT42" i="2"/>
  <c r="AT265" i="2" s="1"/>
  <c r="D45" i="2"/>
  <c r="D266" i="2" s="1"/>
  <c r="AY207" i="2"/>
  <c r="AU193" i="2"/>
  <c r="P232" i="2"/>
  <c r="BA57" i="2"/>
  <c r="BA260" i="2" s="1"/>
  <c r="AU284" i="2"/>
  <c r="V201" i="2"/>
  <c r="AR7" i="2"/>
  <c r="O169" i="2"/>
  <c r="AV179" i="2"/>
  <c r="AW179" i="2"/>
  <c r="AZ179" i="2"/>
  <c r="P179" i="2"/>
  <c r="AF155" i="2"/>
  <c r="R253" i="2"/>
  <c r="AI49" i="2"/>
  <c r="M283" i="2"/>
  <c r="AK46" i="2"/>
  <c r="AT150" i="2"/>
  <c r="W14" i="2"/>
  <c r="AF159" i="2"/>
  <c r="BB237" i="2"/>
  <c r="I49" i="2"/>
  <c r="I51" i="2" s="1"/>
  <c r="H33" i="1" s="1"/>
  <c r="AT299" i="2"/>
  <c r="U179" i="2"/>
  <c r="U57" i="2"/>
  <c r="P292" i="2"/>
  <c r="Q277" i="2"/>
  <c r="AX149" i="2"/>
  <c r="AF50" i="2"/>
  <c r="AS216" i="2"/>
  <c r="H282" i="2"/>
  <c r="Z206" i="2"/>
  <c r="R154" i="2"/>
  <c r="AF209" i="2"/>
  <c r="Y312" i="2"/>
  <c r="Y313" i="2" s="1"/>
  <c r="AZ138" i="2"/>
  <c r="AR236" i="2"/>
  <c r="F233" i="2"/>
  <c r="K195" i="2"/>
  <c r="N287" i="2"/>
  <c r="AQ63" i="1" s="1"/>
  <c r="AE159" i="2"/>
  <c r="AE130" i="2" s="1"/>
  <c r="V50" i="2"/>
  <c r="N154" i="2"/>
  <c r="BB287" i="2"/>
  <c r="AP292" i="2"/>
  <c r="AO292" i="2"/>
  <c r="AM159" i="2"/>
  <c r="D235" i="2"/>
  <c r="AD206" i="2"/>
  <c r="AL210" i="2"/>
  <c r="AL193" i="2"/>
  <c r="AN18" i="2"/>
  <c r="U47" i="2"/>
  <c r="I280" i="2"/>
  <c r="AV234" i="2"/>
  <c r="W151" i="2"/>
  <c r="AO216" i="2"/>
  <c r="AP216" i="2"/>
  <c r="AL235" i="2"/>
  <c r="AX153" i="2"/>
  <c r="U148" i="2"/>
  <c r="R201" i="2"/>
  <c r="AF149" i="2"/>
  <c r="Z9" i="2"/>
  <c r="G311" i="2"/>
  <c r="M14" i="2"/>
  <c r="F242" i="2"/>
  <c r="T294" i="2"/>
  <c r="AK280" i="2"/>
  <c r="AT295" i="2"/>
  <c r="AM206" i="2"/>
  <c r="G292" i="2"/>
  <c r="F237" i="2"/>
  <c r="AU242" i="2"/>
  <c r="V253" i="2"/>
  <c r="V254" i="2" s="1"/>
  <c r="V269" i="2" s="1"/>
  <c r="E292" i="2"/>
  <c r="AA179" i="2"/>
  <c r="AB179" i="2"/>
  <c r="Q59" i="2"/>
  <c r="U205" i="2"/>
  <c r="E42" i="2"/>
  <c r="E265" i="2" s="1"/>
  <c r="AQ209" i="2"/>
  <c r="AU148" i="2"/>
  <c r="AA202" i="2"/>
  <c r="AB202" i="2"/>
  <c r="Y179" i="2"/>
  <c r="Y195" i="2"/>
  <c r="AC312" i="2"/>
  <c r="AC313" i="2" s="1"/>
  <c r="X46" i="2"/>
  <c r="AK45" i="2"/>
  <c r="AK266" i="2" s="1"/>
  <c r="E9" i="2"/>
  <c r="Z203" i="2"/>
  <c r="AB283" i="2"/>
  <c r="AS166" i="2"/>
  <c r="M169" i="2"/>
  <c r="Y235" i="2"/>
  <c r="AW9" i="2"/>
  <c r="BT14" i="1" s="1"/>
  <c r="AJ291" i="2"/>
  <c r="S210" i="2"/>
  <c r="AS287" i="2"/>
  <c r="L193" i="2"/>
  <c r="BB242" i="2"/>
  <c r="J144" i="2"/>
  <c r="Y206" i="2"/>
  <c r="P238" i="2"/>
  <c r="V281" i="2"/>
  <c r="AM217" i="2"/>
  <c r="AV140" i="2"/>
  <c r="AW140" i="2"/>
  <c r="X363" i="2"/>
  <c r="AK253" i="2"/>
  <c r="I206" i="2"/>
  <c r="L205" i="2"/>
  <c r="AB46" i="2"/>
  <c r="AN149" i="2"/>
  <c r="U277" i="2"/>
  <c r="BP60" i="1" s="1"/>
  <c r="D213" i="2"/>
  <c r="AW153" i="2"/>
  <c r="AV153" i="2"/>
  <c r="U59" i="2"/>
  <c r="K154" i="2"/>
  <c r="U50" i="2"/>
  <c r="AW42" i="2"/>
  <c r="AW265" i="2" s="1"/>
  <c r="D281" i="2"/>
  <c r="I159" i="2"/>
  <c r="U242" i="2"/>
  <c r="N152" i="2"/>
  <c r="X203" i="2"/>
  <c r="Q166" i="2"/>
  <c r="AP236" i="2"/>
  <c r="AO236" i="2"/>
  <c r="AW206" i="2"/>
  <c r="AV206" i="2"/>
  <c r="AC302" i="2"/>
  <c r="AQ281" i="2"/>
  <c r="AC253" i="2"/>
  <c r="AC254" i="2" s="1"/>
  <c r="AC269" i="2" s="1"/>
  <c r="N238" i="2"/>
  <c r="T161" i="2"/>
  <c r="AU45" i="2"/>
  <c r="L159" i="2"/>
  <c r="R311" i="2"/>
  <c r="K274" i="2"/>
  <c r="K275" i="2"/>
  <c r="M57" i="2"/>
  <c r="AW7" i="2"/>
  <c r="H232" i="2"/>
  <c r="AX291" i="2"/>
  <c r="R282" i="2"/>
  <c r="H155" i="2"/>
  <c r="W205" i="2"/>
  <c r="AX242" i="2"/>
  <c r="BA217" i="2"/>
  <c r="AF207" i="2"/>
  <c r="AX179" i="2"/>
  <c r="AL302" i="2"/>
  <c r="BA207" i="2"/>
  <c r="H291" i="2"/>
  <c r="G65" i="1" s="1"/>
  <c r="O242" i="2"/>
  <c r="AB5" i="2"/>
  <c r="AL282" i="2"/>
  <c r="BC217" i="2"/>
  <c r="BD217" i="2"/>
  <c r="BL217" i="2" s="1"/>
  <c r="L237" i="2"/>
  <c r="D312" i="2"/>
  <c r="AZ45" i="2"/>
  <c r="AZ266" i="2" s="1"/>
  <c r="E235" i="2"/>
  <c r="E151" i="2"/>
  <c r="AQ363" i="2"/>
  <c r="AM150" i="2"/>
  <c r="AX292" i="2"/>
  <c r="AU41" i="2"/>
  <c r="E233" i="2"/>
  <c r="Q208" i="2"/>
  <c r="D253" i="2"/>
  <c r="Y42" i="2"/>
  <c r="Y265" i="2" s="1"/>
  <c r="AR274" i="2"/>
  <c r="AR275" i="2"/>
  <c r="AI18" i="2"/>
  <c r="AF230" i="2"/>
  <c r="T295" i="2"/>
  <c r="AX161" i="2"/>
  <c r="AX205" i="2"/>
  <c r="AN284" i="2"/>
  <c r="AT9" i="2"/>
  <c r="J59" i="2"/>
  <c r="Y50" i="2"/>
  <c r="AS205" i="2"/>
  <c r="AX59" i="2"/>
  <c r="BB217" i="2"/>
  <c r="AX299" i="2"/>
  <c r="I16" i="2"/>
  <c r="J280" i="2"/>
  <c r="AX235" i="2"/>
  <c r="AL230" i="2"/>
  <c r="K42" i="2"/>
  <c r="K265" i="2" s="1"/>
  <c r="P233" i="2"/>
  <c r="BC150" i="2"/>
  <c r="BD150" i="2"/>
  <c r="AI159" i="2"/>
  <c r="AH159" i="2"/>
  <c r="Q281" i="2"/>
  <c r="AR9" i="2"/>
  <c r="AF202" i="2"/>
  <c r="H47" i="2"/>
  <c r="N312" i="2"/>
  <c r="AY47" i="2"/>
  <c r="AF275" i="2"/>
  <c r="AF274" i="2"/>
  <c r="L45" i="2"/>
  <c r="AW45" i="2"/>
  <c r="H152" i="2"/>
  <c r="S154" i="2"/>
  <c r="E47" i="2"/>
  <c r="AF156" i="2"/>
  <c r="AJ151" i="2"/>
  <c r="BB166" i="2"/>
  <c r="BC204" i="2"/>
  <c r="BJ360" i="2" s="1"/>
  <c r="L284" i="2"/>
  <c r="AC62" i="1" s="1"/>
  <c r="K299" i="2"/>
  <c r="V64" i="1" s="1"/>
  <c r="E202" i="2"/>
  <c r="AT280" i="2"/>
  <c r="W217" i="2"/>
  <c r="S213" i="2"/>
  <c r="AW34" i="2"/>
  <c r="BC239" i="2"/>
  <c r="BD239" i="2"/>
  <c r="F261" i="2"/>
  <c r="F22" i="2"/>
  <c r="F20" i="2" s="1"/>
  <c r="BA144" i="2"/>
  <c r="AX154" i="2"/>
  <c r="AD239" i="2"/>
  <c r="Y138" i="2"/>
  <c r="Y363" i="2"/>
  <c r="AC213" i="2"/>
  <c r="E148" i="2"/>
  <c r="AF302" i="2"/>
  <c r="AX9" i="2"/>
  <c r="AN177" i="2"/>
  <c r="N14" i="2"/>
  <c r="AY16" i="2"/>
  <c r="H43" i="28"/>
  <c r="R295" i="2"/>
  <c r="AT7" i="2"/>
  <c r="BC291" i="2"/>
  <c r="BD291" i="2"/>
  <c r="BU65" i="1" s="1"/>
  <c r="N159" i="2"/>
  <c r="BA34" i="2"/>
  <c r="AU243" i="2"/>
  <c r="AF166" i="2"/>
  <c r="AF105" i="2" s="1"/>
  <c r="AF107" i="2" s="1"/>
  <c r="AG284" i="2"/>
  <c r="Z213" i="2"/>
  <c r="AC201" i="2"/>
  <c r="M287" i="2"/>
  <c r="AJ63" i="1" s="1"/>
  <c r="AE213" i="2"/>
  <c r="F202" i="2"/>
  <c r="G82" i="2" s="1"/>
  <c r="G83" i="2" s="1"/>
  <c r="AI42" i="2"/>
  <c r="AI265" i="2" s="1"/>
  <c r="K202" i="2"/>
  <c r="L82" i="2" s="1"/>
  <c r="AO255" i="2"/>
  <c r="AP255" i="2"/>
  <c r="L150" i="2"/>
  <c r="F208" i="2"/>
  <c r="P154" i="2"/>
  <c r="BD181" i="2"/>
  <c r="AG59" i="2"/>
  <c r="U207" i="2"/>
  <c r="S204" i="2"/>
  <c r="AW57" i="2"/>
  <c r="AN148" i="2"/>
  <c r="BA242" i="2"/>
  <c r="AS242" i="2"/>
  <c r="AX255" i="2"/>
  <c r="AX256" i="2" s="1"/>
  <c r="AX270" i="2" s="1"/>
  <c r="AM208" i="2"/>
  <c r="I281" i="2"/>
  <c r="J201" i="2"/>
  <c r="AC179" i="2"/>
  <c r="AB287" i="2"/>
  <c r="BQ63" i="1" s="1"/>
  <c r="AA287" i="2"/>
  <c r="V274" i="2"/>
  <c r="V275" i="2"/>
  <c r="R9" i="2"/>
  <c r="BM14" i="1" s="1"/>
  <c r="AS281" i="2"/>
  <c r="Y201" i="2"/>
  <c r="AW155" i="2"/>
  <c r="AV155" i="2"/>
  <c r="AG242" i="2"/>
  <c r="AQ202" i="2"/>
  <c r="N169" i="2"/>
  <c r="V202" i="2"/>
  <c r="H148" i="2"/>
  <c r="AR287" i="2"/>
  <c r="AZ294" i="2"/>
  <c r="AF144" i="2"/>
  <c r="AH236" i="2"/>
  <c r="AI236" i="2"/>
  <c r="AT292" i="2"/>
  <c r="M243" i="2"/>
  <c r="AP293" i="2"/>
  <c r="V16" i="2"/>
  <c r="T34" i="2"/>
  <c r="AP280" i="2"/>
  <c r="Z161" i="2"/>
  <c r="AX138" i="2"/>
  <c r="X161" i="2"/>
  <c r="AM42" i="2"/>
  <c r="AM265" i="2" s="1"/>
  <c r="AT161" i="2"/>
  <c r="Y5" i="2"/>
  <c r="G299" i="2"/>
  <c r="F64" i="1" s="1"/>
  <c r="Q140" i="2"/>
  <c r="D47" i="2"/>
  <c r="AK239" i="2"/>
  <c r="AO150" i="2"/>
  <c r="AP150" i="2"/>
  <c r="D59" i="2"/>
  <c r="AQ205" i="2"/>
  <c r="AJ292" i="2"/>
  <c r="AG280" i="2"/>
  <c r="AN207" i="2"/>
  <c r="T281" i="2"/>
  <c r="Y154" i="2"/>
  <c r="BC234" i="2"/>
  <c r="H302" i="2"/>
  <c r="N166" i="2"/>
  <c r="AR282" i="2"/>
  <c r="AG299" i="2"/>
  <c r="BD253" i="2"/>
  <c r="BK254" i="2" s="1"/>
  <c r="BK269" i="2" s="1"/>
  <c r="BC253" i="2"/>
  <c r="AP42" i="2"/>
  <c r="AP265" i="2" s="1"/>
  <c r="AY302" i="2"/>
  <c r="P205" i="2"/>
  <c r="AE166" i="2"/>
  <c r="D57" i="2"/>
  <c r="D260" i="2" s="1"/>
  <c r="AE294" i="2"/>
  <c r="AJ234" i="2"/>
  <c r="AE49" i="2"/>
  <c r="M49" i="2"/>
  <c r="AV202" i="2"/>
  <c r="AW202" i="2"/>
  <c r="J255" i="2"/>
  <c r="AB226" i="2"/>
  <c r="F57" i="2"/>
  <c r="AF238" i="2"/>
  <c r="K298" i="2"/>
  <c r="L202" i="2"/>
  <c r="H292" i="2"/>
  <c r="H203" i="2"/>
  <c r="BD298" i="2"/>
  <c r="AK18" i="2"/>
  <c r="T242" i="2"/>
  <c r="AX302" i="2"/>
  <c r="N168" i="2"/>
  <c r="O302" i="2"/>
  <c r="AG155" i="2"/>
  <c r="N45" i="2"/>
  <c r="D298" i="2"/>
  <c r="AG45" i="2"/>
  <c r="AG266" i="2" s="1"/>
  <c r="W46" i="2"/>
  <c r="E283" i="2"/>
  <c r="AB16" i="2"/>
  <c r="H293" i="2"/>
  <c r="AC45" i="2"/>
  <c r="AC266" i="2" s="1"/>
  <c r="E217" i="2"/>
  <c r="Z45" i="2"/>
  <c r="Z266" i="2" s="1"/>
  <c r="H216" i="2"/>
  <c r="AQ291" i="2"/>
  <c r="N281" i="2"/>
  <c r="AG233" i="2"/>
  <c r="Z47" i="2"/>
  <c r="BD277" i="2"/>
  <c r="BU60" i="1" s="1"/>
  <c r="BC277" i="2"/>
  <c r="AD284" i="2"/>
  <c r="W207" i="2"/>
  <c r="AK41" i="2"/>
  <c r="BA233" i="2"/>
  <c r="AH302" i="2"/>
  <c r="AI302" i="2"/>
  <c r="AG202" i="2"/>
  <c r="AK5" i="2"/>
  <c r="J213" i="2"/>
  <c r="AR14" i="2"/>
  <c r="T209" i="2"/>
  <c r="W230" i="2"/>
  <c r="F210" i="2"/>
  <c r="X55" i="2"/>
  <c r="BD49" i="2"/>
  <c r="AM47" i="2"/>
  <c r="Q280" i="2"/>
  <c r="M284" i="2"/>
  <c r="AJ62" i="1" s="1"/>
  <c r="G45" i="2"/>
  <c r="AF280" i="2"/>
  <c r="AI195" i="2"/>
  <c r="AH195" i="2"/>
  <c r="AW204" i="2"/>
  <c r="AV243" i="2"/>
  <c r="AW243" i="2"/>
  <c r="AG150" i="2"/>
  <c r="T201" i="2"/>
  <c r="W144" i="2"/>
  <c r="BC282" i="2"/>
  <c r="BD282" i="2"/>
  <c r="E140" i="2"/>
  <c r="V206" i="2"/>
  <c r="AT216" i="2"/>
  <c r="BA208" i="2"/>
  <c r="Y41" i="2"/>
  <c r="N138" i="2"/>
  <c r="AK49" i="2"/>
  <c r="AX241" i="2"/>
  <c r="AL280" i="2"/>
  <c r="AJ45" i="2"/>
  <c r="AJ266" i="2" s="1"/>
  <c r="AR16" i="2"/>
  <c r="AP57" i="2"/>
  <c r="V49" i="2"/>
  <c r="AM14" i="2"/>
  <c r="AY57" i="2"/>
  <c r="AY260" i="2" s="1"/>
  <c r="V294" i="2"/>
  <c r="AS49" i="2"/>
  <c r="R14" i="2"/>
  <c r="AW193" i="2"/>
  <c r="AW210" i="2"/>
  <c r="O236" i="2"/>
  <c r="AS363" i="2"/>
  <c r="Q255" i="2"/>
  <c r="S238" i="2"/>
  <c r="BA154" i="2"/>
  <c r="Y155" i="2"/>
  <c r="Z241" i="2"/>
  <c r="G280" i="2"/>
  <c r="AT239" i="2"/>
  <c r="AM55" i="2"/>
  <c r="AX7" i="2"/>
  <c r="K281" i="2"/>
  <c r="AQ149" i="2"/>
  <c r="AG144" i="2"/>
  <c r="E34" i="2"/>
  <c r="AE201" i="2"/>
  <c r="AD161" i="2"/>
  <c r="S293" i="2"/>
  <c r="I154" i="2"/>
  <c r="AQ148" i="2"/>
  <c r="AB282" i="2"/>
  <c r="AA282" i="2"/>
  <c r="AS282" i="2"/>
  <c r="E45" i="2"/>
  <c r="E266" i="2" s="1"/>
  <c r="AQ230" i="2"/>
  <c r="AS5" i="2"/>
  <c r="AG159" i="2"/>
  <c r="AY152" i="2"/>
  <c r="AU230" i="2"/>
  <c r="AO234" i="2"/>
  <c r="AX240" i="2"/>
  <c r="AS237" i="2"/>
  <c r="AE207" i="2"/>
  <c r="AM233" i="2"/>
  <c r="AN203" i="2"/>
  <c r="AR179" i="2"/>
  <c r="M138" i="2"/>
  <c r="X57" i="2"/>
  <c r="X260" i="2" s="1"/>
  <c r="AR154" i="2"/>
  <c r="AQ236" i="2"/>
  <c r="AP50" i="2"/>
  <c r="BC161" i="2"/>
  <c r="BD161" i="2"/>
  <c r="BL161" i="2" s="1"/>
  <c r="BM161" i="2" s="1"/>
  <c r="BN161" i="2" s="1"/>
  <c r="BO161" i="2" s="1"/>
  <c r="BP161" i="2" s="1"/>
  <c r="BQ161" i="2" s="1"/>
  <c r="BR161" i="2" s="1"/>
  <c r="U295" i="2"/>
  <c r="AU291" i="2"/>
  <c r="AS298" i="2"/>
  <c r="U161" i="2"/>
  <c r="K282" i="2"/>
  <c r="M140" i="2"/>
  <c r="M225" i="2" s="1"/>
  <c r="M227" i="2" s="1"/>
  <c r="S5" i="2"/>
  <c r="Q144" i="2"/>
  <c r="Y57" i="2"/>
  <c r="Y260" i="2" s="1"/>
  <c r="AR255" i="2"/>
  <c r="AU16" i="2"/>
  <c r="AA148" i="2"/>
  <c r="AB148" i="2"/>
  <c r="Y18" i="2"/>
  <c r="R302" i="2"/>
  <c r="AE284" i="2"/>
  <c r="AY208" i="2"/>
  <c r="AP41" i="2"/>
  <c r="AC232" i="2"/>
  <c r="AE283" i="2"/>
  <c r="Q298" i="2"/>
  <c r="AJ284" i="2"/>
  <c r="O311" i="2"/>
  <c r="AZ153" i="2"/>
  <c r="X14" i="2"/>
  <c r="AI14" i="2"/>
  <c r="AE5" i="2"/>
  <c r="AE21" i="2" s="1"/>
  <c r="X34" i="2"/>
  <c r="AE230" i="2"/>
  <c r="AG161" i="2"/>
  <c r="N302" i="2"/>
  <c r="AL243" i="2"/>
  <c r="Z57" i="2"/>
  <c r="Z260" i="2" s="1"/>
  <c r="AD240" i="2"/>
  <c r="BB140" i="2"/>
  <c r="AN282" i="2"/>
  <c r="D195" i="2"/>
  <c r="AJ155" i="2"/>
  <c r="AB9" i="2"/>
  <c r="AK281" i="2"/>
  <c r="AQ206" i="2"/>
  <c r="AT237" i="2"/>
  <c r="AX151" i="2"/>
  <c r="AN41" i="2"/>
  <c r="G57" i="2"/>
  <c r="I47" i="2"/>
  <c r="BD138" i="2"/>
  <c r="BC138" i="2"/>
  <c r="AN140" i="2"/>
  <c r="AS232" i="2"/>
  <c r="V287" i="2"/>
  <c r="AX34" i="2"/>
  <c r="I5" i="2"/>
  <c r="AK363" i="2"/>
  <c r="X233" i="2"/>
  <c r="Z233" i="2"/>
  <c r="AN235" i="2"/>
  <c r="N213" i="2"/>
  <c r="AT282" i="2"/>
  <c r="W363" i="2"/>
  <c r="L232" i="2"/>
  <c r="K169" i="2"/>
  <c r="K174" i="2" s="1"/>
  <c r="AM204" i="2"/>
  <c r="L238" i="2"/>
  <c r="U232" i="2"/>
  <c r="D151" i="2"/>
  <c r="P42" i="2"/>
  <c r="P265" i="2" s="1"/>
  <c r="T150" i="2"/>
  <c r="AL204" i="2"/>
  <c r="AG232" i="2"/>
  <c r="K148" i="2"/>
  <c r="R284" i="2"/>
  <c r="BM62" i="1" s="1"/>
  <c r="N16" i="2"/>
  <c r="L235" i="2"/>
  <c r="L181" i="2"/>
  <c r="U201" i="2"/>
  <c r="J149" i="2"/>
  <c r="AJ217" i="2"/>
  <c r="S283" i="2"/>
  <c r="O152" i="2"/>
  <c r="BA148" i="2"/>
  <c r="S281" i="2"/>
  <c r="T156" i="2"/>
  <c r="AM213" i="2"/>
  <c r="V302" i="2"/>
  <c r="Q243" i="2"/>
  <c r="R202" i="2"/>
  <c r="AH148" i="2"/>
  <c r="AI148" i="2"/>
  <c r="AZ213" i="2"/>
  <c r="AC34" i="2"/>
  <c r="AZ277" i="2"/>
  <c r="N55" i="2"/>
  <c r="AQ35" i="1" s="1"/>
  <c r="AW181" i="2"/>
  <c r="AP193" i="2"/>
  <c r="AP210" i="2"/>
  <c r="W208" i="2"/>
  <c r="AX47" i="2"/>
  <c r="AY153" i="2"/>
  <c r="X206" i="2"/>
  <c r="D154" i="2"/>
  <c r="AT287" i="2"/>
  <c r="D283" i="2"/>
  <c r="V9" i="2"/>
  <c r="E239" i="2"/>
  <c r="AN202" i="2"/>
  <c r="AK243" i="2"/>
  <c r="AJ216" i="2"/>
  <c r="BA152" i="2"/>
  <c r="AR253" i="2"/>
  <c r="AN294" i="2"/>
  <c r="AI177" i="2"/>
  <c r="AH177" i="2"/>
  <c r="AH156" i="2"/>
  <c r="AI156" i="2"/>
  <c r="J42" i="2"/>
  <c r="J265" i="2" s="1"/>
  <c r="AO217" i="2"/>
  <c r="AP217" i="2"/>
  <c r="U14" i="2"/>
  <c r="AM34" i="2"/>
  <c r="U299" i="2"/>
  <c r="BP64" i="1" s="1"/>
  <c r="AW59" i="2"/>
  <c r="BA16" i="2"/>
  <c r="AD153" i="2"/>
  <c r="BA295" i="2"/>
  <c r="I233" i="2"/>
  <c r="W274" i="2"/>
  <c r="W275" i="2"/>
  <c r="AD277" i="2"/>
  <c r="M213" i="2"/>
  <c r="AL50" i="2"/>
  <c r="P236" i="2"/>
  <c r="AE156" i="2"/>
  <c r="AS295" i="2"/>
  <c r="AQ41" i="2"/>
  <c r="T283" i="2"/>
  <c r="AN255" i="2"/>
  <c r="L154" i="2"/>
  <c r="AQ47" i="2"/>
  <c r="W240" i="2"/>
  <c r="AM238" i="2"/>
  <c r="I144" i="2"/>
  <c r="AF7" i="2"/>
  <c r="E161" i="2"/>
  <c r="H45" i="2"/>
  <c r="AQ201" i="2"/>
  <c r="AK149" i="2"/>
  <c r="AR230" i="2"/>
  <c r="BA149" i="2"/>
  <c r="AQ150" i="2"/>
  <c r="AU202" i="2"/>
  <c r="AL42" i="2"/>
  <c r="AL265" i="2" s="1"/>
  <c r="AT203" i="2"/>
  <c r="D50" i="2"/>
  <c r="R161" i="2"/>
  <c r="AK156" i="2"/>
  <c r="BB5" i="2"/>
  <c r="D208" i="2"/>
  <c r="U45" i="2"/>
  <c r="AB153" i="2"/>
  <c r="AA153" i="2"/>
  <c r="W149" i="2"/>
  <c r="J278" i="2"/>
  <c r="O61" i="1" s="1"/>
  <c r="AF18" i="2"/>
  <c r="AZ299" i="2"/>
  <c r="BC292" i="2"/>
  <c r="BD292" i="2"/>
  <c r="AU208" i="2"/>
  <c r="AE16" i="2"/>
  <c r="F153" i="2"/>
  <c r="Z280" i="2"/>
  <c r="J295" i="2"/>
  <c r="U287" i="2"/>
  <c r="BP63" i="1" s="1"/>
  <c r="T312" i="2"/>
  <c r="AY311" i="2" s="1"/>
  <c r="AN277" i="2"/>
  <c r="G150" i="2"/>
  <c r="AU161" i="2"/>
  <c r="AZ9" i="2"/>
  <c r="AH144" i="2"/>
  <c r="AH70" i="2" s="1"/>
  <c r="AI144" i="2"/>
  <c r="D177" i="2"/>
  <c r="Z240" i="2"/>
  <c r="AO151" i="2"/>
  <c r="AP151" i="2"/>
  <c r="V280" i="2"/>
  <c r="J242" i="2"/>
  <c r="AQ216" i="2"/>
  <c r="AB18" i="2"/>
  <c r="AQ302" i="2"/>
  <c r="N193" i="2"/>
  <c r="F311" i="2"/>
  <c r="AK207" i="2"/>
  <c r="AD34" i="2"/>
  <c r="AD264" i="2" s="1"/>
  <c r="AH292" i="2"/>
  <c r="AI292" i="2"/>
  <c r="AI41" i="2"/>
  <c r="AU295" i="2"/>
  <c r="AB281" i="2"/>
  <c r="AA281" i="2"/>
  <c r="K14" i="2"/>
  <c r="D9" i="2"/>
  <c r="AY204" i="2"/>
  <c r="S292" i="2"/>
  <c r="J22" i="2"/>
  <c r="J20" i="2" s="1"/>
  <c r="J261" i="2"/>
  <c r="O283" i="2"/>
  <c r="AY295" i="2"/>
  <c r="AJ236" i="2"/>
  <c r="BA41" i="2"/>
  <c r="Y14" i="2"/>
  <c r="AJ41" i="2"/>
  <c r="AP55" i="2"/>
  <c r="BS35" i="1" s="1"/>
  <c r="T144" i="2"/>
  <c r="BD204" i="2"/>
  <c r="BK360" i="2" s="1"/>
  <c r="G25" i="28" s="1"/>
  <c r="AL283" i="2"/>
  <c r="AG154" i="2"/>
  <c r="AZ18" i="2"/>
  <c r="AK217" i="2"/>
  <c r="AU59" i="2"/>
  <c r="AI280" i="2"/>
  <c r="AH280" i="2"/>
  <c r="H34" i="2"/>
  <c r="BA153" i="2"/>
  <c r="F150" i="2"/>
  <c r="O312" i="2"/>
  <c r="Y287" i="2"/>
  <c r="Y292" i="2"/>
  <c r="J205" i="2"/>
  <c r="AB150" i="2"/>
  <c r="AA150" i="2"/>
  <c r="AE239" i="2"/>
  <c r="BB208" i="2"/>
  <c r="O298" i="2"/>
  <c r="AF233" i="2"/>
  <c r="X294" i="2"/>
  <c r="AL232" i="2"/>
  <c r="W138" i="2"/>
  <c r="AB292" i="2"/>
  <c r="AA292" i="2"/>
  <c r="BC284" i="2"/>
  <c r="BD284" i="2"/>
  <c r="BU62" i="1" s="1"/>
  <c r="BB155" i="2"/>
  <c r="N292" i="2"/>
  <c r="Y7" i="2"/>
  <c r="H283" i="2"/>
  <c r="AS206" i="2"/>
  <c r="N177" i="2"/>
  <c r="AY277" i="2"/>
  <c r="AZ230" i="2"/>
  <c r="R207" i="2"/>
  <c r="AM202" i="2"/>
  <c r="S34" i="2"/>
  <c r="BN31" i="1" s="1"/>
  <c r="AI9" i="2"/>
  <c r="V7" i="2"/>
  <c r="AN5" i="2"/>
  <c r="V216" i="2"/>
  <c r="W166" i="2"/>
  <c r="AL241" i="2"/>
  <c r="BA159" i="2"/>
  <c r="AQ295" i="2"/>
  <c r="L156" i="2"/>
  <c r="V282" i="2"/>
  <c r="S203" i="2"/>
  <c r="AJ138" i="2"/>
  <c r="X177" i="2"/>
  <c r="BB204" i="2"/>
  <c r="AC18" i="2"/>
  <c r="G140" i="2"/>
  <c r="AM287" i="2"/>
  <c r="AP144" i="2"/>
  <c r="AO144" i="2"/>
  <c r="AO70" i="2" s="1"/>
  <c r="Y153" i="2"/>
  <c r="Q206" i="2"/>
  <c r="AU240" i="2"/>
  <c r="E242" i="2"/>
  <c r="U182" i="2"/>
  <c r="AL201" i="2"/>
  <c r="P240" i="2"/>
  <c r="AM138" i="2"/>
  <c r="N148" i="2"/>
  <c r="T55" i="2"/>
  <c r="BO35" i="1" s="1"/>
  <c r="I213" i="2"/>
  <c r="I333" i="2" s="1"/>
  <c r="F298" i="2"/>
  <c r="AC209" i="2"/>
  <c r="U253" i="2"/>
  <c r="S138" i="2"/>
  <c r="AC156" i="2"/>
  <c r="AL59" i="2"/>
  <c r="AL259" i="2" s="1"/>
  <c r="AU149" i="2"/>
  <c r="G261" i="2"/>
  <c r="G22" i="2"/>
  <c r="G20" i="2" s="1"/>
  <c r="I203" i="2"/>
  <c r="U203" i="2"/>
  <c r="AJ240" i="2"/>
  <c r="P34" i="2"/>
  <c r="J148" i="2"/>
  <c r="Z202" i="2"/>
  <c r="V59" i="2"/>
  <c r="Z299" i="2"/>
  <c r="V241" i="2"/>
  <c r="AI59" i="2"/>
  <c r="I179" i="2"/>
  <c r="AL34" i="2"/>
  <c r="AN236" i="2"/>
  <c r="AQ179" i="2"/>
  <c r="BC363" i="2"/>
  <c r="BD363" i="2"/>
  <c r="H312" i="2"/>
  <c r="S7" i="2"/>
  <c r="R50" i="2"/>
  <c r="E232" i="2"/>
  <c r="K144" i="2"/>
  <c r="X282" i="2"/>
  <c r="AT253" i="2"/>
  <c r="AH243" i="2"/>
  <c r="AI243" i="2"/>
  <c r="Z274" i="2"/>
  <c r="Z275" i="2"/>
  <c r="AF292" i="2"/>
  <c r="AJ281" i="2"/>
  <c r="L59" i="2"/>
  <c r="V57" i="2"/>
  <c r="V260" i="2" s="1"/>
  <c r="E205" i="2"/>
  <c r="AK206" i="2"/>
  <c r="AE209" i="2"/>
  <c r="AW18" i="2"/>
  <c r="M299" i="2"/>
  <c r="AJ64" i="1" s="1"/>
  <c r="AU204" i="2"/>
  <c r="O235" i="2"/>
  <c r="D161" i="2"/>
  <c r="AK151" i="2"/>
  <c r="AX41" i="2"/>
  <c r="BA166" i="2"/>
  <c r="AD50" i="2"/>
  <c r="T204" i="2"/>
  <c r="N294" i="2"/>
  <c r="W206" i="2"/>
  <c r="AM294" i="2"/>
  <c r="AS154" i="2"/>
  <c r="AZ208" i="2"/>
  <c r="AW168" i="2"/>
  <c r="AX234" i="2"/>
  <c r="V235" i="2"/>
  <c r="X216" i="2"/>
  <c r="R155" i="2"/>
  <c r="AT294" i="2"/>
  <c r="T277" i="2"/>
  <c r="BB239" i="2"/>
  <c r="AO295" i="2"/>
  <c r="AP295" i="2"/>
  <c r="D179" i="2"/>
  <c r="BB45" i="2"/>
  <c r="BB266" i="2" s="1"/>
  <c r="AX282" i="2"/>
  <c r="AL155" i="2"/>
  <c r="AB236" i="2"/>
  <c r="AA236" i="2"/>
  <c r="AT151" i="2"/>
  <c r="AG140" i="2"/>
  <c r="F55" i="2"/>
  <c r="E35" i="1" s="1"/>
  <c r="AN240" i="2"/>
  <c r="BB299" i="2"/>
  <c r="K55" i="2"/>
  <c r="V35" i="1" s="1"/>
  <c r="Y284" i="2"/>
  <c r="D149" i="2"/>
  <c r="BC280" i="2"/>
  <c r="BD280" i="2"/>
  <c r="AU55" i="2"/>
  <c r="Q179" i="2"/>
  <c r="AE298" i="2"/>
  <c r="I42" i="2"/>
  <c r="I265" i="2" s="1"/>
  <c r="O148" i="2"/>
  <c r="R55" i="2"/>
  <c r="BM35" i="1" s="1"/>
  <c r="AX140" i="2"/>
  <c r="T253" i="2"/>
  <c r="Q302" i="2"/>
  <c r="AQ235" i="2"/>
  <c r="L177" i="2"/>
  <c r="N239" i="2"/>
  <c r="AY282" i="2"/>
  <c r="AM237" i="2"/>
  <c r="AU302" i="2"/>
  <c r="K217" i="2"/>
  <c r="AR209" i="2"/>
  <c r="Q201" i="2"/>
  <c r="X155" i="2"/>
  <c r="G149" i="2"/>
  <c r="E298" i="2"/>
  <c r="AZ233" i="2"/>
  <c r="O293" i="2"/>
  <c r="G255" i="2"/>
  <c r="M144" i="2"/>
  <c r="V213" i="2"/>
  <c r="AF179" i="2"/>
  <c r="N210" i="2"/>
  <c r="BB206" i="2"/>
  <c r="R49" i="2"/>
  <c r="P59" i="2"/>
  <c r="AY299" i="2"/>
  <c r="AZ255" i="2"/>
  <c r="AK179" i="2"/>
  <c r="S277" i="2"/>
  <c r="N216" i="2"/>
  <c r="H202" i="2"/>
  <c r="AC234" i="2"/>
  <c r="AM149" i="2"/>
  <c r="D152" i="2"/>
  <c r="D144" i="2"/>
  <c r="G293" i="2"/>
  <c r="AL150" i="2"/>
  <c r="AN159" i="2"/>
  <c r="L201" i="2"/>
  <c r="AJ204" i="2"/>
  <c r="BB236" i="2"/>
  <c r="AX206" i="2"/>
  <c r="AE18" i="2"/>
  <c r="AS55" i="2"/>
  <c r="S287" i="2"/>
  <c r="BN63" i="1" s="1"/>
  <c r="AE153" i="2"/>
  <c r="AK209" i="2"/>
  <c r="L148" i="2"/>
  <c r="F59" i="2"/>
  <c r="M16" i="2"/>
  <c r="AR50" i="2"/>
  <c r="AU217" i="2"/>
  <c r="AS238" i="2"/>
  <c r="AP242" i="2"/>
  <c r="AO242" i="2"/>
  <c r="AU166" i="2"/>
  <c r="P156" i="2"/>
  <c r="Z281" i="2"/>
  <c r="O161" i="2"/>
  <c r="AP253" i="2"/>
  <c r="AO253" i="2"/>
  <c r="L140" i="2"/>
  <c r="I166" i="2"/>
  <c r="I170" i="2" s="1"/>
  <c r="BA241" i="2"/>
  <c r="F148" i="2"/>
  <c r="J293" i="2"/>
  <c r="AJ277" i="2"/>
  <c r="U208" i="2"/>
  <c r="AF294" i="2"/>
  <c r="BC294" i="2"/>
  <c r="BD294" i="2"/>
  <c r="D311" i="2"/>
  <c r="AY284" i="2"/>
  <c r="AR138" i="2"/>
  <c r="BD230" i="2"/>
  <c r="BC230" i="2"/>
  <c r="AD159" i="2"/>
  <c r="AL5" i="2"/>
  <c r="W5" i="2"/>
  <c r="AA255" i="2"/>
  <c r="AB255" i="2"/>
  <c r="V277" i="2"/>
  <c r="AB57" i="2"/>
  <c r="BB153" i="2"/>
  <c r="AJ166" i="2"/>
  <c r="O295" i="2"/>
  <c r="AZ166" i="2"/>
  <c r="H149" i="2"/>
  <c r="X150" i="2"/>
  <c r="P151" i="2"/>
  <c r="AD299" i="2"/>
  <c r="R206" i="2"/>
  <c r="V14" i="2"/>
  <c r="AP296" i="2"/>
  <c r="AP222" i="2"/>
  <c r="S149" i="2"/>
  <c r="AR148" i="2"/>
  <c r="U216" i="2"/>
  <c r="T208" i="2"/>
  <c r="T284" i="2"/>
  <c r="BO62" i="1" s="1"/>
  <c r="AB59" i="2"/>
  <c r="BQ39" i="1" s="1"/>
  <c r="Q49" i="2"/>
  <c r="AN153" i="2"/>
  <c r="U55" i="2"/>
  <c r="BP35" i="1" s="1"/>
  <c r="J155" i="2"/>
  <c r="AP201" i="2"/>
  <c r="AO201" i="2"/>
  <c r="AL287" i="2"/>
  <c r="AB204" i="2"/>
  <c r="AI154" i="2"/>
  <c r="AH154" i="2"/>
  <c r="P213" i="2"/>
  <c r="H241" i="2"/>
  <c r="E277" i="2"/>
  <c r="E191" i="2" s="1"/>
  <c r="E353" i="2" s="1"/>
  <c r="L253" i="2"/>
  <c r="AI5" i="2"/>
  <c r="AX237" i="2"/>
  <c r="I238" i="2"/>
  <c r="AB156" i="2"/>
  <c r="AA156" i="2"/>
  <c r="L182" i="2"/>
  <c r="AE193" i="2"/>
  <c r="AE210" i="2"/>
  <c r="AT213" i="2"/>
  <c r="AE50" i="2"/>
  <c r="Z363" i="2"/>
  <c r="AW46" i="2"/>
  <c r="S284" i="2"/>
  <c r="BN62" i="1" s="1"/>
  <c r="AJ232" i="2"/>
  <c r="V299" i="2"/>
  <c r="Z287" i="2"/>
  <c r="AL295" i="2"/>
  <c r="N7" i="2"/>
  <c r="AQ12" i="1" s="1"/>
  <c r="AL47" i="2"/>
  <c r="AU287" i="2"/>
  <c r="T195" i="2"/>
  <c r="Y16" i="2"/>
  <c r="AS302" i="2"/>
  <c r="AF216" i="2"/>
  <c r="BC238" i="2"/>
  <c r="BD238" i="2"/>
  <c r="BB292" i="2"/>
  <c r="J150" i="2"/>
  <c r="BA204" i="2"/>
  <c r="AP202" i="2"/>
  <c r="AO202" i="2"/>
  <c r="E294" i="2"/>
  <c r="AM209" i="2"/>
  <c r="K153" i="2"/>
  <c r="AP283" i="2"/>
  <c r="AJ241" i="2"/>
  <c r="I230" i="2"/>
  <c r="J281" i="2"/>
  <c r="O138" i="2"/>
  <c r="O130" i="2" s="1"/>
  <c r="U169" i="2"/>
  <c r="AK144" i="2"/>
  <c r="L152" i="2"/>
  <c r="AD241" i="2"/>
  <c r="G201" i="2"/>
  <c r="AT277" i="2"/>
  <c r="AH152" i="2"/>
  <c r="AI152" i="2"/>
  <c r="BA138" i="2"/>
  <c r="AI205" i="2"/>
  <c r="AH205" i="2"/>
  <c r="S237" i="2"/>
  <c r="R149" i="2"/>
  <c r="AW230" i="2"/>
  <c r="D243" i="2"/>
  <c r="S312" i="2"/>
  <c r="AX311" i="2" s="1"/>
  <c r="AQ255" i="2"/>
  <c r="AN287" i="2"/>
  <c r="AK59" i="2"/>
  <c r="L274" i="2"/>
  <c r="L275" i="2"/>
  <c r="AC59" i="1" s="1"/>
  <c r="AD202" i="2"/>
  <c r="AP16" i="2"/>
  <c r="D15" i="28"/>
  <c r="O243" i="2"/>
  <c r="AR177" i="2"/>
  <c r="H277" i="2"/>
  <c r="Q237" i="2"/>
  <c r="D140" i="2"/>
  <c r="V179" i="2"/>
  <c r="AY234" i="2"/>
  <c r="AR155" i="2"/>
  <c r="AZ287" i="2"/>
  <c r="AQ138" i="2"/>
  <c r="AZ7" i="2"/>
  <c r="AD237" i="2"/>
  <c r="BA14" i="2"/>
  <c r="T45" i="2"/>
  <c r="AC216" i="2"/>
  <c r="AS204" i="2"/>
  <c r="AG50" i="2"/>
  <c r="F5" i="2"/>
  <c r="AZ140" i="2"/>
  <c r="AJ253" i="2"/>
  <c r="AR363" i="2"/>
  <c r="AM18" i="2"/>
  <c r="Q161" i="2"/>
  <c r="AR239" i="2"/>
  <c r="O179" i="2"/>
  <c r="L261" i="2"/>
  <c r="L22" i="2"/>
  <c r="L20" i="2" s="1"/>
  <c r="AV152" i="2"/>
  <c r="AW152" i="2"/>
  <c r="Z148" i="2"/>
  <c r="Q233" i="2"/>
  <c r="L42" i="2"/>
  <c r="L265" i="2" s="1"/>
  <c r="F45" i="2"/>
  <c r="BA9" i="2"/>
  <c r="AY238" i="2"/>
  <c r="BB49" i="2"/>
  <c r="AB155" i="2"/>
  <c r="AA155" i="2"/>
  <c r="AS138" i="2"/>
  <c r="AG236" i="2"/>
  <c r="AM49" i="2"/>
  <c r="AC230" i="2"/>
  <c r="AP298" i="2"/>
  <c r="AY217" i="2"/>
  <c r="U291" i="2"/>
  <c r="BP65" i="1" s="1"/>
  <c r="AC203" i="2"/>
  <c r="K230" i="2"/>
  <c r="BD9" i="2"/>
  <c r="AJ148" i="2"/>
  <c r="AJ230" i="2"/>
  <c r="U195" i="2"/>
  <c r="R283" i="2"/>
  <c r="X240" i="2"/>
  <c r="AZ240" i="2"/>
  <c r="E154" i="2"/>
  <c r="AZ159" i="2"/>
  <c r="AJ47" i="2"/>
  <c r="AL281" i="2"/>
  <c r="G291" i="2"/>
  <c r="F65" i="1" s="1"/>
  <c r="H50" i="2"/>
  <c r="I155" i="2"/>
  <c r="V159" i="2"/>
  <c r="AV236" i="2"/>
  <c r="AW236" i="2"/>
  <c r="AN204" i="2"/>
  <c r="AQ234" i="2"/>
  <c r="AN156" i="2"/>
  <c r="BD5" i="2"/>
  <c r="N240" i="2"/>
  <c r="AF277" i="2"/>
  <c r="W280" i="2"/>
  <c r="D193" i="2"/>
  <c r="AQ253" i="2"/>
  <c r="E237" i="2"/>
  <c r="AZ253" i="2"/>
  <c r="AC195" i="2"/>
  <c r="BC232" i="2"/>
  <c r="BD232" i="2"/>
  <c r="AY144" i="2"/>
  <c r="AX207" i="2"/>
  <c r="BA255" i="2"/>
  <c r="N241" i="2"/>
  <c r="AV312" i="2"/>
  <c r="AW312" i="2"/>
  <c r="AO206" i="2"/>
  <c r="AP206" i="2"/>
  <c r="Z179" i="2"/>
  <c r="F282" i="2"/>
  <c r="G161" i="2"/>
  <c r="AA239" i="2"/>
  <c r="AB239" i="2"/>
  <c r="BD237" i="2"/>
  <c r="BC237" i="2"/>
  <c r="I253" i="2"/>
  <c r="AS140" i="2"/>
  <c r="AN150" i="2"/>
  <c r="AI206" i="2"/>
  <c r="AH206" i="2"/>
  <c r="AI298" i="2"/>
  <c r="AJ213" i="2"/>
  <c r="W253" i="2"/>
  <c r="W254" i="2" s="1"/>
  <c r="W269" i="2" s="1"/>
  <c r="V207" i="2"/>
  <c r="AU234" i="2"/>
  <c r="Y213" i="2"/>
  <c r="AY294" i="2"/>
  <c r="E177" i="2"/>
  <c r="D302" i="2"/>
  <c r="D236" i="2"/>
  <c r="AJ177" i="2"/>
  <c r="BD155" i="2"/>
  <c r="BC155" i="2"/>
  <c r="P153" i="2"/>
  <c r="AD209" i="2"/>
  <c r="BA284" i="2"/>
  <c r="Q34" i="2"/>
  <c r="AF45" i="2"/>
  <c r="AF266" i="2" s="1"/>
  <c r="D239" i="2"/>
  <c r="AT5" i="2"/>
  <c r="L9" i="2"/>
  <c r="AB169" i="2"/>
  <c r="AY149" i="2"/>
  <c r="AI169" i="2"/>
  <c r="Q293" i="2"/>
  <c r="H150" i="2"/>
  <c r="AR238" i="2"/>
  <c r="D202" i="2"/>
  <c r="AZ34" i="2"/>
  <c r="AX152" i="2"/>
  <c r="R159" i="2"/>
  <c r="N291" i="2"/>
  <c r="AQ65" i="1" s="1"/>
  <c r="AZ204" i="2"/>
  <c r="BG360" i="2" s="1"/>
  <c r="J161" i="2"/>
  <c r="AY5" i="2"/>
  <c r="O255" i="2"/>
  <c r="O256" i="2" s="1"/>
  <c r="O270" i="2" s="1"/>
  <c r="W277" i="2"/>
  <c r="AE148" i="2"/>
  <c r="AZ150" i="2"/>
  <c r="Y209" i="2"/>
  <c r="W140" i="2"/>
  <c r="AU209" i="2"/>
  <c r="T42" i="2"/>
  <c r="T265" i="2" s="1"/>
  <c r="BB281" i="2"/>
  <c r="L5" i="2"/>
  <c r="AY241" i="2"/>
  <c r="R242" i="2"/>
  <c r="E287" i="2"/>
  <c r="AX209" i="2"/>
  <c r="AW47" i="2"/>
  <c r="AV47" i="2"/>
  <c r="S239" i="2"/>
  <c r="Y205" i="2"/>
  <c r="T298" i="2"/>
  <c r="AH299" i="2"/>
  <c r="AI299" i="2"/>
  <c r="BR64" i="1" s="1"/>
  <c r="D216" i="2"/>
  <c r="O274" i="2"/>
  <c r="O275" i="2"/>
  <c r="AP45" i="2"/>
  <c r="K206" i="2"/>
  <c r="M208" i="2"/>
  <c r="BA18" i="2"/>
  <c r="M291" i="2"/>
  <c r="AJ65" i="1" s="1"/>
  <c r="G312" i="2"/>
  <c r="AY209" i="2"/>
  <c r="U202" i="2"/>
  <c r="L153" i="2"/>
  <c r="AB14" i="2"/>
  <c r="T47" i="2"/>
  <c r="AQ7" i="2"/>
  <c r="AC148" i="2"/>
  <c r="L311" i="2"/>
  <c r="BD169" i="2"/>
  <c r="BK174" i="2" s="1"/>
  <c r="Z154" i="2"/>
  <c r="AJ9" i="2"/>
  <c r="AU299" i="2"/>
  <c r="AG213" i="2"/>
  <c r="X41" i="2"/>
  <c r="T49" i="2"/>
  <c r="N206" i="2"/>
  <c r="G49" i="2"/>
  <c r="W232" i="2"/>
  <c r="AT149" i="2"/>
  <c r="R195" i="2"/>
  <c r="AT41" i="2"/>
  <c r="N161" i="2"/>
  <c r="L195" i="2"/>
  <c r="AY205" i="2"/>
  <c r="R144" i="2"/>
  <c r="BA237" i="2"/>
  <c r="L206" i="2"/>
  <c r="AI7" i="2"/>
  <c r="BR12" i="1" s="1"/>
  <c r="K235" i="2"/>
  <c r="E241" i="2"/>
  <c r="AX195" i="2"/>
  <c r="O150" i="2"/>
  <c r="AD148" i="2"/>
  <c r="Z282" i="2"/>
  <c r="E201" i="2"/>
  <c r="AM203" i="2"/>
  <c r="BC243" i="2"/>
  <c r="BD243" i="2"/>
  <c r="BD177" i="2"/>
  <c r="BC177" i="2"/>
  <c r="E166" i="2"/>
  <c r="E170" i="2" s="1"/>
  <c r="P202" i="2"/>
  <c r="Q295" i="2"/>
  <c r="BD50" i="2"/>
  <c r="U363" i="2"/>
  <c r="U49" i="2"/>
  <c r="AS240" i="2"/>
  <c r="W201" i="2"/>
  <c r="AP166" i="2"/>
  <c r="AO166" i="2"/>
  <c r="AS299" i="2"/>
  <c r="M235" i="2"/>
  <c r="V151" i="2"/>
  <c r="AA209" i="2"/>
  <c r="AJ237" i="2"/>
  <c r="BA238" i="2"/>
  <c r="K166" i="2"/>
  <c r="AX284" i="2"/>
  <c r="J283" i="2"/>
  <c r="AH253" i="2"/>
  <c r="AI253" i="2"/>
  <c r="AN237" i="2"/>
  <c r="AG235" i="2"/>
  <c r="P159" i="2"/>
  <c r="R235" i="2"/>
  <c r="AZ236" i="2"/>
  <c r="Z16" i="2"/>
  <c r="Z17" i="2" s="1"/>
  <c r="AW207" i="2"/>
  <c r="AV207" i="2"/>
  <c r="R16" i="2"/>
  <c r="AC193" i="2"/>
  <c r="J208" i="2"/>
  <c r="Q150" i="2"/>
  <c r="R292" i="2"/>
  <c r="AW274" i="2"/>
  <c r="AW275" i="2"/>
  <c r="S217" i="2"/>
  <c r="G155" i="2"/>
  <c r="AC49" i="2"/>
  <c r="AA295" i="2"/>
  <c r="AB295" i="2"/>
  <c r="V195" i="2"/>
  <c r="O59" i="2"/>
  <c r="F236" i="2"/>
  <c r="AU140" i="2"/>
  <c r="H153" i="2"/>
  <c r="AM282" i="2"/>
  <c r="BD213" i="2"/>
  <c r="BC213" i="2"/>
  <c r="I241" i="2"/>
  <c r="AM193" i="2"/>
  <c r="K277" i="2"/>
  <c r="AU153" i="2"/>
  <c r="AP284" i="2"/>
  <c r="BS62" i="1" s="1"/>
  <c r="AO284" i="2"/>
  <c r="AD9" i="2"/>
  <c r="AD10" i="2" s="1"/>
  <c r="Y255" i="2"/>
  <c r="Y256" i="2" s="1"/>
  <c r="Y270" i="2" s="1"/>
  <c r="BA155" i="2"/>
  <c r="I156" i="2"/>
  <c r="AW208" i="2"/>
  <c r="AV208" i="2"/>
  <c r="Z149" i="2"/>
  <c r="AO179" i="2"/>
  <c r="AP179" i="2"/>
  <c r="Y238" i="2"/>
  <c r="AS195" i="2"/>
  <c r="D5" i="2"/>
  <c r="AK274" i="2"/>
  <c r="AK275" i="2"/>
  <c r="J47" i="2"/>
  <c r="AZ209" i="2"/>
  <c r="L14" i="2"/>
  <c r="X152" i="2"/>
  <c r="Z156" i="2"/>
  <c r="AR295" i="2"/>
  <c r="AK205" i="2"/>
  <c r="E193" i="2"/>
  <c r="AZ206" i="2"/>
  <c r="N140" i="2"/>
  <c r="BB201" i="2"/>
  <c r="X16" i="2"/>
  <c r="D242" i="2"/>
  <c r="G159" i="2"/>
  <c r="AV161" i="2"/>
  <c r="AW161" i="2"/>
  <c r="T241" i="2"/>
  <c r="I311" i="2"/>
  <c r="U241" i="2"/>
  <c r="AK240" i="2"/>
  <c r="H237" i="2"/>
  <c r="AB41" i="2"/>
  <c r="AA151" i="2"/>
  <c r="AB151" i="2"/>
  <c r="AD47" i="2"/>
  <c r="AL206" i="2"/>
  <c r="G148" i="2"/>
  <c r="K149" i="2"/>
  <c r="E150" i="2"/>
  <c r="M292" i="2"/>
  <c r="AE277" i="2"/>
  <c r="AL294" i="2"/>
  <c r="AL236" i="2"/>
  <c r="Q239" i="2"/>
  <c r="I149" i="2"/>
  <c r="BD312" i="2"/>
  <c r="BC312" i="2"/>
  <c r="BC308" i="2" s="1"/>
  <c r="AT291" i="2"/>
  <c r="AE45" i="2"/>
  <c r="AE266" i="2" s="1"/>
  <c r="L57" i="2"/>
  <c r="T230" i="2"/>
  <c r="AB144" i="2"/>
  <c r="AB70" i="2" s="1"/>
  <c r="AA144" i="2"/>
  <c r="AA70" i="2" s="1"/>
  <c r="AK202" i="2"/>
  <c r="Y239" i="2"/>
  <c r="S179" i="2"/>
  <c r="AK292" i="2"/>
  <c r="Q138" i="2"/>
  <c r="S201" i="2"/>
  <c r="H59" i="2"/>
  <c r="AM155" i="2"/>
  <c r="T59" i="2"/>
  <c r="AK242" i="2"/>
  <c r="AC280" i="2"/>
  <c r="Z49" i="2"/>
  <c r="G253" i="2"/>
  <c r="AK159" i="2"/>
  <c r="J206" i="2"/>
  <c r="Q292" i="2"/>
  <c r="AP275" i="2"/>
  <c r="AP274" i="2"/>
  <c r="M239" i="2"/>
  <c r="AS59" i="2"/>
  <c r="AJ159" i="2"/>
  <c r="R205" i="2"/>
  <c r="AJ302" i="2"/>
  <c r="P287" i="2"/>
  <c r="BE63" i="1" s="1"/>
  <c r="W241" i="2"/>
  <c r="V205" i="2"/>
  <c r="O216" i="2"/>
  <c r="AQ45" i="2"/>
  <c r="AR294" i="2"/>
  <c r="V284" i="2"/>
  <c r="O153" i="2"/>
  <c r="X205" i="2"/>
  <c r="O213" i="2"/>
  <c r="AX233" i="2"/>
  <c r="K240" i="2"/>
  <c r="AC282" i="2"/>
  <c r="I295" i="2"/>
  <c r="Q5" i="2"/>
  <c r="AF291" i="2"/>
  <c r="AS152" i="2"/>
  <c r="F159" i="2"/>
  <c r="K150" i="2"/>
  <c r="AD149" i="2"/>
  <c r="AQ213" i="2"/>
  <c r="BB144" i="2"/>
  <c r="M155" i="2"/>
  <c r="AO241" i="2"/>
  <c r="AP241" i="2"/>
  <c r="AR205" i="2"/>
  <c r="M177" i="2"/>
  <c r="AC151" i="2"/>
  <c r="AK42" i="2"/>
  <c r="AK265" i="2" s="1"/>
  <c r="AJ42" i="2"/>
  <c r="AJ265" i="2" s="1"/>
  <c r="W179" i="2"/>
  <c r="X140" i="2"/>
  <c r="R280" i="2"/>
  <c r="U294" i="2"/>
  <c r="AD150" i="2"/>
  <c r="AL233" i="2"/>
  <c r="P230" i="2"/>
  <c r="AM45" i="2"/>
  <c r="AM266" i="2" s="1"/>
  <c r="AW203" i="2"/>
  <c r="AV203" i="2"/>
  <c r="O155" i="2"/>
  <c r="AI155" i="2"/>
  <c r="AH155" i="2"/>
  <c r="AB312" i="2"/>
  <c r="AU311" i="2" s="1"/>
  <c r="AA312" i="2"/>
  <c r="BF311" i="2" s="1"/>
  <c r="BF313" i="2" s="1"/>
  <c r="R156" i="2"/>
  <c r="AE234" i="2"/>
  <c r="AX144" i="2"/>
  <c r="E240" i="2"/>
  <c r="E208" i="2"/>
  <c r="S181" i="2"/>
  <c r="AM299" i="2"/>
  <c r="W49" i="2"/>
  <c r="AZ201" i="2"/>
  <c r="AF14" i="2"/>
  <c r="M205" i="2"/>
  <c r="Y55" i="2"/>
  <c r="AS283" i="2"/>
  <c r="R150" i="2"/>
  <c r="BD41" i="2"/>
  <c r="J237" i="2"/>
  <c r="G152" i="2"/>
  <c r="AK295" i="2"/>
  <c r="X153" i="2"/>
  <c r="P9" i="2"/>
  <c r="Y177" i="2"/>
  <c r="AZ234" i="2"/>
  <c r="AS41" i="2"/>
  <c r="AF151" i="2"/>
  <c r="Q240" i="2"/>
  <c r="BA203" i="2"/>
  <c r="V45" i="2"/>
  <c r="AX18" i="2"/>
  <c r="AU42" i="2"/>
  <c r="AU265" i="2" s="1"/>
  <c r="AT57" i="2"/>
  <c r="AT260" i="2" s="1"/>
  <c r="Z177" i="2"/>
  <c r="AL41" i="2"/>
  <c r="AK148" i="2"/>
  <c r="AP159" i="2"/>
  <c r="AO159" i="2"/>
  <c r="L292" i="2"/>
  <c r="K239" i="2"/>
  <c r="T238" i="2"/>
  <c r="AJ242" i="2"/>
  <c r="V154" i="2"/>
  <c r="BD156" i="2"/>
  <c r="BC156" i="2"/>
  <c r="AV282" i="2"/>
  <c r="AW282" i="2"/>
  <c r="R233" i="2"/>
  <c r="AF152" i="2"/>
  <c r="W242" i="2"/>
  <c r="AF213" i="2"/>
  <c r="X243" i="2"/>
  <c r="X151" i="2"/>
  <c r="V255" i="2"/>
  <c r="V256" i="2" s="1"/>
  <c r="V270" i="2" s="1"/>
  <c r="R232" i="2"/>
  <c r="P253" i="2"/>
  <c r="Y282" i="2"/>
  <c r="AK216" i="2"/>
  <c r="AP226" i="2"/>
  <c r="AM59" i="2"/>
  <c r="I312" i="2"/>
  <c r="AC144" i="2"/>
  <c r="AI203" i="2"/>
  <c r="AZ5" i="2"/>
  <c r="AJ5" i="2"/>
  <c r="AL237" i="2"/>
  <c r="I282" i="2"/>
  <c r="AD230" i="2"/>
  <c r="Y140" i="2"/>
  <c r="AF236" i="2"/>
  <c r="K152" i="2"/>
  <c r="L299" i="2"/>
  <c r="AC64" i="1" s="1"/>
  <c r="Q203" i="2"/>
  <c r="G9" i="2"/>
  <c r="AY255" i="2"/>
  <c r="AP46" i="2"/>
  <c r="AR5" i="2"/>
  <c r="U278" i="2"/>
  <c r="BP61" i="1" s="1"/>
  <c r="D201" i="2"/>
  <c r="L169" i="2"/>
  <c r="N236" i="2"/>
  <c r="Y302" i="2"/>
  <c r="AW363" i="2"/>
  <c r="AV363" i="2"/>
  <c r="F299" i="2"/>
  <c r="E64" i="1" s="1"/>
  <c r="Y150" i="2"/>
  <c r="AZ302" i="2"/>
  <c r="U140" i="2"/>
  <c r="Y151" i="2"/>
  <c r="BB18" i="2"/>
  <c r="Q16" i="2"/>
  <c r="W148" i="2"/>
  <c r="AU205" i="2"/>
  <c r="AF57" i="2"/>
  <c r="AF260" i="2" s="1"/>
  <c r="T9" i="2"/>
  <c r="K168" i="2"/>
  <c r="K172" i="2" s="1"/>
  <c r="J274" i="2"/>
  <c r="J275" i="2"/>
  <c r="O59" i="1" s="1"/>
  <c r="BB294" i="2"/>
  <c r="AQ232" i="2"/>
  <c r="BD287" i="2"/>
  <c r="BU63" i="1" s="1"/>
  <c r="BC287" i="2"/>
  <c r="AW238" i="2"/>
  <c r="AV238" i="2"/>
  <c r="AJ294" i="2"/>
  <c r="V140" i="2"/>
  <c r="J291" i="2"/>
  <c r="O65" i="1" s="1"/>
  <c r="K155" i="2"/>
  <c r="BB149" i="2"/>
  <c r="W195" i="2"/>
  <c r="Z291" i="2"/>
  <c r="W59" i="2"/>
  <c r="V233" i="2"/>
  <c r="AT209" i="2"/>
  <c r="AL312" i="2"/>
  <c r="X253" i="2"/>
  <c r="X254" i="2" s="1"/>
  <c r="X269" i="2" s="1"/>
  <c r="F201" i="2"/>
  <c r="Z193" i="2"/>
  <c r="BB291" i="2"/>
  <c r="AR284" i="2"/>
  <c r="I292" i="2"/>
  <c r="AG46" i="2"/>
  <c r="AK150" i="2"/>
  <c r="AD49" i="2"/>
  <c r="AR208" i="2"/>
  <c r="BB213" i="2"/>
  <c r="W34" i="2"/>
  <c r="BA312" i="2"/>
  <c r="P241" i="2"/>
  <c r="AT155" i="2"/>
  <c r="Z253" i="2"/>
  <c r="BE254" i="2" s="1"/>
  <c r="BE269" i="2" s="1"/>
  <c r="K57" i="2"/>
  <c r="X7" i="2"/>
  <c r="AR312" i="2"/>
  <c r="AR150" i="2"/>
  <c r="K47" i="2"/>
  <c r="N202" i="2"/>
  <c r="AC287" i="2"/>
  <c r="T282" i="2"/>
  <c r="BA282" i="2"/>
  <c r="AK294" i="2"/>
  <c r="X238" i="2"/>
  <c r="V153" i="2"/>
  <c r="P144" i="2"/>
  <c r="Q70" i="2" s="1"/>
  <c r="L241" i="2"/>
  <c r="AB274" i="2"/>
  <c r="AB275" i="2"/>
  <c r="BQ59" i="1" s="1"/>
  <c r="Q242" i="2"/>
  <c r="AD7" i="2"/>
  <c r="AD8" i="2" s="1"/>
  <c r="V149" i="2"/>
  <c r="V146" i="2" s="1"/>
  <c r="AG277" i="2"/>
  <c r="G275" i="2"/>
  <c r="G274" i="2"/>
  <c r="AT234" i="2"/>
  <c r="F14" i="2"/>
  <c r="AN152" i="2"/>
  <c r="N230" i="2"/>
  <c r="AW209" i="2"/>
  <c r="K278" i="2"/>
  <c r="V61" i="1" s="1"/>
  <c r="AS201" i="2"/>
  <c r="N50" i="2"/>
  <c r="AD242" i="2"/>
  <c r="AN55" i="2"/>
  <c r="AN34" i="2"/>
  <c r="AD280" i="2"/>
  <c r="AI296" i="2"/>
  <c r="AI222" i="2"/>
  <c r="AC155" i="2"/>
  <c r="AT202" i="2"/>
  <c r="AC140" i="2"/>
  <c r="AR41" i="2"/>
  <c r="AF161" i="2"/>
  <c r="AG281" i="2"/>
  <c r="D16" i="2"/>
  <c r="AW154" i="2"/>
  <c r="AV154" i="2"/>
  <c r="AL293" i="2"/>
  <c r="S169" i="2"/>
  <c r="AU282" i="2"/>
  <c r="S41" i="2"/>
  <c r="AX274" i="2"/>
  <c r="AX275" i="2"/>
  <c r="R281" i="2"/>
  <c r="AT46" i="2"/>
  <c r="Q236" i="2"/>
  <c r="L282" i="2"/>
  <c r="AI291" i="2"/>
  <c r="BR65" i="1" s="1"/>
  <c r="AH291" i="2"/>
  <c r="AD213" i="2"/>
  <c r="AS34" i="2"/>
  <c r="AS37" i="2" s="1"/>
  <c r="AY287" i="2"/>
  <c r="AM280" i="2"/>
  <c r="D232" i="2"/>
  <c r="M274" i="2"/>
  <c r="M275" i="2"/>
  <c r="AJ59" i="1" s="1"/>
  <c r="V236" i="2"/>
  <c r="I45" i="2"/>
  <c r="H32" i="1" s="1"/>
  <c r="L216" i="2"/>
  <c r="AS47" i="2"/>
  <c r="BC299" i="2"/>
  <c r="BD299" i="2"/>
  <c r="J55" i="2"/>
  <c r="O35" i="1" s="1"/>
  <c r="I243" i="2"/>
  <c r="H236" i="2"/>
  <c r="L207" i="2"/>
  <c r="AL159" i="2"/>
  <c r="AS177" i="2"/>
  <c r="L277" i="2"/>
  <c r="W47" i="2"/>
  <c r="F16" i="2"/>
  <c r="AT233" i="2"/>
  <c r="AC14" i="2"/>
  <c r="F9" i="2"/>
  <c r="K210" i="2"/>
  <c r="AR299" i="2"/>
  <c r="AZ151" i="2"/>
  <c r="AC217" i="2"/>
  <c r="BD149" i="2"/>
  <c r="BC149" i="2"/>
  <c r="BA177" i="2"/>
  <c r="J166" i="2"/>
  <c r="J170" i="2" s="1"/>
  <c r="AQ140" i="2"/>
  <c r="AB234" i="2"/>
  <c r="AE47" i="2"/>
  <c r="AA302" i="2"/>
  <c r="AB302" i="2"/>
  <c r="X45" i="2"/>
  <c r="X266" i="2" s="1"/>
  <c r="AS7" i="2"/>
  <c r="AB209" i="2"/>
  <c r="AF312" i="2"/>
  <c r="AF195" i="2"/>
  <c r="D293" i="2"/>
  <c r="AF299" i="2"/>
  <c r="AJ295" i="2"/>
  <c r="AZ280" i="2"/>
  <c r="AH213" i="2"/>
  <c r="AI213" i="2"/>
  <c r="E243" i="2"/>
  <c r="K312" i="2"/>
  <c r="AU206" i="2"/>
  <c r="AM241" i="2"/>
  <c r="AD281" i="2"/>
  <c r="Z155" i="2"/>
  <c r="E278" i="2"/>
  <c r="Q299" i="2"/>
  <c r="BL64" i="1" s="1"/>
  <c r="AM302" i="2"/>
  <c r="AF153" i="2"/>
  <c r="R217" i="2"/>
  <c r="U210" i="2"/>
  <c r="U193" i="2"/>
  <c r="S230" i="2"/>
  <c r="M210" i="2"/>
  <c r="K182" i="2"/>
  <c r="K187" i="2" s="1"/>
  <c r="K188" i="2" s="1"/>
  <c r="AN295" i="2"/>
  <c r="AS292" i="2"/>
  <c r="X59" i="2"/>
  <c r="BC209" i="2"/>
  <c r="X293" i="2"/>
  <c r="AR152" i="2"/>
  <c r="S216" i="2"/>
  <c r="AU213" i="2"/>
  <c r="AT240" i="2"/>
  <c r="AE42" i="2"/>
  <c r="AE265" i="2" s="1"/>
  <c r="AV209" i="2"/>
  <c r="K16" i="2"/>
  <c r="AU253" i="2"/>
  <c r="V237" i="2"/>
  <c r="AW296" i="2"/>
  <c r="AW222" i="2"/>
  <c r="F277" i="2"/>
  <c r="AG234" i="2"/>
  <c r="M34" i="2"/>
  <c r="AM292" i="2"/>
  <c r="AE34" i="2"/>
  <c r="N179" i="2"/>
  <c r="AI201" i="2"/>
  <c r="AH201" i="2"/>
  <c r="AU46" i="2"/>
  <c r="U156" i="2"/>
  <c r="U7" i="2"/>
  <c r="BP12" i="1" s="1"/>
  <c r="F195" i="2"/>
  <c r="AQ195" i="2"/>
  <c r="O207" i="2"/>
  <c r="AB238" i="2"/>
  <c r="AA238" i="2"/>
  <c r="D34" i="2"/>
  <c r="AE14" i="2"/>
  <c r="AQ208" i="2"/>
  <c r="BD16" i="2"/>
  <c r="BU20" i="1" s="1"/>
  <c r="AP9" i="2"/>
  <c r="D148" i="2"/>
  <c r="AY138" i="2"/>
  <c r="AW284" i="2"/>
  <c r="BT62" i="1" s="1"/>
  <c r="AV284" i="2"/>
  <c r="AR243" i="2"/>
  <c r="AX50" i="2"/>
  <c r="AZ59" i="2"/>
  <c r="BG61" i="2" s="1"/>
  <c r="V5" i="2"/>
  <c r="D255" i="2"/>
  <c r="D256" i="2" s="1"/>
  <c r="D270" i="2" s="1"/>
  <c r="BB177" i="2"/>
  <c r="AI140" i="2"/>
  <c r="AH140" i="2"/>
  <c r="X280" i="2"/>
  <c r="AO281" i="2"/>
  <c r="AP281" i="2"/>
  <c r="AK138" i="2"/>
  <c r="X202" i="2"/>
  <c r="Z14" i="2"/>
  <c r="BB302" i="2"/>
  <c r="W202" i="2"/>
  <c r="AN201" i="2"/>
  <c r="Y156" i="2"/>
  <c r="H284" i="2"/>
  <c r="W154" i="2"/>
  <c r="I14" i="2"/>
  <c r="AR291" i="2"/>
  <c r="T179" i="2"/>
  <c r="Z294" i="2"/>
  <c r="K22" i="2"/>
  <c r="K20" i="2" s="1"/>
  <c r="K261" i="2"/>
  <c r="H281" i="2"/>
  <c r="AE240" i="2"/>
  <c r="AY363" i="2"/>
  <c r="AZ149" i="2"/>
  <c r="AD57" i="2"/>
  <c r="AD260" i="2" s="1"/>
  <c r="AM46" i="2"/>
  <c r="M277" i="2"/>
  <c r="AM239" i="2"/>
  <c r="AS16" i="2"/>
  <c r="Q149" i="2"/>
  <c r="J299" i="2"/>
  <c r="O64" i="1" s="1"/>
  <c r="R293" i="2"/>
  <c r="AM9" i="2"/>
  <c r="K5" i="2"/>
  <c r="AM235" i="2"/>
  <c r="G14" i="2"/>
  <c r="AV205" i="2"/>
  <c r="AW205" i="2"/>
  <c r="AC154" i="2"/>
  <c r="AM154" i="2"/>
  <c r="D230" i="2"/>
  <c r="AF241" i="2"/>
  <c r="Q50" i="2"/>
  <c r="AG241" i="2"/>
  <c r="AN281" i="2"/>
  <c r="O5" i="2"/>
  <c r="AB161" i="2"/>
  <c r="AA161" i="2"/>
  <c r="AC291" i="2"/>
  <c r="AP47" i="2"/>
  <c r="K138" i="2"/>
  <c r="AG7" i="2"/>
  <c r="BD55" i="2"/>
  <c r="BU35" i="1" s="1"/>
  <c r="AV144" i="2"/>
  <c r="AV70" i="2" s="1"/>
  <c r="AW144" i="2"/>
  <c r="AJ34" i="2"/>
  <c r="P293" i="2"/>
  <c r="AQ156" i="2"/>
  <c r="E236" i="2"/>
  <c r="AQ55" i="2"/>
  <c r="O195" i="2"/>
  <c r="AD302" i="2"/>
  <c r="Y295" i="2"/>
  <c r="T181" i="2"/>
  <c r="M233" i="2"/>
  <c r="BA275" i="2"/>
  <c r="BA274" i="2"/>
  <c r="X49" i="2"/>
  <c r="X51" i="2" s="1"/>
  <c r="AL208" i="2"/>
  <c r="AE179" i="2"/>
  <c r="V203" i="2"/>
  <c r="AZ148" i="2"/>
  <c r="AJ57" i="2"/>
  <c r="AJ260" i="2" s="1"/>
  <c r="AM156" i="2"/>
  <c r="F312" i="2"/>
  <c r="AK311" i="2" s="1"/>
  <c r="R7" i="2"/>
  <c r="BM12" i="1" s="1"/>
  <c r="Z295" i="2"/>
  <c r="AY156" i="2"/>
  <c r="J159" i="2"/>
  <c r="J45" i="2"/>
  <c r="AE243" i="2"/>
  <c r="AS159" i="2"/>
  <c r="S168" i="2"/>
  <c r="S172" i="2" s="1"/>
  <c r="AG41" i="2"/>
  <c r="D153" i="2"/>
  <c r="U151" i="2"/>
  <c r="AQ152" i="2"/>
  <c r="AM50" i="2"/>
  <c r="U154" i="2"/>
  <c r="H140" i="2"/>
  <c r="H298" i="2"/>
  <c r="AW216" i="2"/>
  <c r="S299" i="2"/>
  <c r="BN64" i="1" s="1"/>
  <c r="S153" i="2"/>
  <c r="BD283" i="2"/>
  <c r="AS284" i="2"/>
  <c r="BC144" i="2"/>
  <c r="BD144" i="2"/>
  <c r="G235" i="2"/>
  <c r="AT59" i="2"/>
  <c r="E282" i="2"/>
  <c r="AC149" i="2"/>
  <c r="S195" i="2"/>
  <c r="AT14" i="2"/>
  <c r="AT195" i="2"/>
  <c r="AI149" i="2"/>
  <c r="AH149" i="2"/>
  <c r="AK232" i="2"/>
  <c r="G55" i="2"/>
  <c r="F35" i="1" s="1"/>
  <c r="AC47" i="2"/>
  <c r="AC7" i="2"/>
  <c r="W239" i="2"/>
  <c r="AO277" i="2"/>
  <c r="AP277" i="2"/>
  <c r="BS60" i="1" s="1"/>
  <c r="X201" i="2"/>
  <c r="AU9" i="2"/>
  <c r="Q241" i="2"/>
  <c r="AY179" i="2"/>
  <c r="M152" i="2"/>
  <c r="AK193" i="2"/>
  <c r="AF217" i="2"/>
  <c r="AD295" i="2"/>
  <c r="AD208" i="2"/>
  <c r="S155" i="2"/>
  <c r="AN144" i="2"/>
  <c r="AN70" i="2" s="1"/>
  <c r="L312" i="2"/>
  <c r="AQ311" i="2" s="1"/>
  <c r="AQ313" i="2" s="1"/>
  <c r="O193" i="2"/>
  <c r="K213" i="2"/>
  <c r="AJ207" i="2"/>
  <c r="W159" i="2"/>
  <c r="AS179" i="2"/>
  <c r="L295" i="2"/>
  <c r="AD255" i="2"/>
  <c r="AD256" i="2" s="1"/>
  <c r="AD270" i="2" s="1"/>
  <c r="BA45" i="2"/>
  <c r="BA266" i="2" s="1"/>
  <c r="AL144" i="2"/>
  <c r="X138" i="2"/>
  <c r="T16" i="2"/>
  <c r="AJ255" i="2"/>
  <c r="BC201" i="2"/>
  <c r="BD201" i="2"/>
  <c r="BA277" i="2"/>
  <c r="AJ274" i="2"/>
  <c r="AJ275" i="2"/>
  <c r="S207" i="2"/>
  <c r="N217" i="2"/>
  <c r="AS14" i="2"/>
  <c r="AJ7" i="2"/>
  <c r="AR277" i="2"/>
  <c r="L16" i="2"/>
  <c r="BB161" i="2"/>
  <c r="I298" i="2"/>
  <c r="AY18" i="2"/>
  <c r="I232" i="2"/>
  <c r="AW226" i="2"/>
  <c r="AD155" i="2"/>
  <c r="AK55" i="2"/>
  <c r="R42" i="2"/>
  <c r="R265" i="2" s="1"/>
  <c r="AS46" i="2"/>
  <c r="AO155" i="2"/>
  <c r="AP155" i="2"/>
  <c r="Y253" i="2"/>
  <c r="Y254" i="2" s="1"/>
  <c r="Y269" i="2" s="1"/>
  <c r="K181" i="2"/>
  <c r="K185" i="2" s="1"/>
  <c r="D156" i="2"/>
  <c r="AX243" i="2"/>
  <c r="Z255" i="2"/>
  <c r="AM140" i="2"/>
  <c r="O281" i="2"/>
  <c r="J203" i="2"/>
  <c r="AR201" i="2"/>
  <c r="AD14" i="2"/>
  <c r="K232" i="2"/>
  <c r="BA239" i="2"/>
  <c r="AX177" i="2"/>
  <c r="Q55" i="2"/>
  <c r="BL35" i="1" s="1"/>
  <c r="H208" i="2"/>
  <c r="AT238" i="2"/>
  <c r="BB42" i="2"/>
  <c r="BB265" i="2" s="1"/>
  <c r="I274" i="2"/>
  <c r="I275" i="2"/>
  <c r="W9" i="2"/>
  <c r="Y9" i="2"/>
  <c r="AO205" i="2"/>
  <c r="AP205" i="2"/>
  <c r="AA208" i="2"/>
  <c r="AB208" i="2"/>
  <c r="AS148" i="2"/>
  <c r="P280" i="2"/>
  <c r="N144" i="2"/>
  <c r="AH216" i="2"/>
  <c r="AI216" i="2"/>
  <c r="AX45" i="2"/>
  <c r="AU7" i="2"/>
  <c r="R238" i="2"/>
  <c r="BA5" i="2"/>
  <c r="Z201" i="2"/>
  <c r="AT47" i="2"/>
  <c r="AB168" i="2"/>
  <c r="AT201" i="2"/>
  <c r="Q156" i="2"/>
  <c r="D294" i="2"/>
  <c r="AK152" i="2"/>
  <c r="U5" i="2"/>
  <c r="O202" i="2"/>
  <c r="N277" i="2"/>
  <c r="AQ60" i="1" s="1"/>
  <c r="AT235" i="2"/>
  <c r="F295" i="2"/>
  <c r="O241" i="2"/>
  <c r="AW41" i="2"/>
  <c r="G241" i="2"/>
  <c r="T243" i="2"/>
  <c r="Y241" i="2"/>
  <c r="Q283" i="2"/>
  <c r="I152" i="2"/>
  <c r="O34" i="2"/>
  <c r="O264" i="2" s="1"/>
  <c r="P299" i="2"/>
  <c r="BE64" i="1" s="1"/>
  <c r="AL9" i="2"/>
  <c r="AI45" i="2"/>
  <c r="AI266" i="2" s="1"/>
  <c r="D282" i="2"/>
  <c r="BB154" i="2"/>
  <c r="AJ299" i="2"/>
  <c r="G236" i="2"/>
  <c r="Q195" i="2"/>
  <c r="W284" i="2"/>
  <c r="Q210" i="2"/>
  <c r="AU236" i="2"/>
  <c r="AZ298" i="2"/>
  <c r="AG149" i="2"/>
  <c r="Q232" i="2"/>
  <c r="U9" i="2"/>
  <c r="S177" i="2"/>
  <c r="K34" i="2"/>
  <c r="AX213" i="2"/>
  <c r="AC41" i="2"/>
  <c r="AL161" i="2"/>
  <c r="G230" i="2"/>
  <c r="O14" i="2"/>
  <c r="BA294" i="2"/>
  <c r="AC152" i="2"/>
  <c r="AF55" i="2"/>
  <c r="AT16" i="2"/>
  <c r="AN242" i="2"/>
  <c r="AQ49" i="2"/>
  <c r="AY235" i="2"/>
  <c r="AA138" i="2"/>
  <c r="AB138" i="2"/>
  <c r="AS236" i="2"/>
  <c r="AD292" i="2"/>
  <c r="AU152" i="2"/>
  <c r="AE253" i="2"/>
  <c r="AE254" i="2" s="1"/>
  <c r="AE269" i="2" s="1"/>
  <c r="AV217" i="2"/>
  <c r="AW217" i="2"/>
  <c r="I284" i="2"/>
  <c r="H62" i="1" s="1"/>
  <c r="BA202" i="2"/>
  <c r="AY34" i="2"/>
  <c r="N49" i="2"/>
  <c r="AF242" i="2"/>
  <c r="T148" i="2"/>
  <c r="AC233" i="2"/>
  <c r="I151" i="2"/>
  <c r="V363" i="2"/>
  <c r="Z207" i="2"/>
  <c r="AZ203" i="2"/>
  <c r="N5" i="2"/>
  <c r="M59" i="2"/>
  <c r="AG138" i="2"/>
  <c r="J287" i="2"/>
  <c r="O63" i="1" s="1"/>
  <c r="AB34" i="2"/>
  <c r="G232" i="2"/>
  <c r="AB232" i="2"/>
  <c r="AA232" i="2"/>
  <c r="AG14" i="2"/>
  <c r="K201" i="2"/>
  <c r="G302" i="2"/>
  <c r="Y236" i="2"/>
  <c r="W203" i="2"/>
  <c r="I293" i="2"/>
  <c r="I242" i="2"/>
  <c r="AY161" i="2"/>
  <c r="AW213" i="2"/>
  <c r="AV213" i="2"/>
  <c r="R241" i="2"/>
  <c r="AZ293" i="2"/>
  <c r="V150" i="2"/>
  <c r="AF287" i="2"/>
  <c r="AE237" i="2"/>
  <c r="AI47" i="2"/>
  <c r="AZ154" i="2"/>
  <c r="BA213" i="2"/>
  <c r="D291" i="2"/>
  <c r="G233" i="2"/>
  <c r="M156" i="2"/>
  <c r="AE287" i="2"/>
  <c r="U292" i="2"/>
  <c r="AK302" i="2"/>
  <c r="AP168" i="2"/>
  <c r="F280" i="2"/>
  <c r="T217" i="2"/>
  <c r="E16" i="2"/>
  <c r="U238" i="2"/>
  <c r="R243" i="2"/>
  <c r="X209" i="2"/>
  <c r="AP209" i="2"/>
  <c r="AY155" i="2"/>
  <c r="AN238" i="2"/>
  <c r="AC159" i="2"/>
  <c r="AH284" i="2"/>
  <c r="AI284" i="2"/>
  <c r="BR62" i="1" s="1"/>
  <c r="L293" i="2"/>
  <c r="AO312" i="2"/>
  <c r="AP312" i="2"/>
  <c r="AT148" i="2"/>
  <c r="AS234" i="2"/>
  <c r="AG239" i="2"/>
  <c r="AI46" i="2"/>
  <c r="J233" i="2"/>
  <c r="E14" i="2"/>
  <c r="L283" i="2"/>
  <c r="O50" i="2"/>
  <c r="AT241" i="2"/>
  <c r="T169" i="2"/>
  <c r="BD168" i="2"/>
  <c r="BK172" i="2" s="1"/>
  <c r="BK173" i="2" s="1"/>
  <c r="BL173" i="2" s="1"/>
  <c r="BM173" i="2" s="1"/>
  <c r="BN173" i="2" s="1"/>
  <c r="BO173" i="2" s="1"/>
  <c r="BP173" i="2" s="1"/>
  <c r="BQ173" i="2" s="1"/>
  <c r="BR173" i="2" s="1"/>
  <c r="AS57" i="2"/>
  <c r="AS260" i="2" s="1"/>
  <c r="AL45" i="2"/>
  <c r="F239" i="2"/>
  <c r="E216" i="2"/>
  <c r="U236" i="2"/>
  <c r="O154" i="2"/>
  <c r="AF148" i="2"/>
  <c r="U181" i="2"/>
  <c r="U16" i="2"/>
  <c r="X291" i="2"/>
  <c r="P242" i="2"/>
  <c r="J241" i="2"/>
  <c r="D277" i="2"/>
  <c r="D191" i="2" s="1"/>
  <c r="D353" i="2" s="1"/>
  <c r="AL292" i="2"/>
  <c r="J282" i="2"/>
  <c r="AR42" i="2"/>
  <c r="AR265" i="2" s="1"/>
  <c r="W193" i="2"/>
  <c r="AI204" i="2"/>
  <c r="M47" i="2"/>
  <c r="AI217" i="2"/>
  <c r="AH217" i="2"/>
  <c r="AN179" i="2"/>
  <c r="AB294" i="2"/>
  <c r="AA294" i="2"/>
  <c r="BB277" i="2"/>
  <c r="AJ59" i="2"/>
  <c r="AL242" i="2"/>
  <c r="Q279" i="2"/>
  <c r="AH237" i="2"/>
  <c r="AI237" i="2"/>
  <c r="AF177" i="2"/>
  <c r="E281" i="2"/>
  <c r="S208" i="2"/>
  <c r="S291" i="2"/>
  <c r="BN65" i="1" s="1"/>
  <c r="AY177" i="2"/>
  <c r="E5" i="2"/>
  <c r="L255" i="2"/>
  <c r="W287" i="2"/>
  <c r="AR203" i="2"/>
  <c r="S148" i="2"/>
  <c r="D238" i="2"/>
  <c r="Y274" i="2"/>
  <c r="Y275" i="2"/>
  <c r="AK57" i="2"/>
  <c r="AK260" i="2" s="1"/>
  <c r="X232" i="2"/>
  <c r="AQ177" i="2"/>
  <c r="AM240" i="2"/>
  <c r="S193" i="2"/>
  <c r="AG240" i="2"/>
  <c r="P161" i="2"/>
  <c r="E50" i="2"/>
  <c r="AX202" i="2"/>
  <c r="AN299" i="2"/>
  <c r="F140" i="2"/>
  <c r="AL156" i="2"/>
  <c r="BC195" i="2"/>
  <c r="BD195" i="2"/>
  <c r="AS153" i="2"/>
  <c r="P291" i="2"/>
  <c r="BE65" i="1" s="1"/>
  <c r="AU201" i="2"/>
  <c r="AZ291" i="2"/>
  <c r="AN213" i="2"/>
  <c r="AJ152" i="2"/>
  <c r="AB240" i="2"/>
  <c r="BQ53" i="1" s="1"/>
  <c r="BQ82" i="1" s="1"/>
  <c r="AA240" i="2"/>
  <c r="V41" i="2"/>
  <c r="AJ193" i="2"/>
  <c r="AY239" i="2"/>
  <c r="F152" i="2"/>
  <c r="H49" i="2"/>
  <c r="AY148" i="2"/>
  <c r="X292" i="2"/>
  <c r="BA47" i="2"/>
  <c r="K9" i="2"/>
  <c r="Y49" i="2"/>
  <c r="V295" i="2"/>
  <c r="T168" i="2"/>
  <c r="O151" i="2"/>
  <c r="AT243" i="2"/>
  <c r="D295" i="2"/>
  <c r="Z41" i="2"/>
  <c r="AP203" i="2"/>
  <c r="AO203" i="2"/>
  <c r="I210" i="2"/>
  <c r="AB293" i="2"/>
  <c r="P283" i="2"/>
  <c r="AS151" i="2"/>
  <c r="AS213" i="2"/>
  <c r="AQ14" i="2"/>
  <c r="C41" i="28"/>
  <c r="AN138" i="2"/>
  <c r="AN154" i="2"/>
  <c r="AN49" i="2"/>
  <c r="BB241" i="2"/>
  <c r="I287" i="2"/>
  <c r="H63" i="1" s="1"/>
  <c r="S152" i="2"/>
  <c r="AK235" i="2"/>
  <c r="AE41" i="2"/>
  <c r="T203" i="2"/>
  <c r="BA201" i="2"/>
  <c r="AI293" i="2"/>
  <c r="AQ294" i="2"/>
  <c r="AR193" i="2"/>
  <c r="D241" i="2"/>
  <c r="AE363" i="2"/>
  <c r="AM312" i="2"/>
  <c r="AY242" i="2"/>
  <c r="U155" i="2"/>
  <c r="K207" i="2"/>
  <c r="I161" i="2"/>
  <c r="F302" i="2"/>
  <c r="W41" i="2"/>
  <c r="O284" i="2"/>
  <c r="AX62" i="1" s="1"/>
  <c r="F291" i="2"/>
  <c r="E65" i="1" s="1"/>
  <c r="AQ217" i="2"/>
  <c r="AG179" i="2"/>
  <c r="W299" i="2"/>
  <c r="AJ50" i="2"/>
  <c r="AS277" i="2"/>
  <c r="F49" i="2"/>
  <c r="S151" i="2"/>
  <c r="AQ151" i="2"/>
  <c r="O239" i="2"/>
  <c r="U166" i="2"/>
  <c r="Z152" i="2"/>
  <c r="AI239" i="2"/>
  <c r="AH239" i="2"/>
  <c r="L166" i="2"/>
  <c r="AF34" i="2"/>
  <c r="AI209" i="2"/>
  <c r="BB205" i="2"/>
  <c r="X274" i="2"/>
  <c r="X275" i="2"/>
  <c r="BB150" i="2"/>
  <c r="M45" i="2"/>
  <c r="AR242" i="2"/>
  <c r="P302" i="2"/>
  <c r="AQ282" i="2"/>
  <c r="S59" i="2"/>
  <c r="S295" i="2"/>
  <c r="AF281" i="2"/>
  <c r="AE155" i="2"/>
  <c r="H154" i="2"/>
  <c r="AX236" i="2"/>
  <c r="Z195" i="2"/>
  <c r="W236" i="2"/>
  <c r="AG253" i="2"/>
  <c r="AX46" i="2"/>
  <c r="BA292" i="2"/>
  <c r="AE208" i="2"/>
  <c r="Z312" i="2"/>
  <c r="BE311" i="2" s="1"/>
  <c r="BE313" i="2" s="1"/>
  <c r="G237" i="2"/>
  <c r="U302" i="2"/>
  <c r="O253" i="2"/>
  <c r="Z153" i="2"/>
  <c r="AX363" i="2"/>
  <c r="AL177" i="2"/>
  <c r="W295" i="2"/>
  <c r="L7" i="2"/>
  <c r="AP181" i="2"/>
  <c r="AY9" i="2"/>
  <c r="AB280" i="2"/>
  <c r="AK161" i="2"/>
  <c r="E210" i="2"/>
  <c r="AT208" i="2"/>
  <c r="H177" i="2"/>
  <c r="BD182" i="2"/>
  <c r="BK187" i="2" s="1"/>
  <c r="AE7" i="2"/>
  <c r="BA302" i="2"/>
  <c r="G208" i="2"/>
  <c r="M202" i="2"/>
  <c r="AC284" i="2"/>
  <c r="U239" i="2"/>
  <c r="AE233" i="2"/>
  <c r="U18" i="2"/>
  <c r="O9" i="2"/>
  <c r="E49" i="2"/>
  <c r="P138" i="2"/>
  <c r="Y298" i="2"/>
  <c r="AU154" i="2"/>
  <c r="AF150" i="2"/>
  <c r="AU150" i="2"/>
  <c r="N182" i="2"/>
  <c r="R138" i="2"/>
  <c r="AJ235" i="2"/>
  <c r="AQ161" i="2"/>
  <c r="U222" i="2"/>
  <c r="U296" i="2"/>
  <c r="Q159" i="2"/>
  <c r="AJ208" i="2"/>
  <c r="AJ201" i="2"/>
  <c r="P284" i="2"/>
  <c r="BE62" i="1" s="1"/>
  <c r="G240" i="2"/>
  <c r="Y45" i="2"/>
  <c r="AC50" i="2"/>
  <c r="P243" i="2"/>
  <c r="AC237" i="2"/>
  <c r="H179" i="2"/>
  <c r="X42" i="2"/>
  <c r="X265" i="2" s="1"/>
  <c r="P217" i="2"/>
  <c r="V18" i="2"/>
  <c r="AB242" i="2"/>
  <c r="AA242" i="2"/>
  <c r="AD363" i="2"/>
  <c r="AZ42" i="2"/>
  <c r="AZ265" i="2" s="1"/>
  <c r="E203" i="2"/>
  <c r="AZ49" i="2"/>
  <c r="E55" i="2"/>
  <c r="AR207" i="2"/>
  <c r="F253" i="2"/>
  <c r="T152" i="2"/>
  <c r="Y148" i="2"/>
  <c r="K159" i="2"/>
  <c r="AD16" i="2"/>
  <c r="AF237" i="2"/>
  <c r="T166" i="2"/>
  <c r="S205" i="2"/>
  <c r="AQ284" i="2"/>
  <c r="Z242" i="2"/>
  <c r="R312" i="2"/>
  <c r="U280" i="2"/>
  <c r="D292" i="2"/>
  <c r="S232" i="2"/>
  <c r="V152" i="2"/>
  <c r="AP161" i="2"/>
  <c r="AO161" i="2"/>
  <c r="S298" i="2"/>
  <c r="V292" i="2"/>
  <c r="AX148" i="2"/>
  <c r="Q47" i="2"/>
  <c r="AD207" i="2"/>
  <c r="M182" i="2"/>
  <c r="AZ156" i="2"/>
  <c r="I237" i="2"/>
  <c r="P210" i="2"/>
  <c r="AN216" i="2"/>
  <c r="V209" i="2"/>
  <c r="AZ57" i="2"/>
  <c r="AZ260" i="2" s="1"/>
  <c r="Q168" i="2"/>
  <c r="Z243" i="2"/>
  <c r="Y46" i="2"/>
  <c r="T205" i="2"/>
  <c r="AY275" i="2"/>
  <c r="AY274" i="2"/>
  <c r="AF59" i="2"/>
  <c r="Z237" i="2"/>
  <c r="AN205" i="2"/>
  <c r="N153" i="2"/>
  <c r="AZ46" i="2"/>
  <c r="T18" i="2"/>
  <c r="BP72" i="1"/>
  <c r="U118" i="2"/>
  <c r="BD57" i="2"/>
  <c r="F213" i="2"/>
  <c r="AR204" i="2"/>
  <c r="AU177" i="2"/>
  <c r="BD241" i="2"/>
  <c r="BC241" i="2"/>
  <c r="U168" i="2"/>
  <c r="AL253" i="2"/>
  <c r="AO363" i="2"/>
  <c r="AP363" i="2"/>
  <c r="T240" i="2"/>
  <c r="BO53" i="1" s="1"/>
  <c r="BO82" i="1" s="1"/>
  <c r="K161" i="2"/>
  <c r="L34" i="2"/>
  <c r="I193" i="2"/>
  <c r="AJ238" i="2"/>
  <c r="H7" i="2"/>
  <c r="T207" i="2"/>
  <c r="AQ155" i="2"/>
  <c r="O292" i="2"/>
  <c r="AC240" i="2"/>
  <c r="Q294" i="2"/>
  <c r="AX281" i="2"/>
  <c r="L233" i="2"/>
  <c r="AN193" i="2"/>
  <c r="T155" i="2"/>
  <c r="I138" i="2"/>
  <c r="M149" i="2"/>
  <c r="T278" i="2"/>
  <c r="BO61" i="1" s="1"/>
  <c r="D275" i="2"/>
  <c r="D274" i="2"/>
  <c r="AG206" i="2"/>
  <c r="BD179" i="2"/>
  <c r="BC179" i="2"/>
  <c r="D13" i="28"/>
  <c r="AP14" i="2"/>
  <c r="AR166" i="2"/>
  <c r="Z151" i="2"/>
  <c r="O203" i="2"/>
  <c r="U233" i="2"/>
  <c r="W57" i="2"/>
  <c r="W260" i="2" s="1"/>
  <c r="AE154" i="2"/>
  <c r="U281" i="2"/>
  <c r="R153" i="2"/>
  <c r="AP49" i="2"/>
  <c r="V232" i="2"/>
  <c r="AD291" i="2"/>
  <c r="S166" i="2"/>
  <c r="AL16" i="2"/>
  <c r="AL203" i="2"/>
  <c r="K50" i="2"/>
  <c r="AQ274" i="2"/>
  <c r="AQ275" i="2"/>
  <c r="L138" i="2"/>
  <c r="BC152" i="2"/>
  <c r="BD152" i="2"/>
  <c r="AA241" i="2"/>
  <c r="AB241" i="2"/>
  <c r="S280" i="2"/>
  <c r="BD59" i="2"/>
  <c r="L298" i="2"/>
  <c r="AN45" i="2"/>
  <c r="AN266" i="2" s="1"/>
  <c r="E45" i="28"/>
  <c r="AT34" i="2"/>
  <c r="AU292" i="2"/>
  <c r="AP230" i="2"/>
  <c r="AO230" i="2"/>
  <c r="J156" i="2"/>
  <c r="AF16" i="2"/>
  <c r="AP7" i="2"/>
  <c r="AM16" i="2"/>
  <c r="T280" i="2"/>
  <c r="AW156" i="2"/>
  <c r="AV156" i="2"/>
  <c r="AM177" i="2"/>
  <c r="AY7" i="2"/>
  <c r="AQ154" i="2"/>
  <c r="W213" i="2"/>
  <c r="AG274" i="2"/>
  <c r="AG275" i="2"/>
  <c r="Y243" i="2"/>
  <c r="Z55" i="2"/>
  <c r="R291" i="2"/>
  <c r="BM65" i="1" s="1"/>
  <c r="AA177" i="2"/>
  <c r="AB177" i="2"/>
  <c r="AP204" i="2"/>
  <c r="X283" i="2"/>
  <c r="AN59" i="2"/>
  <c r="AU281" i="2"/>
  <c r="R255" i="2"/>
  <c r="AJ205" i="2"/>
  <c r="AI57" i="2"/>
  <c r="S241" i="2"/>
  <c r="AN280" i="2"/>
  <c r="AC241" i="2"/>
  <c r="M298" i="2"/>
  <c r="U152" i="2"/>
  <c r="BA156" i="2"/>
  <c r="AT193" i="2"/>
  <c r="AL363" i="2"/>
  <c r="BD14" i="2"/>
  <c r="AF193" i="2"/>
  <c r="BB238" i="2"/>
  <c r="T5" i="2"/>
  <c r="O140" i="2"/>
  <c r="AX277" i="2"/>
  <c r="H217" i="2"/>
  <c r="P177" i="2"/>
  <c r="P47" i="2"/>
  <c r="S161" i="2"/>
  <c r="U206" i="2"/>
  <c r="AN239" i="2"/>
  <c r="AV291" i="2"/>
  <c r="AW291" i="2"/>
  <c r="BT65" i="1" s="1"/>
  <c r="L155" i="2"/>
  <c r="AY166" i="2"/>
  <c r="AS149" i="2"/>
  <c r="AZ239" i="2"/>
  <c r="AH233" i="2"/>
  <c r="AI233" i="2"/>
  <c r="BB179" i="2"/>
  <c r="AL238" i="2"/>
  <c r="T235" i="2"/>
  <c r="AY159" i="2"/>
  <c r="P7" i="2"/>
  <c r="BE12" i="1" s="1"/>
  <c r="AP291" i="2"/>
  <c r="BS65" i="1" s="1"/>
  <c r="AL291" i="2"/>
  <c r="D14" i="2"/>
  <c r="F206" i="2"/>
  <c r="Y232" i="2"/>
  <c r="AG216" i="2"/>
  <c r="AE216" i="2"/>
  <c r="AR202" i="2"/>
  <c r="BB363" i="2"/>
  <c r="AD18" i="2"/>
  <c r="Y34" i="2"/>
  <c r="AG16" i="2"/>
  <c r="BD34" i="2"/>
  <c r="O282" i="2"/>
  <c r="V291" i="2"/>
  <c r="AP169" i="2"/>
  <c r="E302" i="2"/>
  <c r="AF234" i="2"/>
  <c r="U275" i="2"/>
  <c r="U274" i="2"/>
  <c r="AZ312" i="2"/>
  <c r="W209" i="2"/>
  <c r="AY14" i="2"/>
  <c r="AS278" i="2"/>
  <c r="AZ50" i="2"/>
  <c r="AQ153" i="2"/>
  <c r="G151" i="2"/>
  <c r="AJ55" i="2"/>
  <c r="BB47" i="2"/>
  <c r="V42" i="2"/>
  <c r="V265" i="2" s="1"/>
  <c r="AS50" i="2"/>
  <c r="AJ140" i="2"/>
  <c r="Q152" i="2"/>
  <c r="AX312" i="2"/>
  <c r="H230" i="2"/>
  <c r="AI277" i="2"/>
  <c r="BR60" i="1" s="1"/>
  <c r="AH277" i="2"/>
  <c r="AR292" i="2"/>
  <c r="BA230" i="2"/>
  <c r="AR233" i="2"/>
  <c r="AU239" i="2"/>
  <c r="BC216" i="2"/>
  <c r="BD216" i="2"/>
  <c r="AN209" i="2"/>
  <c r="AC238" i="2"/>
  <c r="AU277" i="2"/>
  <c r="AY236" i="2"/>
  <c r="N299" i="2"/>
  <c r="AQ64" i="1" s="1"/>
  <c r="Q14" i="2"/>
  <c r="F156" i="2"/>
  <c r="S46" i="2"/>
  <c r="P50" i="2"/>
  <c r="S45" i="2"/>
  <c r="AC274" i="2"/>
  <c r="AC275" i="2"/>
  <c r="AA217" i="2"/>
  <c r="AB217" i="2"/>
  <c r="D237" i="2"/>
  <c r="J34" i="2"/>
  <c r="AK154" i="2"/>
  <c r="Y203" i="2"/>
  <c r="BC203" i="2"/>
  <c r="BD203" i="2"/>
  <c r="R274" i="2"/>
  <c r="R275" i="2"/>
  <c r="BM59" i="1" s="1"/>
  <c r="O217" i="2"/>
  <c r="X217" i="2"/>
  <c r="BB7" i="2"/>
  <c r="AR206" i="2"/>
  <c r="BB34" i="2"/>
  <c r="R57" i="2"/>
  <c r="X207" i="2"/>
  <c r="AL202" i="2"/>
  <c r="V55" i="2"/>
  <c r="N59" i="2"/>
  <c r="L50" i="2"/>
  <c r="AE293" i="2"/>
  <c r="O177" i="2"/>
  <c r="Y233" i="2"/>
  <c r="M7" i="2"/>
  <c r="R182" i="2"/>
  <c r="T193" i="2"/>
  <c r="AV159" i="2"/>
  <c r="AW159" i="2"/>
  <c r="J16" i="2"/>
  <c r="AK213" i="2"/>
  <c r="AQ204" i="2"/>
  <c r="AN292" i="2"/>
  <c r="Q238" i="2"/>
  <c r="AB49" i="2"/>
  <c r="T236" i="2"/>
  <c r="AG203" i="2"/>
  <c r="AM255" i="2"/>
  <c r="AU237" i="2"/>
  <c r="AK195" i="2"/>
  <c r="I277" i="2"/>
  <c r="H60" i="1" s="1"/>
  <c r="H97" i="1" s="1"/>
  <c r="AF232" i="2"/>
  <c r="AI16" i="2"/>
  <c r="K284" i="2"/>
  <c r="V62" i="1" s="1"/>
  <c r="I216" i="2"/>
  <c r="AE140" i="2"/>
  <c r="BD18" i="2"/>
  <c r="BC18" i="2"/>
  <c r="O182" i="2"/>
  <c r="O187" i="2" s="1"/>
  <c r="P55" i="2"/>
  <c r="BE35" i="1" s="1"/>
  <c r="AC202" i="2"/>
  <c r="U230" i="2"/>
  <c r="AI161" i="2"/>
  <c r="AH161" i="2"/>
  <c r="K302" i="2"/>
  <c r="AC277" i="2"/>
  <c r="E295" i="2"/>
  <c r="U282" i="2"/>
  <c r="AE55" i="2"/>
  <c r="AX201" i="2"/>
  <c r="J240" i="2"/>
  <c r="AX208" i="2"/>
  <c r="T291" i="2"/>
  <c r="BO65" i="1" s="1"/>
  <c r="E144" i="2"/>
  <c r="I299" i="2"/>
  <c r="H64" i="1" s="1"/>
  <c r="N243" i="2"/>
  <c r="AB154" i="2"/>
  <c r="AA154" i="2"/>
  <c r="AH255" i="2"/>
  <c r="AI255" i="2"/>
  <c r="AQ34" i="2"/>
  <c r="AL299" i="2"/>
  <c r="G156" i="2"/>
  <c r="AP233" i="2"/>
  <c r="AO233" i="2"/>
  <c r="AP302" i="2"/>
  <c r="AO302" i="2"/>
  <c r="P182" i="2"/>
  <c r="AT154" i="2"/>
  <c r="AD152" i="2"/>
  <c r="AK166" i="2"/>
  <c r="BC148" i="2"/>
  <c r="BD148" i="2"/>
  <c r="Y294" i="2"/>
  <c r="AP238" i="2"/>
  <c r="AO238" i="2"/>
  <c r="BA46" i="2"/>
  <c r="Q217" i="2"/>
  <c r="AD282" i="2"/>
  <c r="Z138" i="2"/>
  <c r="M179" i="2"/>
  <c r="AJ195" i="2"/>
  <c r="AW292" i="2"/>
  <c r="AV292" i="2"/>
  <c r="V166" i="2"/>
  <c r="BB282" i="2"/>
  <c r="AU155" i="2"/>
  <c r="AS210" i="2"/>
  <c r="AS193" i="2"/>
  <c r="AY213" i="2"/>
  <c r="H280" i="2"/>
  <c r="AD193" i="2"/>
  <c r="AP182" i="2"/>
  <c r="M55" i="2"/>
  <c r="AJ35" i="1" s="1"/>
  <c r="I59" i="2"/>
  <c r="AR234" i="2"/>
  <c r="G205" i="2"/>
  <c r="Z205" i="2"/>
  <c r="AD201" i="2"/>
  <c r="U177" i="2"/>
  <c r="S206" i="2"/>
  <c r="BC207" i="2"/>
  <c r="BD207" i="2"/>
  <c r="BD153" i="2"/>
  <c r="BC153" i="2"/>
  <c r="AQ159" i="2"/>
  <c r="Q153" i="2"/>
  <c r="AQ166" i="2"/>
  <c r="AQ105" i="2" s="1"/>
  <c r="AQ107" i="2" s="1"/>
  <c r="Y240" i="2"/>
  <c r="AN46" i="2"/>
  <c r="AA140" i="2"/>
  <c r="AB140" i="2"/>
  <c r="BD47" i="2"/>
  <c r="AD205" i="2"/>
  <c r="D210" i="2"/>
  <c r="M282" i="2"/>
  <c r="R59" i="2"/>
  <c r="AM274" i="2"/>
  <c r="AM275" i="2"/>
  <c r="K45" i="2"/>
  <c r="AE312" i="2"/>
  <c r="AE313" i="2" s="1"/>
  <c r="AR161" i="2"/>
  <c r="Z277" i="2"/>
  <c r="AM179" i="2"/>
  <c r="U150" i="2"/>
  <c r="AG156" i="2"/>
  <c r="D240" i="2"/>
  <c r="N57" i="2"/>
  <c r="AD45" i="2"/>
  <c r="AU138" i="2"/>
  <c r="F281" i="2"/>
  <c r="AG255" i="2"/>
  <c r="AU255" i="2"/>
  <c r="L243" i="2"/>
  <c r="AE238" i="2"/>
  <c r="AV138" i="2"/>
  <c r="AW138" i="2"/>
  <c r="W45" i="2"/>
  <c r="W266" i="2" s="1"/>
  <c r="AZ275" i="2"/>
  <c r="AZ274" i="2"/>
  <c r="AA233" i="2"/>
  <c r="AB233" i="2"/>
  <c r="AI230" i="2"/>
  <c r="AH230" i="2"/>
  <c r="G217" i="2"/>
  <c r="F47" i="2"/>
  <c r="F255" i="2"/>
  <c r="F256" i="2" s="1"/>
  <c r="F270" i="2" s="1"/>
  <c r="E195" i="2"/>
  <c r="T292" i="2"/>
  <c r="AZ242" i="2"/>
  <c r="AT242" i="2"/>
  <c r="AL49" i="2"/>
  <c r="Y242" i="2"/>
  <c r="G177" i="2"/>
  <c r="N233" i="2"/>
  <c r="H255" i="2"/>
  <c r="AN297" i="2"/>
  <c r="AZ297" i="2"/>
  <c r="U122" i="2"/>
  <c r="BP77" i="1" s="1"/>
  <c r="AB297" i="2"/>
  <c r="AT297" i="2"/>
  <c r="AH297" i="2"/>
  <c r="U344" i="2"/>
  <c r="BP80" i="1" s="1"/>
  <c r="AK233" i="2"/>
  <c r="AV201" i="2"/>
  <c r="AW201" i="2"/>
  <c r="I255" i="2"/>
  <c r="I256" i="2" s="1"/>
  <c r="I270" i="2" s="1"/>
  <c r="U298" i="2"/>
  <c r="AY202" i="2"/>
  <c r="AX55" i="2"/>
  <c r="E312" i="2"/>
  <c r="AJ311" i="2" s="1"/>
  <c r="AU144" i="2"/>
  <c r="AU70" i="2" s="1"/>
  <c r="AY240" i="2"/>
  <c r="AF46" i="2"/>
  <c r="BB209" i="2"/>
  <c r="AS233" i="2"/>
  <c r="AD294" i="2"/>
  <c r="X281" i="2"/>
  <c r="AJ156" i="2"/>
  <c r="O280" i="2"/>
  <c r="AS45" i="2"/>
  <c r="AB42" i="2"/>
  <c r="AB265" i="2" s="1"/>
  <c r="O57" i="2"/>
  <c r="S140" i="2"/>
  <c r="BN50" i="1" s="1"/>
  <c r="H311" i="2"/>
  <c r="U149" i="2"/>
  <c r="K236" i="2"/>
  <c r="AM253" i="2"/>
  <c r="M237" i="2"/>
  <c r="L281" i="2"/>
  <c r="AB50" i="2"/>
  <c r="BB284" i="2"/>
  <c r="AN57" i="2"/>
  <c r="AN260" i="2" s="1"/>
  <c r="G138" i="2"/>
  <c r="T311" i="2"/>
  <c r="AV294" i="2"/>
  <c r="AW294" i="2"/>
  <c r="D205" i="2"/>
  <c r="W55" i="2"/>
  <c r="Q202" i="2"/>
  <c r="M236" i="2"/>
  <c r="AJ243" i="2"/>
  <c r="S159" i="2"/>
  <c r="E59" i="2"/>
  <c r="AL46" i="2"/>
  <c r="L208" i="2"/>
  <c r="BD240" i="2"/>
  <c r="BU53" i="1" s="1"/>
  <c r="BU82" i="1" s="1"/>
  <c r="AI55" i="2"/>
  <c r="BR35" i="1" s="1"/>
  <c r="F193" i="2"/>
  <c r="T140" i="2"/>
  <c r="AY151" i="2"/>
  <c r="BD208" i="2"/>
  <c r="BC208" i="2"/>
  <c r="AL154" i="2"/>
  <c r="K140" i="2"/>
  <c r="T216" i="2"/>
  <c r="BA363" i="2"/>
  <c r="F287" i="2"/>
  <c r="E63" i="1" s="1"/>
  <c r="I201" i="2"/>
  <c r="R203" i="2"/>
  <c r="AJ363" i="2"/>
  <c r="T213" i="2"/>
  <c r="AX49" i="2"/>
  <c r="U204" i="2"/>
  <c r="AV295" i="2"/>
  <c r="AW295" i="2"/>
  <c r="AT284" i="2"/>
  <c r="AX253" i="2"/>
  <c r="AN217" i="2"/>
  <c r="L161" i="2"/>
  <c r="L240" i="2"/>
  <c r="AJ282" i="2"/>
  <c r="AZ281" i="2"/>
  <c r="E291" i="2"/>
  <c r="Y193" i="2"/>
  <c r="AJ150" i="2"/>
  <c r="AH50" i="2"/>
  <c r="AI50" i="2"/>
  <c r="Z232" i="2"/>
  <c r="K243" i="2"/>
  <c r="D150" i="2"/>
  <c r="AQ237" i="2"/>
  <c r="J243" i="2"/>
  <c r="I291" i="2"/>
  <c r="H65" i="1" s="1"/>
  <c r="AT144" i="2"/>
  <c r="P203" i="2"/>
  <c r="AD234" i="2"/>
  <c r="AB243" i="2"/>
  <c r="AA243" i="2"/>
  <c r="P149" i="2"/>
  <c r="BA281" i="2"/>
  <c r="AZ210" i="2"/>
  <c r="AZ193" i="2"/>
  <c r="I148" i="2"/>
  <c r="G287" i="2"/>
  <c r="F63" i="1" s="1"/>
  <c r="AK236" i="2"/>
  <c r="J151" i="2"/>
  <c r="AR153" i="2"/>
  <c r="T274" i="2"/>
  <c r="T275" i="2"/>
  <c r="N298" i="2"/>
  <c r="Y202" i="2"/>
  <c r="AC207" i="2"/>
  <c r="AQ207" i="2"/>
  <c r="AJ144" i="2"/>
  <c r="AS253" i="2"/>
  <c r="G294" i="2"/>
  <c r="G295" i="2"/>
  <c r="AQ57" i="2"/>
  <c r="AQ260" i="2" s="1"/>
  <c r="X235" i="2"/>
  <c r="H261" i="2"/>
  <c r="H22" i="2"/>
  <c r="H20" i="2" s="1"/>
  <c r="G22" i="1" s="1"/>
  <c r="P16" i="2"/>
  <c r="BE20" i="1" s="1"/>
  <c r="F293" i="2"/>
  <c r="W161" i="2"/>
  <c r="W18" i="2"/>
  <c r="AV204" i="2"/>
  <c r="AS144" i="2"/>
  <c r="AG166" i="2"/>
  <c r="P49" i="2"/>
  <c r="AX204" i="2"/>
  <c r="AX232" i="2"/>
  <c r="U235" i="2"/>
  <c r="AD41" i="2"/>
  <c r="P45" i="2"/>
  <c r="AF255" i="2"/>
  <c r="J292" i="2"/>
  <c r="N150" i="2"/>
  <c r="AT205" i="2"/>
  <c r="AZ283" i="2"/>
  <c r="AT152" i="2"/>
  <c r="AQ18" i="2"/>
  <c r="AG195" i="2"/>
  <c r="AJ154" i="2"/>
  <c r="F241" i="2"/>
  <c r="W238" i="2"/>
  <c r="AS161" i="2"/>
  <c r="J7" i="2"/>
  <c r="AQ240" i="2"/>
  <c r="AU216" i="2"/>
  <c r="AI210" i="2"/>
  <c r="AI193" i="2"/>
  <c r="AH193" i="2"/>
  <c r="AM7" i="2"/>
  <c r="Y166" i="2"/>
  <c r="AR140" i="2"/>
  <c r="V239" i="2"/>
  <c r="N181" i="2"/>
  <c r="P168" i="2"/>
  <c r="X242" i="2"/>
  <c r="R169" i="2"/>
  <c r="I240" i="2"/>
  <c r="AX166" i="2"/>
  <c r="BB138" i="2"/>
  <c r="AB7" i="2"/>
  <c r="AN16" i="2"/>
  <c r="G213" i="2"/>
  <c r="AD216" i="2"/>
  <c r="R230" i="2"/>
  <c r="AZ217" i="2"/>
  <c r="AT236" i="2"/>
  <c r="AK234" i="2"/>
  <c r="AO138" i="2"/>
  <c r="AP138" i="2"/>
  <c r="AS217" i="2"/>
  <c r="AO204" i="2"/>
  <c r="T7" i="2"/>
  <c r="P193" i="2"/>
  <c r="AG295" i="2"/>
  <c r="BB235" i="2"/>
  <c r="Q282" i="2"/>
  <c r="W153" i="2"/>
  <c r="M241" i="2"/>
  <c r="M166" i="2"/>
  <c r="M281" i="2"/>
  <c r="AL240" i="2"/>
  <c r="AB182" i="2"/>
  <c r="X241" i="2"/>
  <c r="X230" i="2"/>
  <c r="AK50" i="2"/>
  <c r="H55" i="2"/>
  <c r="G35" i="1" s="1"/>
  <c r="E230" i="2"/>
  <c r="AS150" i="2"/>
  <c r="R239" i="2"/>
  <c r="BA42" i="2"/>
  <c r="BA265" i="2" s="1"/>
  <c r="Y230" i="2"/>
  <c r="P152" i="2"/>
  <c r="M294" i="2"/>
  <c r="S202" i="2"/>
  <c r="AN195" i="2"/>
  <c r="F294" i="2"/>
  <c r="BA291" i="2"/>
  <c r="AU47" i="2"/>
  <c r="R299" i="2"/>
  <c r="BM64" i="1" s="1"/>
  <c r="X287" i="2"/>
  <c r="X47" i="2"/>
  <c r="P166" i="2"/>
  <c r="AL149" i="2"/>
  <c r="AR57" i="2"/>
  <c r="AR260" i="2" s="1"/>
  <c r="AP243" i="2"/>
  <c r="AO243" i="2"/>
  <c r="AT217" i="2"/>
  <c r="G216" i="2"/>
  <c r="D280" i="2"/>
  <c r="AB205" i="2"/>
  <c r="AA205" i="2"/>
  <c r="AL207" i="2"/>
  <c r="J216" i="2"/>
  <c r="BB312" i="2"/>
  <c r="S9" i="2"/>
  <c r="AR59" i="2"/>
  <c r="S57" i="2"/>
  <c r="AY195" i="2"/>
  <c r="AE291" i="2"/>
  <c r="AX295" i="2"/>
  <c r="AK255" i="2"/>
  <c r="AU207" i="2"/>
  <c r="AG153" i="2"/>
  <c r="AQ203" i="2"/>
  <c r="BA240" i="2"/>
  <c r="AR232" i="2"/>
  <c r="S47" i="2"/>
  <c r="AE217" i="2"/>
  <c r="BD42" i="2"/>
  <c r="BD265" i="2" s="1"/>
  <c r="AV302" i="2"/>
  <c r="AW302" i="2"/>
  <c r="J5" i="2"/>
  <c r="E299" i="2"/>
  <c r="E57" i="2"/>
  <c r="E260" i="2" s="1"/>
  <c r="Q181" i="2"/>
  <c r="AF208" i="2"/>
  <c r="AM152" i="2"/>
  <c r="AB213" i="2"/>
  <c r="AA213" i="2"/>
  <c r="AM41" i="2"/>
  <c r="F283" i="2"/>
  <c r="AZ195" i="2"/>
  <c r="L239" i="2"/>
  <c r="W302" i="2"/>
  <c r="AM243" i="2"/>
  <c r="AL216" i="2"/>
  <c r="G144" i="2"/>
  <c r="L213" i="2"/>
  <c r="AH209" i="2"/>
  <c r="M312" i="2"/>
  <c r="AR311" i="2" s="1"/>
  <c r="P216" i="2"/>
  <c r="W291" i="2"/>
  <c r="BB16" i="2"/>
  <c r="AU275" i="2"/>
  <c r="AU274" i="2"/>
  <c r="AS241" i="2"/>
  <c r="AF295" i="2"/>
  <c r="AF138" i="2"/>
  <c r="Y149" i="2"/>
  <c r="O205" i="2"/>
  <c r="AW237" i="2"/>
  <c r="AV237" i="2"/>
  <c r="BB9" i="2"/>
  <c r="AZ202" i="2"/>
  <c r="AZ16" i="2"/>
  <c r="AQ50" i="2"/>
  <c r="M280" i="2"/>
  <c r="AT275" i="2"/>
  <c r="AT274" i="2"/>
  <c r="AA216" i="2"/>
  <c r="AB216" i="2"/>
  <c r="AE152" i="2"/>
  <c r="AL138" i="2"/>
  <c r="Y216" i="2"/>
  <c r="R179" i="2"/>
  <c r="X302" i="2"/>
  <c r="BB295" i="2"/>
  <c r="AX155" i="2"/>
  <c r="J179" i="2"/>
  <c r="AI166" i="2"/>
  <c r="AH166" i="2"/>
  <c r="F179" i="2"/>
  <c r="N295" i="2"/>
  <c r="U237" i="2"/>
  <c r="N284" i="2"/>
  <c r="T233" i="2"/>
  <c r="AL166" i="2"/>
  <c r="D55" i="2"/>
  <c r="X149" i="2"/>
  <c r="W294" i="2"/>
  <c r="M240" i="2"/>
  <c r="S233" i="2"/>
  <c r="I9" i="2"/>
  <c r="BB203" i="2"/>
  <c r="BC242" i="2"/>
  <c r="BD242" i="2"/>
  <c r="N195" i="2"/>
  <c r="D233" i="2"/>
  <c r="J9" i="2"/>
  <c r="O14" i="1" s="1"/>
  <c r="AL179" i="2"/>
  <c r="AK238" i="2"/>
  <c r="AP208" i="2"/>
  <c r="AO208" i="2"/>
  <c r="AS255" i="2"/>
  <c r="AS256" i="2" s="1"/>
  <c r="AS270" i="2" s="1"/>
  <c r="Z216" i="2"/>
  <c r="S282" i="2"/>
  <c r="AY233" i="2"/>
  <c r="L302" i="2"/>
  <c r="AI283" i="2"/>
  <c r="AU50" i="2"/>
  <c r="AZ47" i="2"/>
  <c r="P235" i="2"/>
  <c r="O42" i="2"/>
  <c r="O265" i="2" s="1"/>
  <c r="AA149" i="2"/>
  <c r="AB149" i="2"/>
  <c r="AA284" i="2"/>
  <c r="AB284" i="2"/>
  <c r="BQ62" i="1" s="1"/>
  <c r="U213" i="2"/>
  <c r="U283" i="2"/>
  <c r="M232" i="2"/>
  <c r="H253" i="2"/>
  <c r="AQ233" i="2"/>
  <c r="AH235" i="2"/>
  <c r="AI235" i="2"/>
  <c r="BD209" i="2"/>
  <c r="AY206" i="2"/>
  <c r="Z50" i="2"/>
  <c r="Y208" i="2"/>
  <c r="AR240" i="2"/>
  <c r="AE9" i="2"/>
  <c r="F166" i="2"/>
  <c r="F170" i="2" s="1"/>
  <c r="V193" i="2"/>
  <c r="BB207" i="2"/>
  <c r="R5" i="2"/>
  <c r="I55" i="2"/>
  <c r="H35" i="1" s="1"/>
  <c r="AW5" i="2"/>
  <c r="Y291" i="2"/>
  <c r="AY203" i="2"/>
  <c r="R45" i="2"/>
  <c r="AC363" i="2"/>
  <c r="M168" i="2"/>
  <c r="AE241" i="2"/>
  <c r="M5" i="2"/>
  <c r="AL55" i="2"/>
  <c r="W312" i="2"/>
  <c r="W313" i="2" s="1"/>
  <c r="AV166" i="2"/>
  <c r="AW166" i="2"/>
  <c r="K238" i="2"/>
  <c r="AX217" i="2"/>
  <c r="P5" i="2"/>
  <c r="AW122" i="2"/>
  <c r="BT77" i="1" s="1"/>
  <c r="BJ297" i="2"/>
  <c r="BD297" i="2"/>
  <c r="AW344" i="2"/>
  <c r="BT80" i="1" s="1"/>
  <c r="AH202" i="2"/>
  <c r="AI202" i="2"/>
  <c r="T239" i="2"/>
  <c r="AM277" i="2"/>
  <c r="P140" i="2"/>
  <c r="Q306" i="2" s="1"/>
  <c r="J153" i="2"/>
  <c r="M311" i="2"/>
  <c r="BB148" i="2"/>
  <c r="AB193" i="2"/>
  <c r="AA193" i="2"/>
  <c r="AB210" i="2"/>
  <c r="AM242" i="2"/>
  <c r="AD195" i="2"/>
  <c r="AZ144" i="2"/>
  <c r="N208" i="2"/>
  <c r="AB299" i="2"/>
  <c r="BQ64" i="1" s="1"/>
  <c r="AA299" i="2"/>
  <c r="Z208" i="2"/>
  <c r="AP59" i="2"/>
  <c r="AP259" i="2" s="1"/>
  <c r="H57" i="2"/>
  <c r="AJ153" i="2"/>
  <c r="AG302" i="2"/>
  <c r="AG312" i="2"/>
  <c r="J298" i="2"/>
  <c r="AY201" i="2"/>
  <c r="U293" i="2"/>
  <c r="AZ216" i="2"/>
  <c r="G154" i="2"/>
  <c r="M242" i="2"/>
  <c r="J230" i="2"/>
  <c r="AN234" i="2"/>
  <c r="AQ243" i="2"/>
  <c r="Z236" i="2"/>
  <c r="M302" i="2"/>
  <c r="E153" i="2"/>
  <c r="AL18" i="2"/>
  <c r="AN241" i="2"/>
  <c r="O237" i="2"/>
  <c r="D203" i="2"/>
  <c r="J235" i="2"/>
  <c r="AG152" i="2"/>
  <c r="AI363" i="2"/>
  <c r="AH363" i="2"/>
  <c r="AT156" i="2"/>
  <c r="BD275" i="2"/>
  <c r="BD274" i="2"/>
  <c r="M195" i="2"/>
  <c r="M161" i="2"/>
  <c r="AB253" i="2"/>
  <c r="AA253" i="2"/>
  <c r="BF254" i="2" s="1"/>
  <c r="BF269" i="2" s="1"/>
  <c r="AI168" i="2"/>
  <c r="W292" i="2"/>
  <c r="AM284" i="2"/>
  <c r="F161" i="2"/>
  <c r="AM195" i="2"/>
  <c r="AC235" i="2"/>
  <c r="BB14" i="2"/>
  <c r="AW169" i="2"/>
  <c r="AJ239" i="2"/>
  <c r="AE151" i="2"/>
  <c r="M9" i="2"/>
  <c r="K179" i="2"/>
  <c r="T237" i="2"/>
  <c r="W155" i="2"/>
  <c r="AK241" i="2"/>
  <c r="T151" i="2"/>
  <c r="O287" i="2"/>
  <c r="AX63" i="1" s="1"/>
  <c r="Q177" i="2"/>
  <c r="F50" i="2"/>
  <c r="BA280" i="2"/>
  <c r="AI226" i="2"/>
  <c r="AE235" i="2"/>
  <c r="O55" i="2"/>
  <c r="AX35" i="1" s="1"/>
  <c r="AM295" i="2"/>
  <c r="E280" i="2"/>
  <c r="AY243" i="2"/>
  <c r="R193" i="2"/>
  <c r="AE150" i="2"/>
  <c r="AG34" i="2"/>
  <c r="AW150" i="2"/>
  <c r="H5" i="2"/>
  <c r="AU312" i="2"/>
  <c r="AC236" i="2"/>
  <c r="AK201" i="2"/>
  <c r="U209" i="2"/>
  <c r="R47" i="2"/>
  <c r="E213" i="2"/>
  <c r="S14" i="2"/>
  <c r="H243" i="2"/>
  <c r="L203" i="2"/>
  <c r="AJ203" i="2"/>
  <c r="O16" i="2"/>
  <c r="O233" i="2"/>
  <c r="AD235" i="2"/>
  <c r="AM144" i="2"/>
  <c r="T287" i="2"/>
  <c r="BO63" i="1" s="1"/>
  <c r="U144" i="2"/>
  <c r="AQ280" i="2"/>
  <c r="AE255" i="2"/>
  <c r="AE256" i="2" s="1"/>
  <c r="AE270" i="2" s="1"/>
  <c r="AC150" i="2"/>
  <c r="N274" i="2"/>
  <c r="N275" i="2"/>
  <c r="AQ59" i="1" s="1"/>
  <c r="AZ155" i="2"/>
  <c r="AR216" i="2"/>
  <c r="AG55" i="2"/>
  <c r="AF47" i="2"/>
  <c r="R152" i="2"/>
  <c r="S297" i="2"/>
  <c r="R344" i="2"/>
  <c r="BM80" i="1" s="1"/>
  <c r="R122" i="2"/>
  <c r="BM77" i="1" s="1"/>
  <c r="AL234" i="2"/>
  <c r="BB240" i="2"/>
  <c r="AB55" i="2"/>
  <c r="BQ35" i="1" s="1"/>
  <c r="J152" i="2"/>
  <c r="AE59" i="2"/>
  <c r="F207" i="2"/>
  <c r="N282" i="2"/>
  <c r="AT166" i="2"/>
  <c r="AD312" i="2"/>
  <c r="AD313" i="2" s="1"/>
  <c r="AI182" i="2"/>
  <c r="BA236" i="2"/>
  <c r="L55" i="2"/>
  <c r="AC35" i="1" s="1"/>
  <c r="AK312" i="2"/>
  <c r="AE292" i="2"/>
  <c r="N203" i="2"/>
  <c r="AW55" i="2"/>
  <c r="BT35" i="1" s="1"/>
  <c r="AE299" i="2"/>
  <c r="AK203" i="2"/>
  <c r="O240" i="2"/>
  <c r="AG238" i="2"/>
  <c r="E238" i="2"/>
  <c r="AG57" i="2"/>
  <c r="AG260" i="2" s="1"/>
  <c r="S144" i="2"/>
  <c r="Y280" i="2"/>
  <c r="AT232" i="2"/>
  <c r="BB216" i="2"/>
  <c r="AR241" i="2"/>
  <c r="K291" i="2"/>
  <c r="V65" i="1" s="1"/>
  <c r="T177" i="2"/>
  <c r="AD243" i="2"/>
  <c r="AN151" i="2"/>
  <c r="W7" i="2"/>
  <c r="AZ207" i="2"/>
  <c r="AV195" i="2"/>
  <c r="AW195" i="2"/>
  <c r="S236" i="2"/>
  <c r="G16" i="2"/>
  <c r="AD274" i="2"/>
  <c r="AD275" i="2"/>
  <c r="AM291" i="2"/>
  <c r="AD287" i="2"/>
  <c r="BB202" i="2"/>
  <c r="AI34" i="2"/>
  <c r="AH34" i="2"/>
  <c r="AV241" i="2"/>
  <c r="AW241" i="2"/>
  <c r="K295" i="2"/>
  <c r="Z235" i="2"/>
  <c r="AL205" i="2"/>
  <c r="E179" i="2"/>
  <c r="N149" i="2"/>
  <c r="H239" i="2"/>
  <c r="H294" i="2"/>
  <c r="AC42" i="2"/>
  <c r="AC265" i="2" s="1"/>
  <c r="H233" i="2"/>
  <c r="AL255" i="2"/>
  <c r="AK237" i="2"/>
  <c r="AM230" i="2"/>
  <c r="AG363" i="2"/>
  <c r="X210" i="2"/>
  <c r="X193" i="2"/>
  <c r="AU363" i="2"/>
  <c r="Z144" i="2"/>
  <c r="N42" i="2"/>
  <c r="N265" i="2" s="1"/>
  <c r="P195" i="2"/>
  <c r="AK9" i="2"/>
  <c r="V217" i="2"/>
  <c r="I34" i="2"/>
  <c r="BA243" i="2"/>
  <c r="V138" i="2"/>
  <c r="AP213" i="2"/>
  <c r="I195" i="2"/>
  <c r="I294" i="2"/>
  <c r="AU233" i="2"/>
  <c r="K216" i="2"/>
  <c r="S235" i="2"/>
  <c r="Z140" i="2"/>
  <c r="BD151" i="2"/>
  <c r="BC151" i="2"/>
  <c r="H156" i="2"/>
  <c r="L151" i="2"/>
  <c r="R34" i="2"/>
  <c r="V34" i="2"/>
  <c r="V37" i="2" s="1"/>
  <c r="AF282" i="2"/>
  <c r="D217" i="2"/>
  <c r="AQ9" i="2"/>
  <c r="R209" i="2"/>
  <c r="Y277" i="2"/>
  <c r="BB297" i="2"/>
  <c r="AP297" i="2"/>
  <c r="AV297" i="2"/>
  <c r="BH297" i="2"/>
  <c r="AI344" i="2"/>
  <c r="BR80" i="1" s="1"/>
  <c r="AI122" i="2"/>
  <c r="BR77" i="1" s="1"/>
  <c r="H195" i="2"/>
  <c r="Q7" i="2"/>
  <c r="R287" i="2"/>
  <c r="Q253" i="2"/>
  <c r="AW177" i="2"/>
  <c r="AV177" i="2"/>
  <c r="AR49" i="2"/>
  <c r="K287" i="2"/>
  <c r="V63" i="1" s="1"/>
  <c r="BD202" i="2"/>
  <c r="BC202" i="2"/>
  <c r="M207" i="2"/>
  <c r="AD253" i="2"/>
  <c r="AD254" i="2" s="1"/>
  <c r="AD269" i="2" s="1"/>
  <c r="O291" i="2"/>
  <c r="AX65" i="1" s="1"/>
  <c r="AO232" i="2"/>
  <c r="AP232" i="2"/>
  <c r="H213" i="2"/>
  <c r="BD255" i="2"/>
  <c r="BC255" i="2"/>
  <c r="AT140" i="2"/>
  <c r="AB298" i="2"/>
  <c r="T41" i="2"/>
  <c r="AI208" i="2"/>
  <c r="AH208" i="2"/>
  <c r="G153" i="2"/>
  <c r="AR281" i="2"/>
  <c r="AB296" i="2"/>
  <c r="AB222" i="2"/>
  <c r="Y217" i="2"/>
  <c r="F240" i="2"/>
  <c r="AL274" i="2"/>
  <c r="AL275" i="2"/>
  <c r="AR217" i="2"/>
  <c r="AI281" i="2"/>
  <c r="AH281" i="2"/>
  <c r="W237" i="2"/>
  <c r="AX156" i="2"/>
  <c r="D287" i="2"/>
  <c r="AR195" i="2"/>
  <c r="Y281" i="2"/>
  <c r="J217" i="2"/>
  <c r="AQ238" i="2"/>
  <c r="AS207" i="2"/>
  <c r="AK291" i="2"/>
  <c r="G207" i="2"/>
  <c r="G243" i="2"/>
  <c r="AT312" i="2"/>
  <c r="D49" i="2"/>
  <c r="AG287" i="2"/>
  <c r="AU14" i="2"/>
  <c r="AZ205" i="2"/>
  <c r="G195" i="2"/>
  <c r="AN253" i="2"/>
  <c r="AO294" i="2"/>
  <c r="AP294" i="2"/>
  <c r="S344" i="2"/>
  <c r="BN80" i="1" s="1"/>
  <c r="AX297" i="2"/>
  <c r="S122" i="2"/>
  <c r="BN77" i="1" s="1"/>
  <c r="T297" i="2"/>
  <c r="AR280" i="2"/>
  <c r="H210" i="2"/>
  <c r="AT206" i="2"/>
  <c r="U297" i="2"/>
  <c r="T122" i="2"/>
  <c r="BO77" i="1" s="1"/>
  <c r="T344" i="2"/>
  <c r="BO80" i="1" s="1"/>
  <c r="AY297" i="2"/>
  <c r="AI118" i="2"/>
  <c r="BR72" i="1"/>
  <c r="BS72" i="1"/>
  <c r="AP118" i="2"/>
  <c r="E274" i="2"/>
  <c r="E275" i="2"/>
  <c r="BA140" i="2"/>
  <c r="F149" i="2"/>
  <c r="M193" i="2"/>
  <c r="G210" i="2"/>
  <c r="M150" i="2"/>
  <c r="AQ287" i="2"/>
  <c r="AM281" i="2"/>
  <c r="AI179" i="2"/>
  <c r="AH179" i="2"/>
  <c r="AE205" i="2"/>
  <c r="AU297" i="2"/>
  <c r="BG297" i="2"/>
  <c r="AO297" i="2"/>
  <c r="AB122" i="2"/>
  <c r="BQ77" i="1" s="1"/>
  <c r="BA297" i="2"/>
  <c r="AI297" i="2"/>
  <c r="AB344" i="2"/>
  <c r="BQ80" i="1" s="1"/>
  <c r="H201" i="2"/>
  <c r="AQ16" i="2"/>
  <c r="AC153" i="2"/>
  <c r="AV239" i="2"/>
  <c r="AW239" i="2"/>
  <c r="T159" i="2"/>
  <c r="AC9" i="2"/>
  <c r="AT153" i="2"/>
  <c r="AX5" i="2"/>
  <c r="AU151" i="2"/>
  <c r="AU57" i="2"/>
  <c r="AU260" i="2" s="1"/>
  <c r="F138" i="2"/>
  <c r="G283" i="2"/>
  <c r="N242" i="2"/>
  <c r="K49" i="2"/>
  <c r="AQ242" i="2"/>
  <c r="E149" i="2"/>
  <c r="AM166" i="2"/>
  <c r="AM363" i="2"/>
  <c r="V208" i="2"/>
  <c r="AR149" i="2"/>
  <c r="Z217" i="2"/>
  <c r="Q344" i="2"/>
  <c r="Q122" i="2"/>
  <c r="BL77" i="1" s="1"/>
  <c r="BL80" i="1" s="1"/>
  <c r="R297" i="2"/>
  <c r="AH312" i="2"/>
  <c r="AI312" i="2"/>
  <c r="AU203" i="2"/>
  <c r="U159" i="2"/>
  <c r="M295" i="2"/>
  <c r="AU280" i="2"/>
  <c r="AR156" i="2"/>
  <c r="AE177" i="2"/>
  <c r="AD154" i="2"/>
  <c r="P294" i="2"/>
  <c r="J302" i="2"/>
  <c r="L217" i="2"/>
  <c r="AM216" i="2"/>
  <c r="O168" i="2"/>
  <c r="S294" i="2"/>
  <c r="AM207" i="2"/>
  <c r="P14" i="2"/>
  <c r="P237" i="2"/>
  <c r="AY193" i="2"/>
  <c r="Z7" i="2"/>
  <c r="Z8" i="2" s="1"/>
  <c r="X255" i="2"/>
  <c r="X256" i="2" s="1"/>
  <c r="X270" i="2" s="1"/>
  <c r="J57" i="2"/>
  <c r="S42" i="2"/>
  <c r="S265" i="2" s="1"/>
  <c r="AC294" i="2"/>
  <c r="Q148" i="2"/>
  <c r="AP207" i="2"/>
  <c r="AO207" i="2"/>
  <c r="O181" i="2"/>
  <c r="M230" i="2"/>
  <c r="AL14" i="2"/>
  <c r="H16" i="2"/>
  <c r="BA161" i="2"/>
  <c r="H138" i="2"/>
  <c r="AI282" i="2"/>
  <c r="AH282" i="2"/>
  <c r="G193" i="2"/>
  <c r="X5" i="2"/>
  <c r="AF9" i="2"/>
  <c r="I235" i="2"/>
  <c r="AJ280" i="2"/>
  <c r="K253" i="2"/>
  <c r="AZ243" i="2"/>
  <c r="V177" i="2"/>
  <c r="J50" i="2"/>
  <c r="AL209" i="2"/>
  <c r="AR235" i="2"/>
  <c r="AU159" i="2"/>
  <c r="AK47" i="2"/>
  <c r="BB230" i="2"/>
  <c r="N205" i="2"/>
  <c r="BB280" i="2"/>
  <c r="AF363" i="2"/>
  <c r="S302" i="2"/>
  <c r="AF239" i="2"/>
  <c r="I202" i="2"/>
  <c r="V47" i="2"/>
  <c r="AM232" i="2"/>
  <c r="AZ161" i="2"/>
  <c r="I150" i="2"/>
  <c r="U138" i="2"/>
  <c r="AY281" i="2"/>
  <c r="D22" i="2"/>
  <c r="D20" i="2" s="1"/>
  <c r="D261" i="2"/>
  <c r="AX42" i="2"/>
  <c r="AX265" i="2" s="1"/>
  <c r="Z46" i="2"/>
  <c r="BC154" i="2"/>
  <c r="BD154" i="2"/>
  <c r="E7" i="2"/>
  <c r="AX203" i="2"/>
  <c r="H166" i="2"/>
  <c r="H170" i="2" s="1"/>
  <c r="H295" i="2"/>
  <c r="V243" i="2"/>
  <c r="I208" i="2"/>
  <c r="P201" i="2"/>
  <c r="AV280" i="2"/>
  <c r="AW280" i="2"/>
  <c r="Z59" i="2"/>
  <c r="BB232" i="2"/>
  <c r="AY42" i="2"/>
  <c r="AY265" i="2" s="1"/>
  <c r="Q230" i="2"/>
  <c r="AD140" i="2"/>
  <c r="S240" i="2"/>
  <c r="BN53" i="1" s="1"/>
  <c r="BN82" i="1" s="1"/>
  <c r="AO177" i="2"/>
  <c r="AP177" i="2"/>
  <c r="AH241" i="2"/>
  <c r="AI241" i="2"/>
  <c r="U153" i="2"/>
  <c r="W243" i="2"/>
  <c r="K280" i="2"/>
  <c r="AI242" i="2"/>
  <c r="AH242" i="2"/>
  <c r="J207" i="2"/>
  <c r="T293" i="2"/>
  <c r="AZ363" i="2"/>
  <c r="AE242" i="2"/>
  <c r="R278" i="2"/>
  <c r="BM61" i="1" s="1"/>
  <c r="I283" i="2"/>
  <c r="AN7" i="2"/>
  <c r="AU195" i="2"/>
  <c r="BB156" i="2"/>
  <c r="K242" i="2"/>
  <c r="J177" i="2"/>
  <c r="U284" i="2"/>
  <c r="BP62" i="1" s="1"/>
  <c r="AU238" i="2"/>
  <c r="AY41" i="2"/>
  <c r="AY230" i="2"/>
  <c r="AZ282" i="2"/>
  <c r="Q205" i="2"/>
  <c r="T202" i="2"/>
  <c r="AJ179" i="2"/>
  <c r="P155" i="2"/>
  <c r="AF206" i="2"/>
  <c r="AE206" i="2"/>
  <c r="AL239" i="2"/>
  <c r="K7" i="2"/>
  <c r="BB46" i="2"/>
  <c r="AE232" i="2"/>
  <c r="BA179" i="2"/>
  <c r="R151" i="2"/>
  <c r="E152" i="2"/>
  <c r="G282" i="2"/>
  <c r="P274" i="2"/>
  <c r="P275" i="2"/>
  <c r="BE59" i="1" s="1"/>
  <c r="N235" i="2"/>
  <c r="P150" i="2"/>
  <c r="BD46" i="2"/>
  <c r="X239" i="2"/>
  <c r="J140" i="2"/>
  <c r="O50" i="1" s="1"/>
  <c r="O52" i="1" s="1"/>
  <c r="V83" i="1" s="1"/>
  <c r="V84" i="1" s="1"/>
  <c r="K177" i="2"/>
  <c r="X312" i="2"/>
  <c r="X313" i="2" s="1"/>
  <c r="Z166" i="2"/>
  <c r="AN363" i="2"/>
  <c r="AC206" i="2"/>
  <c r="I153" i="2"/>
  <c r="S182" i="2"/>
  <c r="E206" i="2"/>
  <c r="AQ59" i="2"/>
  <c r="AQ259" i="2" s="1"/>
  <c r="AS155" i="2"/>
  <c r="K203" i="2"/>
  <c r="AR34" i="2"/>
  <c r="AO195" i="2"/>
  <c r="AP195" i="2"/>
  <c r="J14" i="2"/>
  <c r="AW297" i="2"/>
  <c r="BC297" i="2"/>
  <c r="BI297" i="2"/>
  <c r="AP122" i="2"/>
  <c r="BS77" i="1" s="1"/>
  <c r="AP344" i="2"/>
  <c r="BS80" i="1" s="1"/>
  <c r="R140" i="2"/>
  <c r="BD233" i="2"/>
  <c r="BC233" i="2"/>
  <c r="AM201" i="2"/>
  <c r="BB274" i="2"/>
  <c r="BB275" i="2"/>
  <c r="BT72" i="1"/>
  <c r="AW118" i="2"/>
  <c r="AJ233" i="2"/>
  <c r="AX239" i="2"/>
  <c r="AZ292" i="2"/>
  <c r="AN155" i="2"/>
  <c r="O208" i="2"/>
  <c r="E284" i="2"/>
  <c r="N253" i="2"/>
  <c r="AT255" i="2"/>
  <c r="AN161" i="2"/>
  <c r="O294" i="2"/>
  <c r="K156" i="2"/>
  <c r="AD179" i="2"/>
  <c r="AT55" i="2"/>
  <c r="AA152" i="2"/>
  <c r="AB152" i="2"/>
  <c r="Y159" i="2"/>
  <c r="BB151" i="2"/>
  <c r="Q155" i="2"/>
  <c r="Y299" i="2"/>
  <c r="AN274" i="2"/>
  <c r="AN275" i="2"/>
  <c r="AS230" i="2"/>
  <c r="AA203" i="2"/>
  <c r="AB203" i="2"/>
  <c r="AX287" i="2"/>
  <c r="X148" i="2"/>
  <c r="AX193" i="2"/>
  <c r="P148" i="2"/>
  <c r="I207" i="2"/>
  <c r="N293" i="2"/>
  <c r="M238" i="2"/>
  <c r="BA151" i="2"/>
  <c r="BA193" i="2"/>
  <c r="AW182" i="2"/>
  <c r="AF41" i="2"/>
  <c r="G203" i="2"/>
  <c r="H85" i="2" s="1"/>
  <c r="AJ161" i="2"/>
  <c r="Y152" i="2"/>
  <c r="R216" i="2"/>
  <c r="AY232" i="2"/>
  <c r="X166" i="2"/>
  <c r="D16" i="28"/>
  <c r="AP18" i="2"/>
  <c r="AP19" i="2" s="1"/>
  <c r="AJ49" i="2"/>
  <c r="AN302" i="2"/>
  <c r="AF140" i="2"/>
  <c r="AF225" i="2" s="1"/>
  <c r="AF227" i="2" s="1"/>
  <c r="F216" i="2"/>
  <c r="AW14" i="2"/>
  <c r="AC138" i="2"/>
  <c r="M293" i="2"/>
  <c r="G47" i="2"/>
  <c r="K293" i="2"/>
  <c r="AB118" i="2"/>
  <c r="BQ72" i="1"/>
  <c r="AZ295" i="2"/>
  <c r="AS275" i="2"/>
  <c r="AS274" i="2"/>
  <c r="X159" i="2"/>
  <c r="AC208" i="2"/>
  <c r="M253" i="2"/>
  <c r="AU232" i="2"/>
  <c r="G242" i="2"/>
  <c r="AN312" i="2"/>
  <c r="AC57" i="2"/>
  <c r="AC260" i="2" s="1"/>
  <c r="AG291" i="2"/>
  <c r="AD293" i="2"/>
  <c r="AT51" i="2"/>
  <c r="BJ80" i="2"/>
  <c r="P333" i="2"/>
  <c r="AJ298" i="2"/>
  <c r="AD298" i="2"/>
  <c r="AX298" i="2"/>
  <c r="K34" i="28"/>
  <c r="G33" i="28"/>
  <c r="F35" i="28"/>
  <c r="BL59" i="1"/>
  <c r="BD333" i="2"/>
  <c r="BB283" i="2"/>
  <c r="AQ298" i="2"/>
  <c r="K259" i="2"/>
  <c r="K324" i="2"/>
  <c r="K120" i="2"/>
  <c r="AV277" i="2"/>
  <c r="BC159" i="2"/>
  <c r="BN20" i="1"/>
  <c r="P260" i="2"/>
  <c r="BE37" i="1"/>
  <c r="G59" i="1"/>
  <c r="AQ70" i="2"/>
  <c r="AQ145" i="2"/>
  <c r="AQ210" i="2"/>
  <c r="AT266" i="2"/>
  <c r="Z21" i="2"/>
  <c r="AR278" i="2"/>
  <c r="Z37" i="2"/>
  <c r="Z264" i="2"/>
  <c r="E59" i="1"/>
  <c r="BL37" i="1"/>
  <c r="Q260" i="2"/>
  <c r="AY278" i="2"/>
  <c r="BT20" i="1"/>
  <c r="BJ54" i="2"/>
  <c r="BJ63" i="2" s="1"/>
  <c r="BJ32" i="2"/>
  <c r="BJ98" i="2"/>
  <c r="BJ100" i="2" s="1"/>
  <c r="BK351" i="2"/>
  <c r="BJ102" i="2"/>
  <c r="BK100" i="2"/>
  <c r="BN141" i="2"/>
  <c r="BN76" i="2" s="1"/>
  <c r="BL76" i="2"/>
  <c r="BY33" i="1"/>
  <c r="BN52" i="2"/>
  <c r="BO49" i="2"/>
  <c r="BO51" i="2" s="1"/>
  <c r="BO254" i="2"/>
  <c r="BO269" i="2" s="1"/>
  <c r="BP253" i="2"/>
  <c r="BN197" i="2"/>
  <c r="BN92" i="2" s="1"/>
  <c r="BP47" i="2"/>
  <c r="BO256" i="2"/>
  <c r="BO270" i="2" s="1"/>
  <c r="BP255" i="2"/>
  <c r="BP216" i="2"/>
  <c r="BP50" i="2"/>
  <c r="BP58" i="2"/>
  <c r="P256" i="2" l="1"/>
  <c r="P270" i="2" s="1"/>
  <c r="AY51" i="2"/>
  <c r="BA215" i="2"/>
  <c r="AW215" i="2"/>
  <c r="AW219" i="2" s="1"/>
  <c r="AP358" i="2"/>
  <c r="D23" i="28" s="1"/>
  <c r="L130" i="2"/>
  <c r="AF17" i="2"/>
  <c r="AY8" i="2"/>
  <c r="R256" i="2"/>
  <c r="R270" i="2" s="1"/>
  <c r="AG256" i="2"/>
  <c r="AG270" i="2" s="1"/>
  <c r="AQ51" i="2"/>
  <c r="AJ19" i="2"/>
  <c r="S254" i="2"/>
  <c r="S269" i="2" s="1"/>
  <c r="AQ358" i="2"/>
  <c r="C51" i="28" s="1"/>
  <c r="AY17" i="2"/>
  <c r="L83" i="2"/>
  <c r="AK358" i="2"/>
  <c r="U187" i="2"/>
  <c r="BB51" i="2"/>
  <c r="U51" i="2"/>
  <c r="BP33" i="1" s="1"/>
  <c r="AY358" i="2"/>
  <c r="H51" i="28" s="1"/>
  <c r="P187" i="2"/>
  <c r="AW130" i="2"/>
  <c r="BT55" i="1" s="1"/>
  <c r="AL51" i="2"/>
  <c r="AP131" i="2"/>
  <c r="Z105" i="2"/>
  <c r="Z107" i="2" s="1"/>
  <c r="BD187" i="2"/>
  <c r="BD188" i="2" s="1"/>
  <c r="AR254" i="2"/>
  <c r="AR269" i="2" s="1"/>
  <c r="AD37" i="2"/>
  <c r="AB24" i="2"/>
  <c r="AB25" i="2" s="1"/>
  <c r="BH254" i="2"/>
  <c r="BH269" i="2" s="1"/>
  <c r="AP105" i="2"/>
  <c r="AP107" i="2" s="1"/>
  <c r="BP39" i="1"/>
  <c r="U324" i="2"/>
  <c r="U120" i="2"/>
  <c r="U259" i="2"/>
  <c r="AU266" i="2"/>
  <c r="BT12" i="1"/>
  <c r="E6" i="28"/>
  <c r="AM15" i="2"/>
  <c r="AL131" i="2"/>
  <c r="AQ8" i="2"/>
  <c r="AD358" i="2"/>
  <c r="BJ58" i="2"/>
  <c r="U358" i="2"/>
  <c r="G46" i="28"/>
  <c r="BB130" i="2"/>
  <c r="L256" i="2"/>
  <c r="L270" i="2" s="1"/>
  <c r="BA8" i="2"/>
  <c r="I45" i="28"/>
  <c r="AJ215" i="2"/>
  <c r="I43" i="28"/>
  <c r="BA17" i="2"/>
  <c r="AQ215" i="2"/>
  <c r="U188" i="2"/>
  <c r="J85" i="2"/>
  <c r="L187" i="2"/>
  <c r="U174" i="2"/>
  <c r="AQ256" i="2"/>
  <c r="AQ270" i="2" s="1"/>
  <c r="I41" i="28"/>
  <c r="F11" i="2"/>
  <c r="BA10" i="2"/>
  <c r="BA19" i="2"/>
  <c r="I44" i="28"/>
  <c r="T51" i="2"/>
  <c r="BO33" i="1" s="1"/>
  <c r="AP279" i="2"/>
  <c r="AY256" i="2"/>
  <c r="AY270" i="2" s="1"/>
  <c r="K173" i="2"/>
  <c r="F15" i="28"/>
  <c r="D303" i="2"/>
  <c r="P85" i="2"/>
  <c r="AM256" i="2"/>
  <c r="AM270" i="2" s="1"/>
  <c r="I215" i="2"/>
  <c r="F16" i="28"/>
  <c r="C45" i="28"/>
  <c r="V105" i="2"/>
  <c r="V107" i="2" s="1"/>
  <c r="AQ19" i="2"/>
  <c r="C44" i="28"/>
  <c r="AI131" i="2"/>
  <c r="R174" i="2"/>
  <c r="AL130" i="2"/>
  <c r="X303" i="2"/>
  <c r="Z215" i="2"/>
  <c r="M85" i="2"/>
  <c r="M86" i="2" s="1"/>
  <c r="AG358" i="2"/>
  <c r="AU358" i="2"/>
  <c r="F51" i="28" s="1"/>
  <c r="V130" i="2"/>
  <c r="V106" i="2" s="1"/>
  <c r="V108" i="2" s="1"/>
  <c r="F41" i="28"/>
  <c r="AX131" i="2"/>
  <c r="R215" i="2"/>
  <c r="X105" i="2"/>
  <c r="X107" i="2" s="1"/>
  <c r="AJ51" i="2"/>
  <c r="C43" i="28"/>
  <c r="N17" i="2"/>
  <c r="AQ20" i="1"/>
  <c r="AM131" i="2"/>
  <c r="Z210" i="2"/>
  <c r="AO47" i="2"/>
  <c r="AD61" i="2"/>
  <c r="BK361" i="2"/>
  <c r="G26" i="28" s="1"/>
  <c r="E35" i="28"/>
  <c r="AT259" i="2"/>
  <c r="H307" i="2"/>
  <c r="I306" i="2"/>
  <c r="H225" i="2"/>
  <c r="H227" i="2" s="1"/>
  <c r="G50" i="1"/>
  <c r="G52" i="1" s="1"/>
  <c r="AU283" i="2"/>
  <c r="W259" i="2"/>
  <c r="AO146" i="2"/>
  <c r="BO52" i="2"/>
  <c r="BZ33" i="1"/>
  <c r="AY313" i="2"/>
  <c r="BB105" i="2"/>
  <c r="BB107" i="2" s="1"/>
  <c r="BB19" i="2"/>
  <c r="J44" i="28"/>
  <c r="E46" i="28"/>
  <c r="X162" i="2"/>
  <c r="AB254" i="2"/>
  <c r="AB269" i="2" s="1"/>
  <c r="E229" i="2"/>
  <c r="E132" i="2" s="1"/>
  <c r="E131" i="2"/>
  <c r="L85" i="2"/>
  <c r="D44" i="28"/>
  <c r="K260" i="2"/>
  <c r="V37" i="1"/>
  <c r="AR130" i="2"/>
  <c r="AR106" i="2" s="1"/>
  <c r="AR108" i="2" s="1"/>
  <c r="BC256" i="2"/>
  <c r="BC270" i="2" s="1"/>
  <c r="BB215" i="2"/>
  <c r="AL359" i="2"/>
  <c r="AW131" i="2"/>
  <c r="Z303" i="2"/>
  <c r="R82" i="2"/>
  <c r="R83" i="2" s="1"/>
  <c r="Q185" i="2"/>
  <c r="Q186" i="2" s="1"/>
  <c r="X131" i="2"/>
  <c r="F146" i="2"/>
  <c r="H82" i="2"/>
  <c r="H83" i="2" s="1"/>
  <c r="F229" i="2"/>
  <c r="F132" i="2" s="1"/>
  <c r="F343" i="2" s="1"/>
  <c r="AO256" i="2"/>
  <c r="AO270" i="2" s="1"/>
  <c r="AJ256" i="2"/>
  <c r="AJ270" i="2" s="1"/>
  <c r="G146" i="2"/>
  <c r="U85" i="2"/>
  <c r="U86" i="2" s="1"/>
  <c r="AT131" i="2"/>
  <c r="AS199" i="2"/>
  <c r="AS197" i="2" s="1"/>
  <c r="AS92" i="2" s="1"/>
  <c r="AS93" i="2" s="1"/>
  <c r="AU256" i="2"/>
  <c r="AU270" i="2" s="1"/>
  <c r="H256" i="2"/>
  <c r="H270" i="2" s="1"/>
  <c r="AI105" i="2"/>
  <c r="AI107" i="2" s="1"/>
  <c r="U82" i="2"/>
  <c r="U83" i="2" s="1"/>
  <c r="BR10" i="1"/>
  <c r="BR95" i="1" s="1"/>
  <c r="AI21" i="2"/>
  <c r="BR23" i="1" s="1"/>
  <c r="C21" i="28"/>
  <c r="V17" i="2"/>
  <c r="AX130" i="2"/>
  <c r="AX106" i="2" s="1"/>
  <c r="AX108" i="2" s="1"/>
  <c r="M145" i="2"/>
  <c r="AQ229" i="2"/>
  <c r="AQ132" i="2" s="1"/>
  <c r="Z199" i="2"/>
  <c r="Z197" i="2" s="1"/>
  <c r="Z92" i="2" s="1"/>
  <c r="Z93" i="2" s="1"/>
  <c r="AG264" i="2"/>
  <c r="AG37" i="2"/>
  <c r="K254" i="2"/>
  <c r="K269" i="2" s="1"/>
  <c r="AV283" i="2"/>
  <c r="O146" i="2"/>
  <c r="G70" i="2"/>
  <c r="G71" i="2" s="1"/>
  <c r="T130" i="2"/>
  <c r="BO55" i="1" s="1"/>
  <c r="AF146" i="2"/>
  <c r="F82" i="2"/>
  <c r="F83" i="2" s="1"/>
  <c r="M51" i="2"/>
  <c r="I85" i="2"/>
  <c r="I86" i="2" s="1"/>
  <c r="W146" i="2"/>
  <c r="AF19" i="2"/>
  <c r="D146" i="2"/>
  <c r="AM146" i="2"/>
  <c r="E70" i="2"/>
  <c r="E71" i="2" s="1"/>
  <c r="AZ105" i="2"/>
  <c r="AZ107" i="2" s="1"/>
  <c r="G199" i="2"/>
  <c r="AY146" i="2"/>
  <c r="AK303" i="2"/>
  <c r="S199" i="2"/>
  <c r="F199" i="2"/>
  <c r="AZ146" i="2"/>
  <c r="AG8" i="2"/>
  <c r="S173" i="2"/>
  <c r="K85" i="2"/>
  <c r="K86" i="2" s="1"/>
  <c r="P82" i="2"/>
  <c r="P83" i="2" s="1"/>
  <c r="AG146" i="2"/>
  <c r="G229" i="2"/>
  <c r="G132" i="2" s="1"/>
  <c r="G343" i="2" s="1"/>
  <c r="U185" i="2"/>
  <c r="E11" i="2"/>
  <c r="E12" i="2" s="1"/>
  <c r="Y303" i="2"/>
  <c r="N82" i="2"/>
  <c r="N83" i="2" s="1"/>
  <c r="F85" i="2"/>
  <c r="F86" i="2" s="1"/>
  <c r="AP51" i="2"/>
  <c r="AQ359" i="2"/>
  <c r="C52" i="28" s="1"/>
  <c r="AG215" i="2"/>
  <c r="AE215" i="2"/>
  <c r="AD19" i="2"/>
  <c r="AS51" i="2"/>
  <c r="AS52" i="2" s="1"/>
  <c r="AR229" i="2"/>
  <c r="AR132" i="2" s="1"/>
  <c r="BC215" i="2"/>
  <c r="BD215" i="2"/>
  <c r="O61" i="2"/>
  <c r="AX41" i="1" s="1"/>
  <c r="AK131" i="2"/>
  <c r="AH256" i="2"/>
  <c r="AH270" i="2" s="1"/>
  <c r="Q215" i="2"/>
  <c r="Q221" i="2" s="1"/>
  <c r="Q223" i="2" s="1"/>
  <c r="Z130" i="2"/>
  <c r="Z106" i="2" s="1"/>
  <c r="Z108" i="2" s="1"/>
  <c r="AS131" i="2"/>
  <c r="AA229" i="2"/>
  <c r="AA132" i="2" s="1"/>
  <c r="AW199" i="2"/>
  <c r="AW200" i="2" s="1"/>
  <c r="S162" i="2"/>
  <c r="S85" i="2"/>
  <c r="S86" i="2" s="1"/>
  <c r="Q85" i="2"/>
  <c r="Q86" i="2" s="1"/>
  <c r="AL215" i="2"/>
  <c r="Y146" i="2"/>
  <c r="O85" i="2"/>
  <c r="O86" i="2" s="1"/>
  <c r="O229" i="2"/>
  <c r="O132" i="2" s="1"/>
  <c r="O343" i="2" s="1"/>
  <c r="N146" i="2"/>
  <c r="AU229" i="2"/>
  <c r="AU132" i="2" s="1"/>
  <c r="AX162" i="2"/>
  <c r="AE146" i="2"/>
  <c r="AV298" i="2"/>
  <c r="S256" i="2"/>
  <c r="S270" i="2" s="1"/>
  <c r="D130" i="2"/>
  <c r="R172" i="2"/>
  <c r="R173" i="2" s="1"/>
  <c r="AX24" i="2"/>
  <c r="AX25" i="2" s="1"/>
  <c r="R185" i="2"/>
  <c r="R186" i="2" s="1"/>
  <c r="AN24" i="2"/>
  <c r="AN25" i="2" s="1"/>
  <c r="AG19" i="2"/>
  <c r="AG11" i="2"/>
  <c r="AG12" i="2" s="1"/>
  <c r="AB185" i="2"/>
  <c r="AB186" i="2" s="1"/>
  <c r="BM44" i="1"/>
  <c r="BB256" i="2"/>
  <c r="BB270" i="2" s="1"/>
  <c r="M256" i="2"/>
  <c r="M270" i="2" s="1"/>
  <c r="AI130" i="2"/>
  <c r="AH130" i="2"/>
  <c r="AV256" i="2"/>
  <c r="AV270" i="2" s="1"/>
  <c r="BB162" i="2"/>
  <c r="D12" i="28"/>
  <c r="D14" i="28" s="1"/>
  <c r="AP11" i="2"/>
  <c r="BD162" i="2"/>
  <c r="AS10" i="2"/>
  <c r="C32" i="28"/>
  <c r="AS19" i="2"/>
  <c r="AJ313" i="2"/>
  <c r="G11" i="2"/>
  <c r="E162" i="2"/>
  <c r="AJ17" i="2"/>
  <c r="AU11" i="2"/>
  <c r="AU12" i="2" s="1"/>
  <c r="AC17" i="2"/>
  <c r="E130" i="2"/>
  <c r="BC293" i="2"/>
  <c r="AV254" i="2"/>
  <c r="AV269" i="2" s="1"/>
  <c r="AG131" i="2"/>
  <c r="AT360" i="2"/>
  <c r="E53" i="28" s="1"/>
  <c r="AU19" i="2"/>
  <c r="BU44" i="1"/>
  <c r="BB254" i="2"/>
  <c r="BB269" i="2" s="1"/>
  <c r="AO215" i="2"/>
  <c r="AO221" i="2" s="1"/>
  <c r="AO223" i="2" s="1"/>
  <c r="AP215" i="2"/>
  <c r="Z10" i="2"/>
  <c r="AI82" i="2"/>
  <c r="AI83" i="2" s="1"/>
  <c r="AS105" i="2"/>
  <c r="AS107" i="2" s="1"/>
  <c r="AI6" i="2"/>
  <c r="BR11" i="1" s="1"/>
  <c r="AI19" i="2"/>
  <c r="Y130" i="2"/>
  <c r="Y106" i="2" s="1"/>
  <c r="Y108" i="2" s="1"/>
  <c r="Y15" i="2"/>
  <c r="AE51" i="2"/>
  <c r="AE52" i="2" s="1"/>
  <c r="K256" i="2"/>
  <c r="K270" i="2" s="1"/>
  <c r="BC298" i="2"/>
  <c r="AK19" i="2"/>
  <c r="BA229" i="2"/>
  <c r="BA132" i="2" s="1"/>
  <c r="D41" i="28"/>
  <c r="AR24" i="2"/>
  <c r="N130" i="2"/>
  <c r="AK51" i="2"/>
  <c r="AK52" i="2" s="1"/>
  <c r="D43" i="28"/>
  <c r="AS358" i="2"/>
  <c r="AG162" i="2"/>
  <c r="M130" i="2"/>
  <c r="AL360" i="2"/>
  <c r="N24" i="2"/>
  <c r="N25" i="2" s="1"/>
  <c r="L185" i="2"/>
  <c r="L186" i="2" s="1"/>
  <c r="T146" i="2"/>
  <c r="AW60" i="2"/>
  <c r="AN256" i="2"/>
  <c r="AN270" i="2" s="1"/>
  <c r="AF8" i="2"/>
  <c r="AE17" i="2"/>
  <c r="N131" i="2"/>
  <c r="W130" i="2"/>
  <c r="W106" i="2" s="1"/>
  <c r="W108" i="2" s="1"/>
  <c r="AW19" i="2"/>
  <c r="G256" i="2"/>
  <c r="G270" i="2" s="1"/>
  <c r="R51" i="2"/>
  <c r="AZ256" i="2"/>
  <c r="AZ270" i="2" s="1"/>
  <c r="N215" i="2"/>
  <c r="AE19" i="2"/>
  <c r="AU105" i="2"/>
  <c r="AU107" i="2" s="1"/>
  <c r="AD130" i="2"/>
  <c r="AD106" i="2" s="1"/>
  <c r="AD108" i="2" s="1"/>
  <c r="AL106" i="2"/>
  <c r="AL108" i="2" s="1"/>
  <c r="V24" i="2"/>
  <c r="V25" i="2" s="1"/>
  <c r="S146" i="2"/>
  <c r="S141" i="2" s="1"/>
  <c r="AE131" i="2"/>
  <c r="AQ254" i="2"/>
  <c r="AQ269" i="2" s="1"/>
  <c r="AZ254" i="2"/>
  <c r="AZ269" i="2" s="1"/>
  <c r="BA256" i="2"/>
  <c r="BA270" i="2" s="1"/>
  <c r="J254" i="2"/>
  <c r="J269" i="2" s="1"/>
  <c r="AH298" i="2"/>
  <c r="AT60" i="2"/>
  <c r="AB174" i="2"/>
  <c r="R162" i="2"/>
  <c r="AB82" i="2"/>
  <c r="AB83" i="2" s="1"/>
  <c r="X52" i="2"/>
  <c r="G51" i="2"/>
  <c r="G162" i="2"/>
  <c r="AB146" i="2"/>
  <c r="Q130" i="2"/>
  <c r="U61" i="2"/>
  <c r="BP41" i="1" s="1"/>
  <c r="Z51" i="2"/>
  <c r="AS60" i="2"/>
  <c r="AS146" i="2"/>
  <c r="W162" i="2"/>
  <c r="AL229" i="2"/>
  <c r="AL132" i="2" s="1"/>
  <c r="AL134" i="2" s="1"/>
  <c r="AX361" i="2"/>
  <c r="G54" i="28" s="1"/>
  <c r="AO162" i="2"/>
  <c r="AK215" i="2"/>
  <c r="L174" i="2"/>
  <c r="L190" i="2" s="1"/>
  <c r="AS8" i="2"/>
  <c r="S215" i="2"/>
  <c r="AS17" i="2"/>
  <c r="K6" i="2"/>
  <c r="V11" i="1" s="1"/>
  <c r="Q51" i="2"/>
  <c r="AB162" i="2"/>
  <c r="J130" i="2"/>
  <c r="AJ8" i="2"/>
  <c r="AY19" i="2"/>
  <c r="K186" i="2"/>
  <c r="AD15" i="2"/>
  <c r="AH215" i="2"/>
  <c r="AH221" i="2" s="1"/>
  <c r="AH223" i="2" s="1"/>
  <c r="AT24" i="2"/>
  <c r="AB130" i="2"/>
  <c r="BQ55" i="1" s="1"/>
  <c r="J40" i="28"/>
  <c r="AC229" i="2"/>
  <c r="AC132" i="2" s="1"/>
  <c r="AG130" i="2"/>
  <c r="AG106" i="2" s="1"/>
  <c r="AG108" i="2" s="1"/>
  <c r="AG24" i="2"/>
  <c r="AP170" i="2"/>
  <c r="U229" i="2"/>
  <c r="AC162" i="2"/>
  <c r="O51" i="2"/>
  <c r="AX33" i="1" s="1"/>
  <c r="AI360" i="2"/>
  <c r="C25" i="28" s="1"/>
  <c r="Q285" i="2"/>
  <c r="Z146" i="2"/>
  <c r="P130" i="2"/>
  <c r="M187" i="2"/>
  <c r="AN131" i="2"/>
  <c r="BN44" i="1"/>
  <c r="AX313" i="2"/>
  <c r="AB51" i="2"/>
  <c r="AT361" i="2"/>
  <c r="E54" i="28" s="1"/>
  <c r="J326" i="2"/>
  <c r="N185" i="2"/>
  <c r="N186" i="2" s="1"/>
  <c r="AN17" i="2"/>
  <c r="AB187" i="2"/>
  <c r="AB188" i="2" s="1"/>
  <c r="AK256" i="2"/>
  <c r="AK270" i="2" s="1"/>
  <c r="AR313" i="2"/>
  <c r="AF130" i="2"/>
  <c r="AF106" i="2" s="1"/>
  <c r="AF108" i="2" s="1"/>
  <c r="AA215" i="2"/>
  <c r="AB215" i="2"/>
  <c r="AB219" i="2" s="1"/>
  <c r="Y215" i="2"/>
  <c r="T229" i="2"/>
  <c r="AX215" i="2"/>
  <c r="AA131" i="2"/>
  <c r="AZ215" i="2"/>
  <c r="AI358" i="2"/>
  <c r="C23" i="28" s="1"/>
  <c r="R333" i="2"/>
  <c r="BM84" i="1" s="1"/>
  <c r="AW146" i="2"/>
  <c r="U70" i="2"/>
  <c r="U71" i="2" s="1"/>
  <c r="AR215" i="2"/>
  <c r="AR221" i="2" s="1"/>
  <c r="AR223" i="2" s="1"/>
  <c r="H229" i="2"/>
  <c r="H132" i="2" s="1"/>
  <c r="V215" i="2"/>
  <c r="R254" i="2"/>
  <c r="R269" i="2" s="1"/>
  <c r="AY131" i="2"/>
  <c r="G333" i="2"/>
  <c r="AF10" i="2"/>
  <c r="L254" i="2"/>
  <c r="L269" i="2" s="1"/>
  <c r="AF358" i="2"/>
  <c r="S303" i="2"/>
  <c r="BN66" i="1" s="1"/>
  <c r="I146" i="2"/>
  <c r="D21" i="2"/>
  <c r="AN8" i="2"/>
  <c r="AN358" i="2"/>
  <c r="O199" i="2"/>
  <c r="AM254" i="2"/>
  <c r="AM269" i="2" s="1"/>
  <c r="AT256" i="2"/>
  <c r="AT270" i="2" s="1"/>
  <c r="K146" i="2"/>
  <c r="K141" i="2" s="1"/>
  <c r="AS229" i="2"/>
  <c r="AS132" i="2" s="1"/>
  <c r="F215" i="2"/>
  <c r="K300" i="2"/>
  <c r="S278" i="2"/>
  <c r="S279" i="2"/>
  <c r="F307" i="2"/>
  <c r="F308" i="2" s="1"/>
  <c r="E50" i="1"/>
  <c r="E52" i="1" s="1"/>
  <c r="E40" i="28"/>
  <c r="E48" i="28"/>
  <c r="AW326" i="2"/>
  <c r="BT17" i="1" s="1"/>
  <c r="AW8" i="2"/>
  <c r="BT13" i="1" s="1"/>
  <c r="AW17" i="2"/>
  <c r="AC293" i="2"/>
  <c r="BD300" i="2"/>
  <c r="AC105" i="2"/>
  <c r="AC107" i="2" s="1"/>
  <c r="M24" i="2"/>
  <c r="M25" i="2" s="1"/>
  <c r="Q174" i="2"/>
  <c r="Q175" i="2" s="1"/>
  <c r="F45" i="28"/>
  <c r="F44" i="28"/>
  <c r="H146" i="2"/>
  <c r="N174" i="2"/>
  <c r="N175" i="2" s="1"/>
  <c r="V51" i="2"/>
  <c r="V52" i="2" s="1"/>
  <c r="Q256" i="2"/>
  <c r="Q270" i="2" s="1"/>
  <c r="AR162" i="2"/>
  <c r="AR256" i="2"/>
  <c r="AR270" i="2" s="1"/>
  <c r="F43" i="28"/>
  <c r="AU17" i="2"/>
  <c r="Y19" i="2"/>
  <c r="U24" i="2"/>
  <c r="U25" i="2" s="1"/>
  <c r="BD61" i="2"/>
  <c r="BU41" i="1" s="1"/>
  <c r="AB19" i="2"/>
  <c r="AI300" i="2"/>
  <c r="AC19" i="2"/>
  <c r="AM130" i="2"/>
  <c r="AM106" i="2" s="1"/>
  <c r="AM108" i="2" s="1"/>
  <c r="AK146" i="2"/>
  <c r="U215" i="2"/>
  <c r="AI146" i="2"/>
  <c r="V303" i="2"/>
  <c r="BA15" i="2"/>
  <c r="AJ254" i="2"/>
  <c r="AJ269" i="2" s="1"/>
  <c r="AY145" i="2"/>
  <c r="K170" i="2"/>
  <c r="BS44" i="1"/>
  <c r="Q71" i="2"/>
  <c r="D17" i="2"/>
  <c r="S174" i="2"/>
  <c r="S175" i="2" s="1"/>
  <c r="T185" i="2"/>
  <c r="T186" i="2" s="1"/>
  <c r="AQ146" i="2"/>
  <c r="AM51" i="2"/>
  <c r="AM52" i="2" s="1"/>
  <c r="BC283" i="2"/>
  <c r="BA61" i="2"/>
  <c r="E41" i="28"/>
  <c r="AC8" i="2"/>
  <c r="AU10" i="2"/>
  <c r="K131" i="2"/>
  <c r="H44" i="28"/>
  <c r="AP146" i="2"/>
  <c r="W10" i="2"/>
  <c r="AI215" i="2"/>
  <c r="AU8" i="2"/>
  <c r="E43" i="28"/>
  <c r="H45" i="28"/>
  <c r="AJ131" i="2"/>
  <c r="H51" i="2"/>
  <c r="G33" i="1" s="1"/>
  <c r="AQ15" i="2"/>
  <c r="AN130" i="2"/>
  <c r="AN106" i="2" s="1"/>
  <c r="AN108" i="2" s="1"/>
  <c r="AN51" i="2"/>
  <c r="AN52" i="2" s="1"/>
  <c r="AR131" i="2"/>
  <c r="AE358" i="2"/>
  <c r="F303" i="2"/>
  <c r="E66" i="1" s="1"/>
  <c r="E67" i="1" s="1"/>
  <c r="P254" i="2"/>
  <c r="P269" i="2" s="1"/>
  <c r="AP185" i="2"/>
  <c r="AY10" i="2"/>
  <c r="BK188" i="2"/>
  <c r="BL188" i="2" s="1"/>
  <c r="BM188" i="2" s="1"/>
  <c r="BN188" i="2" s="1"/>
  <c r="BO188" i="2" s="1"/>
  <c r="BP188" i="2" s="1"/>
  <c r="BQ188" i="2" s="1"/>
  <c r="BR188" i="2" s="1"/>
  <c r="U19" i="2"/>
  <c r="V19" i="2"/>
  <c r="AG359" i="2"/>
  <c r="BQ44" i="1"/>
  <c r="AP360" i="2"/>
  <c r="D25" i="28" s="1"/>
  <c r="AN360" i="2"/>
  <c r="F13" i="28"/>
  <c r="H215" i="2"/>
  <c r="AY105" i="2"/>
  <c r="AY107" i="2" s="1"/>
  <c r="BB358" i="2"/>
  <c r="J51" i="28" s="1"/>
  <c r="AG17" i="2"/>
  <c r="F17" i="28"/>
  <c r="AP174" i="2"/>
  <c r="AP175" i="2" s="1"/>
  <c r="H41" i="28"/>
  <c r="O215" i="2"/>
  <c r="BB8" i="2"/>
  <c r="J45" i="28"/>
  <c r="AE300" i="2"/>
  <c r="AV130" i="2"/>
  <c r="AQ360" i="2"/>
  <c r="C53" i="28" s="1"/>
  <c r="AK105" i="2"/>
  <c r="AK107" i="2" s="1"/>
  <c r="M162" i="2"/>
  <c r="AJ146" i="2"/>
  <c r="AJ247" i="2" s="1"/>
  <c r="G130" i="2"/>
  <c r="T215" i="2"/>
  <c r="BA358" i="2"/>
  <c r="I51" i="28" s="1"/>
  <c r="AJ358" i="2"/>
  <c r="AX51" i="2"/>
  <c r="AX52" i="2" s="1"/>
  <c r="AX254" i="2"/>
  <c r="AX269" i="2" s="1"/>
  <c r="L162" i="2"/>
  <c r="Y131" i="2"/>
  <c r="AI51" i="2"/>
  <c r="Z229" i="2"/>
  <c r="Z132" i="2" s="1"/>
  <c r="W19" i="2"/>
  <c r="AG105" i="2"/>
  <c r="AG107" i="2" s="1"/>
  <c r="P51" i="2"/>
  <c r="BE33" i="1" s="1"/>
  <c r="AF256" i="2"/>
  <c r="AF270" i="2" s="1"/>
  <c r="AM11" i="2"/>
  <c r="AM12" i="2" s="1"/>
  <c r="Y105" i="2"/>
  <c r="Y107" i="2" s="1"/>
  <c r="V229" i="2"/>
  <c r="V132" i="2" s="1"/>
  <c r="AB11" i="2"/>
  <c r="AD215" i="2"/>
  <c r="AP130" i="2"/>
  <c r="AS215" i="2"/>
  <c r="G215" i="2"/>
  <c r="L131" i="2"/>
  <c r="J43" i="28"/>
  <c r="BB17" i="2"/>
  <c r="BB10" i="2"/>
  <c r="AZ17" i="2"/>
  <c r="F162" i="2"/>
  <c r="AU51" i="2"/>
  <c r="AU52" i="2" s="1"/>
  <c r="D18" i="28"/>
  <c r="U131" i="2"/>
  <c r="I254" i="2"/>
  <c r="I269" i="2" s="1"/>
  <c r="AE10" i="2"/>
  <c r="V131" i="2"/>
  <c r="R8" i="2"/>
  <c r="BM13" i="1" s="1"/>
  <c r="AC358" i="2"/>
  <c r="M303" i="2"/>
  <c r="AJ66" i="1" s="1"/>
  <c r="AJ67" i="1" s="1"/>
  <c r="D199" i="2"/>
  <c r="AI172" i="2"/>
  <c r="BB24" i="2"/>
  <c r="BB25" i="2" s="1"/>
  <c r="J41" i="28"/>
  <c r="I6" i="2"/>
  <c r="H11" i="1" s="1"/>
  <c r="U199" i="2"/>
  <c r="AI187" i="2"/>
  <c r="AI188" i="2" s="1"/>
  <c r="AK313" i="2"/>
  <c r="AE303" i="2"/>
  <c r="BO44" i="1"/>
  <c r="AN146" i="2"/>
  <c r="W8" i="2"/>
  <c r="AL256" i="2"/>
  <c r="AL270" i="2" s="1"/>
  <c r="AG361" i="2"/>
  <c r="AK10" i="2"/>
  <c r="Q326" i="2"/>
  <c r="AB300" i="2"/>
  <c r="D51" i="2"/>
  <c r="D52" i="2" s="1"/>
  <c r="AN254" i="2"/>
  <c r="AN269" i="2" s="1"/>
  <c r="AP300" i="2"/>
  <c r="M146" i="2"/>
  <c r="M247" i="2" s="1"/>
  <c r="BR44" i="1"/>
  <c r="AQ17" i="2"/>
  <c r="AC10" i="2"/>
  <c r="G43" i="28"/>
  <c r="G40" i="28"/>
  <c r="AM358" i="2"/>
  <c r="U162" i="2"/>
  <c r="AE162" i="2"/>
  <c r="AD146" i="2"/>
  <c r="J303" i="2"/>
  <c r="O66" i="1" s="1"/>
  <c r="O67" i="1" s="1"/>
  <c r="L215" i="2"/>
  <c r="AM215" i="2"/>
  <c r="O170" i="2"/>
  <c r="O185" i="2"/>
  <c r="O186" i="2" s="1"/>
  <c r="M229" i="2"/>
  <c r="M132" i="2" s="1"/>
  <c r="M343" i="2" s="1"/>
  <c r="AL24" i="2"/>
  <c r="AL25" i="2" s="1"/>
  <c r="I229" i="2"/>
  <c r="I132" i="2" s="1"/>
  <c r="I343" i="2" s="1"/>
  <c r="V162" i="2"/>
  <c r="J51" i="2"/>
  <c r="O33" i="1" s="1"/>
  <c r="AZ162" i="2"/>
  <c r="T300" i="2"/>
  <c r="AZ358" i="2"/>
  <c r="Q199" i="2"/>
  <c r="K8" i="2"/>
  <c r="V13" i="1" s="1"/>
  <c r="AQ61" i="2"/>
  <c r="BD229" i="2"/>
  <c r="BD132" i="2" s="1"/>
  <c r="AN162" i="2"/>
  <c r="N300" i="2"/>
  <c r="BA146" i="2"/>
  <c r="BA131" i="2"/>
  <c r="AT52" i="2"/>
  <c r="AD300" i="2"/>
  <c r="BC130" i="2"/>
  <c r="AQ71" i="2"/>
  <c r="AT283" i="2"/>
  <c r="E21" i="2"/>
  <c r="D23" i="1" s="1"/>
  <c r="D22" i="1"/>
  <c r="BC306" i="2"/>
  <c r="AW306" i="2"/>
  <c r="AZ24" i="2"/>
  <c r="AZ25" i="2" s="1"/>
  <c r="AZ15" i="2"/>
  <c r="G7" i="28"/>
  <c r="F6" i="28"/>
  <c r="F7" i="28"/>
  <c r="BC7" i="2"/>
  <c r="M278" i="2"/>
  <c r="M279" i="2"/>
  <c r="AC360" i="2"/>
  <c r="AC259" i="2"/>
  <c r="AC61" i="2"/>
  <c r="AC60" i="2"/>
  <c r="AV50" i="2"/>
  <c r="AK307" i="2"/>
  <c r="AK308" i="2" s="1"/>
  <c r="AK225" i="2"/>
  <c r="AK227" i="2" s="1"/>
  <c r="AE70" i="2"/>
  <c r="AE71" i="2" s="1"/>
  <c r="AE145" i="2"/>
  <c r="BR59" i="1"/>
  <c r="AI303" i="2"/>
  <c r="BR66" i="1" s="1"/>
  <c r="BR67" i="1" s="1"/>
  <c r="BJ256" i="2"/>
  <c r="BJ270" i="2" s="1"/>
  <c r="AW256" i="2"/>
  <c r="AW270" i="2" s="1"/>
  <c r="BL62" i="1"/>
  <c r="Q303" i="2"/>
  <c r="BL66" i="1" s="1"/>
  <c r="BL67" i="1" s="1"/>
  <c r="Y145" i="2"/>
  <c r="Y70" i="2"/>
  <c r="Y71" i="2" s="1"/>
  <c r="AJ293" i="2"/>
  <c r="AJ300" i="2" s="1"/>
  <c r="G278" i="2"/>
  <c r="G279" i="2"/>
  <c r="Q300" i="2"/>
  <c r="BL63" i="1"/>
  <c r="AT293" i="2"/>
  <c r="J35" i="28"/>
  <c r="J36" i="28"/>
  <c r="J48" i="28"/>
  <c r="AK264" i="2"/>
  <c r="AK37" i="2"/>
  <c r="V145" i="2"/>
  <c r="V70" i="2"/>
  <c r="V71" i="2" s="1"/>
  <c r="BP31" i="1"/>
  <c r="U37" i="2"/>
  <c r="U264" i="2"/>
  <c r="G8" i="2"/>
  <c r="F13" i="1" s="1"/>
  <c r="G326" i="2"/>
  <c r="F12" i="1"/>
  <c r="AA47" i="2"/>
  <c r="AJ24" i="2"/>
  <c r="AJ25" i="2" s="1"/>
  <c r="AJ15" i="2"/>
  <c r="D33" i="28"/>
  <c r="D34" i="28"/>
  <c r="AH49" i="2"/>
  <c r="AH51" i="2" s="1"/>
  <c r="BP37" i="1"/>
  <c r="U260" i="2"/>
  <c r="M15" i="2"/>
  <c r="AJ19" i="1" s="1"/>
  <c r="AJ18" i="1"/>
  <c r="AB278" i="2"/>
  <c r="BQ61" i="1" s="1"/>
  <c r="AB279" i="2"/>
  <c r="AB285" i="2" s="1"/>
  <c r="X278" i="2"/>
  <c r="X279" i="2"/>
  <c r="X285" i="2" s="1"/>
  <c r="AA46" i="2"/>
  <c r="O278" i="2"/>
  <c r="AX61" i="1" s="1"/>
  <c r="O279" i="2"/>
  <c r="J259" i="2"/>
  <c r="J324" i="2"/>
  <c r="J61" i="2"/>
  <c r="O41" i="1" s="1"/>
  <c r="J120" i="2"/>
  <c r="K61" i="2"/>
  <c r="V41" i="1" s="1"/>
  <c r="G35" i="28"/>
  <c r="K36" i="28"/>
  <c r="BE61" i="2"/>
  <c r="AX61" i="2"/>
  <c r="AX259" i="2"/>
  <c r="AG311" i="2"/>
  <c r="AG313" i="2" s="1"/>
  <c r="AM311" i="2"/>
  <c r="AM313" i="2" s="1"/>
  <c r="AA311" i="2"/>
  <c r="AA313" i="2" s="1"/>
  <c r="AS311" i="2"/>
  <c r="AS313" i="2" s="1"/>
  <c r="AF303" i="2"/>
  <c r="AF359" i="2"/>
  <c r="AW278" i="2"/>
  <c r="BT61" i="1" s="1"/>
  <c r="AW279" i="2"/>
  <c r="AV34" i="2"/>
  <c r="AW37" i="2"/>
  <c r="BT31" i="1"/>
  <c r="AW264" i="2"/>
  <c r="BH361" i="2"/>
  <c r="M54" i="28" s="1"/>
  <c r="BA70" i="2"/>
  <c r="BA145" i="2"/>
  <c r="BA361" i="2"/>
  <c r="I54" i="28" s="1"/>
  <c r="AQ18" i="1"/>
  <c r="N15" i="2"/>
  <c r="AQ19" i="1" s="1"/>
  <c r="E33" i="28"/>
  <c r="E34" i="28"/>
  <c r="BA264" i="2"/>
  <c r="BA37" i="2"/>
  <c r="AH42" i="2"/>
  <c r="AH265" i="2" s="1"/>
  <c r="AP256" i="2"/>
  <c r="AP270" i="2" s="1"/>
  <c r="BI256" i="2"/>
  <c r="BI270" i="2" s="1"/>
  <c r="BD185" i="2"/>
  <c r="BK185" i="2"/>
  <c r="AW260" i="2"/>
  <c r="BT37" i="1"/>
  <c r="AF361" i="2"/>
  <c r="AF145" i="2"/>
  <c r="AF70" i="2"/>
  <c r="AF71" i="2" s="1"/>
  <c r="Q307" i="2"/>
  <c r="Q308" i="2" s="1"/>
  <c r="BL50" i="1"/>
  <c r="BL52" i="1" s="1"/>
  <c r="BL99" i="1" s="1"/>
  <c r="Q225" i="2"/>
  <c r="Q227" i="2" s="1"/>
  <c r="R306" i="2"/>
  <c r="AN283" i="2"/>
  <c r="AQ32" i="1"/>
  <c r="N266" i="2"/>
  <c r="AX283" i="2"/>
  <c r="Y283" i="2"/>
  <c r="AN279" i="2"/>
  <c r="V293" i="2"/>
  <c r="AS11" i="2"/>
  <c r="AS21" i="2"/>
  <c r="AO50" i="2"/>
  <c r="S17" i="2"/>
  <c r="S11" i="2"/>
  <c r="S19" i="2"/>
  <c r="Z6" i="2"/>
  <c r="R70" i="2"/>
  <c r="R71" i="2" s="1"/>
  <c r="Q145" i="2"/>
  <c r="AO41" i="2"/>
  <c r="AN293" i="2"/>
  <c r="X24" i="2"/>
  <c r="X25" i="2" s="1"/>
  <c r="X15" i="2"/>
  <c r="AI24" i="2"/>
  <c r="AI25" i="2" s="1"/>
  <c r="AI15" i="2"/>
  <c r="BR19" i="1" s="1"/>
  <c r="BR18" i="1"/>
  <c r="X37" i="2"/>
  <c r="X264" i="2"/>
  <c r="AN225" i="2"/>
  <c r="AN227" i="2" s="1"/>
  <c r="AN307" i="2"/>
  <c r="AN308" i="2" s="1"/>
  <c r="AX264" i="2"/>
  <c r="AX37" i="2"/>
  <c r="K175" i="2"/>
  <c r="K190" i="2"/>
  <c r="AZ278" i="2"/>
  <c r="AZ279" i="2"/>
  <c r="BA279" i="2"/>
  <c r="AD278" i="2"/>
  <c r="J49" i="28"/>
  <c r="BB21" i="2"/>
  <c r="BI6" i="2"/>
  <c r="BB6" i="2"/>
  <c r="AM293" i="2"/>
  <c r="AI70" i="2"/>
  <c r="AI71" i="2" s="1"/>
  <c r="AI145" i="2"/>
  <c r="BR14" i="1"/>
  <c r="AI10" i="2"/>
  <c r="BR15" i="1" s="1"/>
  <c r="AP70" i="2"/>
  <c r="AP71" i="2" s="1"/>
  <c r="AP361" i="2"/>
  <c r="D26" i="28" s="1"/>
  <c r="AP145" i="2"/>
  <c r="P37" i="2"/>
  <c r="BE31" i="1"/>
  <c r="P264" i="2"/>
  <c r="V259" i="2"/>
  <c r="V61" i="2"/>
  <c r="V60" i="2"/>
  <c r="S8" i="2"/>
  <c r="BN13" i="1" s="1"/>
  <c r="S326" i="2"/>
  <c r="BN17" i="1" s="1"/>
  <c r="BN12" i="1"/>
  <c r="AW172" i="2"/>
  <c r="AW173" i="2" s="1"/>
  <c r="AW170" i="2"/>
  <c r="BB278" i="2"/>
  <c r="AX225" i="2"/>
  <c r="AX227" i="2" s="1"/>
  <c r="AX307" i="2"/>
  <c r="AX308" i="2" s="1"/>
  <c r="W61" i="2"/>
  <c r="P61" i="2"/>
  <c r="BE41" i="1" s="1"/>
  <c r="AJ20" i="1"/>
  <c r="M17" i="2"/>
  <c r="AP254" i="2"/>
  <c r="AP269" i="2" s="1"/>
  <c r="BC254" i="2"/>
  <c r="BC269" i="2" s="1"/>
  <c r="AC50" i="1"/>
  <c r="AC52" i="1" s="1"/>
  <c r="L307" i="2"/>
  <c r="L308" i="2" s="1"/>
  <c r="M306" i="2"/>
  <c r="AQ306" i="2"/>
  <c r="L225" i="2"/>
  <c r="L227" i="2" s="1"/>
  <c r="W21" i="2"/>
  <c r="W60" i="2"/>
  <c r="W6" i="2"/>
  <c r="AA256" i="2"/>
  <c r="AA270" i="2" s="1"/>
  <c r="BF256" i="2"/>
  <c r="BF270" i="2" s="1"/>
  <c r="BG256" i="2"/>
  <c r="BG270" i="2" s="1"/>
  <c r="AB256" i="2"/>
  <c r="AB270" i="2" s="1"/>
  <c r="AY283" i="2"/>
  <c r="AA57" i="2"/>
  <c r="AA260" i="2" s="1"/>
  <c r="AK60" i="2"/>
  <c r="AK259" i="2"/>
  <c r="L21" i="2"/>
  <c r="AC23" i="1" s="1"/>
  <c r="AC22" i="1"/>
  <c r="BC9" i="2"/>
  <c r="F5" i="28"/>
  <c r="F12" i="28"/>
  <c r="I40" i="28"/>
  <c r="BJ311" i="2"/>
  <c r="BJ313" i="2" s="1"/>
  <c r="BD311" i="2"/>
  <c r="BD313" i="2" s="1"/>
  <c r="Q37" i="2"/>
  <c r="Q264" i="2"/>
  <c r="BL31" i="1"/>
  <c r="AC14" i="1"/>
  <c r="L10" i="2"/>
  <c r="AC15" i="1" s="1"/>
  <c r="E82" i="2"/>
  <c r="D82" i="2"/>
  <c r="H32" i="28"/>
  <c r="H31" i="28"/>
  <c r="H49" i="28"/>
  <c r="L32" i="28"/>
  <c r="BF6" i="2"/>
  <c r="AY21" i="2"/>
  <c r="W307" i="2"/>
  <c r="W308" i="2" s="1"/>
  <c r="W225" i="2"/>
  <c r="W227" i="2" s="1"/>
  <c r="AX59" i="1"/>
  <c r="O303" i="2"/>
  <c r="AX66" i="1" s="1"/>
  <c r="AX67" i="1" s="1"/>
  <c r="BS32" i="1"/>
  <c r="AP266" i="2"/>
  <c r="AQ293" i="2"/>
  <c r="AQ300" i="2" s="1"/>
  <c r="BQ18" i="1"/>
  <c r="AB15" i="2"/>
  <c r="BQ19" i="1" s="1"/>
  <c r="G34" i="28"/>
  <c r="C40" i="28"/>
  <c r="C42" i="28" s="1"/>
  <c r="C33" i="28"/>
  <c r="AH7" i="2"/>
  <c r="AC210" i="2"/>
  <c r="AC199" i="2" s="1"/>
  <c r="O324" i="2"/>
  <c r="O120" i="2"/>
  <c r="O259" i="2"/>
  <c r="AU225" i="2"/>
  <c r="AU227" i="2" s="1"/>
  <c r="AU307" i="2"/>
  <c r="AU308" i="2" s="1"/>
  <c r="AM210" i="2"/>
  <c r="AM199" i="2" s="1"/>
  <c r="L15" i="2"/>
  <c r="AC19" i="1" s="1"/>
  <c r="L24" i="2"/>
  <c r="L25" i="2" s="1"/>
  <c r="AC18" i="1"/>
  <c r="AA41" i="2"/>
  <c r="BD308" i="2"/>
  <c r="BK311" i="2"/>
  <c r="BK313" i="2" s="1"/>
  <c r="AC37" i="1"/>
  <c r="L260" i="2"/>
  <c r="H61" i="2"/>
  <c r="G41" i="1" s="1"/>
  <c r="H120" i="2"/>
  <c r="H259" i="2"/>
  <c r="H324" i="2"/>
  <c r="AI278" i="2"/>
  <c r="BR61" i="1" s="1"/>
  <c r="AI279" i="2"/>
  <c r="BS59" i="1"/>
  <c r="AP303" i="2"/>
  <c r="BS66" i="1" s="1"/>
  <c r="BS67" i="1" s="1"/>
  <c r="AQ52" i="2"/>
  <c r="AQ266" i="2"/>
  <c r="Q11" i="2"/>
  <c r="Q6" i="2"/>
  <c r="BL11" i="1" s="1"/>
  <c r="L278" i="2"/>
  <c r="L279" i="2"/>
  <c r="BB145" i="2"/>
  <c r="BB70" i="2"/>
  <c r="BB71" i="2" s="1"/>
  <c r="BI361" i="2"/>
  <c r="N54" i="28" s="1"/>
  <c r="BC41" i="2"/>
  <c r="E36" i="28"/>
  <c r="AC70" i="2"/>
  <c r="AC71" i="2" s="1"/>
  <c r="AC145" i="2"/>
  <c r="AC361" i="2"/>
  <c r="AZ6" i="2"/>
  <c r="AZ21" i="2"/>
  <c r="AJ21" i="2"/>
  <c r="AJ6" i="2"/>
  <c r="BB279" i="2"/>
  <c r="Y307" i="2"/>
  <c r="Y308" i="2" s="1"/>
  <c r="Y225" i="2"/>
  <c r="Y227" i="2" s="1"/>
  <c r="AO46" i="2"/>
  <c r="D32" i="28"/>
  <c r="D49" i="28"/>
  <c r="D31" i="28"/>
  <c r="N278" i="2"/>
  <c r="AQ61" i="1" s="1"/>
  <c r="N279" i="2"/>
  <c r="AN306" i="2"/>
  <c r="BP50" i="1"/>
  <c r="U307" i="2"/>
  <c r="U308" i="2" s="1"/>
  <c r="U225" i="2"/>
  <c r="U227" i="2" s="1"/>
  <c r="AZ306" i="2"/>
  <c r="AT306" i="2"/>
  <c r="AB306" i="2"/>
  <c r="AH306" i="2"/>
  <c r="V307" i="2"/>
  <c r="V308" i="2" s="1"/>
  <c r="V225" i="2"/>
  <c r="V227" i="2" s="1"/>
  <c r="AA274" i="2"/>
  <c r="AA275" i="2"/>
  <c r="AA303" i="2" s="1"/>
  <c r="F59" i="1"/>
  <c r="G303" i="2"/>
  <c r="F66" i="1" s="1"/>
  <c r="F67" i="1" s="1"/>
  <c r="BA293" i="2"/>
  <c r="AD283" i="2"/>
  <c r="AR298" i="2"/>
  <c r="L191" i="2"/>
  <c r="L353" i="2" s="1"/>
  <c r="AC60" i="1"/>
  <c r="F10" i="2"/>
  <c r="E15" i="1" s="1"/>
  <c r="E14" i="1"/>
  <c r="AQ307" i="2"/>
  <c r="AQ308" i="2" s="1"/>
  <c r="AQ225" i="2"/>
  <c r="AQ227" i="2" s="1"/>
  <c r="U333" i="2"/>
  <c r="BP84" i="1" s="1"/>
  <c r="F191" i="2"/>
  <c r="F353" i="2" s="1"/>
  <c r="E60" i="1"/>
  <c r="AE37" i="2"/>
  <c r="AE264" i="2"/>
  <c r="AE24" i="2"/>
  <c r="AE25" i="2" s="1"/>
  <c r="AE15" i="2"/>
  <c r="AO9" i="2"/>
  <c r="V11" i="2"/>
  <c r="V21" i="2"/>
  <c r="AV306" i="2"/>
  <c r="AP306" i="2"/>
  <c r="BR50" i="1"/>
  <c r="BH306" i="2"/>
  <c r="AI307" i="2"/>
  <c r="AI308" i="2" s="1"/>
  <c r="AI225" i="2"/>
  <c r="AI227" i="2" s="1"/>
  <c r="BB306" i="2"/>
  <c r="Z15" i="2"/>
  <c r="Z24" i="2"/>
  <c r="Z25" i="2" s="1"/>
  <c r="G62" i="1"/>
  <c r="H303" i="2"/>
  <c r="G66" i="1" s="1"/>
  <c r="G67" i="1" s="1"/>
  <c r="G15" i="2"/>
  <c r="F19" i="1" s="1"/>
  <c r="F18" i="1"/>
  <c r="F48" i="28"/>
  <c r="F40" i="28"/>
  <c r="K130" i="2"/>
  <c r="AW70" i="2"/>
  <c r="AW71" i="2" s="1"/>
  <c r="AW145" i="2"/>
  <c r="AW361" i="2"/>
  <c r="E26" i="28" s="1"/>
  <c r="AJ264" i="2"/>
  <c r="AJ37" i="2"/>
  <c r="Z298" i="2"/>
  <c r="AC278" i="2"/>
  <c r="O32" i="1"/>
  <c r="J266" i="2"/>
  <c r="AL361" i="2"/>
  <c r="AL145" i="2"/>
  <c r="AL70" i="2"/>
  <c r="AL71" i="2" s="1"/>
  <c r="T17" i="2"/>
  <c r="BO20" i="1"/>
  <c r="Z256" i="2"/>
  <c r="Z270" i="2" s="1"/>
  <c r="BE256" i="2"/>
  <c r="BE270" i="2" s="1"/>
  <c r="I303" i="2"/>
  <c r="H66" i="1" s="1"/>
  <c r="H67" i="1" s="1"/>
  <c r="H59" i="1"/>
  <c r="O70" i="2"/>
  <c r="O71" i="2" s="1"/>
  <c r="N145" i="2"/>
  <c r="AX266" i="2"/>
  <c r="F33" i="28"/>
  <c r="F34" i="28"/>
  <c r="BA11" i="2"/>
  <c r="BH6" i="2"/>
  <c r="BA21" i="2"/>
  <c r="I31" i="28"/>
  <c r="I32" i="28"/>
  <c r="M32" i="28"/>
  <c r="P80" i="28" s="1"/>
  <c r="I49" i="28"/>
  <c r="U21" i="2"/>
  <c r="BP23" i="1" s="1"/>
  <c r="U60" i="2"/>
  <c r="BP10" i="1"/>
  <c r="BK327" i="2"/>
  <c r="U6" i="2"/>
  <c r="BP11" i="1" s="1"/>
  <c r="BP14" i="1"/>
  <c r="U10" i="2"/>
  <c r="BP15" i="1" s="1"/>
  <c r="N6" i="2"/>
  <c r="AQ11" i="1" s="1"/>
  <c r="N11" i="2"/>
  <c r="N19" i="2"/>
  <c r="AQ10" i="1"/>
  <c r="AQ95" i="1" s="1"/>
  <c r="N8" i="2"/>
  <c r="AQ13" i="1" s="1"/>
  <c r="N326" i="2"/>
  <c r="N21" i="2"/>
  <c r="AQ23" i="1" s="1"/>
  <c r="AA34" i="2"/>
  <c r="AH47" i="2"/>
  <c r="I278" i="2"/>
  <c r="H61" i="1" s="1"/>
  <c r="I279" i="2"/>
  <c r="I285" i="2" s="1"/>
  <c r="AL266" i="2"/>
  <c r="U17" i="2"/>
  <c r="BP20" i="1"/>
  <c r="BP21" i="1" s="1"/>
  <c r="AF283" i="2"/>
  <c r="AU293" i="2"/>
  <c r="T170" i="2"/>
  <c r="T172" i="2"/>
  <c r="T173" i="2" s="1"/>
  <c r="BP44" i="1"/>
  <c r="U105" i="2"/>
  <c r="U107" i="2" s="1"/>
  <c r="AF37" i="2"/>
  <c r="AF264" i="2"/>
  <c r="L8" i="2"/>
  <c r="AC13" i="1" s="1"/>
  <c r="L326" i="2"/>
  <c r="Z278" i="2"/>
  <c r="AY293" i="2"/>
  <c r="AF61" i="2"/>
  <c r="AF259" i="2"/>
  <c r="AF60" i="2"/>
  <c r="AF360" i="2"/>
  <c r="T24" i="2"/>
  <c r="T25" i="2" s="1"/>
  <c r="T19" i="2"/>
  <c r="L37" i="2"/>
  <c r="AC31" i="1"/>
  <c r="L264" i="2"/>
  <c r="AP15" i="2"/>
  <c r="BS19" i="1" s="1"/>
  <c r="BS18" i="1"/>
  <c r="AO14" i="2"/>
  <c r="AM298" i="2"/>
  <c r="F8" i="28"/>
  <c r="BK61" i="2"/>
  <c r="BD324" i="2"/>
  <c r="BD60" i="2"/>
  <c r="BC59" i="2"/>
  <c r="E7" i="28"/>
  <c r="D7" i="28"/>
  <c r="AM278" i="2"/>
  <c r="AK293" i="2"/>
  <c r="F36" i="28"/>
  <c r="AQ278" i="2"/>
  <c r="P306" i="2"/>
  <c r="O225" i="2"/>
  <c r="O227" i="2" s="1"/>
  <c r="O307" i="2"/>
  <c r="O308" i="2" s="1"/>
  <c r="AX50" i="1"/>
  <c r="AX52" i="1" s="1"/>
  <c r="D24" i="2"/>
  <c r="D25" i="2" s="1"/>
  <c r="D15" i="2"/>
  <c r="Y37" i="2"/>
  <c r="Y264" i="2"/>
  <c r="BP59" i="1"/>
  <c r="U359" i="2"/>
  <c r="AY24" i="2"/>
  <c r="AY25" i="2" s="1"/>
  <c r="AY15" i="2"/>
  <c r="BN32" i="1"/>
  <c r="S266" i="2"/>
  <c r="J33" i="28"/>
  <c r="J34" i="28"/>
  <c r="R260" i="2"/>
  <c r="BM37" i="1"/>
  <c r="M326" i="2"/>
  <c r="AJ12" i="1"/>
  <c r="O20" i="1"/>
  <c r="J17" i="2"/>
  <c r="AA49" i="2"/>
  <c r="BD278" i="2"/>
  <c r="BU61" i="1" s="1"/>
  <c r="BD279" i="2"/>
  <c r="BD285" i="2" s="1"/>
  <c r="AI17" i="2"/>
  <c r="BR20" i="1"/>
  <c r="AH16" i="2"/>
  <c r="F70" i="2"/>
  <c r="F71" i="2" s="1"/>
  <c r="E145" i="2"/>
  <c r="BH256" i="2"/>
  <c r="BH270" i="2" s="1"/>
  <c r="AI256" i="2"/>
  <c r="AI270" i="2" s="1"/>
  <c r="BB298" i="2"/>
  <c r="AJ278" i="2"/>
  <c r="I259" i="2"/>
  <c r="I61" i="2"/>
  <c r="H41" i="1" s="1"/>
  <c r="I120" i="2"/>
  <c r="I60" i="2"/>
  <c r="H40" i="1" s="1"/>
  <c r="I324" i="2"/>
  <c r="BC47" i="2"/>
  <c r="BM39" i="1"/>
  <c r="R324" i="2"/>
  <c r="R259" i="2"/>
  <c r="R61" i="2"/>
  <c r="BM41" i="1" s="1"/>
  <c r="R120" i="2"/>
  <c r="V32" i="1"/>
  <c r="K266" i="2"/>
  <c r="AZ359" i="2"/>
  <c r="AZ303" i="2"/>
  <c r="AS266" i="2"/>
  <c r="O260" i="2"/>
  <c r="AX37" i="1"/>
  <c r="E61" i="2"/>
  <c r="E120" i="2"/>
  <c r="T225" i="2"/>
  <c r="T227" i="2" s="1"/>
  <c r="U306" i="2"/>
  <c r="BO50" i="1"/>
  <c r="AY306" i="2"/>
  <c r="T307" i="2"/>
  <c r="T308" i="2" s="1"/>
  <c r="V50" i="1"/>
  <c r="V52" i="1" s="1"/>
  <c r="K307" i="2"/>
  <c r="K308" i="2" s="1"/>
  <c r="L306" i="2"/>
  <c r="K225" i="2"/>
  <c r="K227" i="2" s="1"/>
  <c r="BO59" i="1"/>
  <c r="T303" i="2"/>
  <c r="BO66" i="1" s="1"/>
  <c r="BO67" i="1" s="1"/>
  <c r="AS361" i="2"/>
  <c r="AS145" i="2"/>
  <c r="AS70" i="2"/>
  <c r="AS71" i="2" s="1"/>
  <c r="AR225" i="2"/>
  <c r="AR227" i="2" s="1"/>
  <c r="AR307" i="2"/>
  <c r="AR308" i="2" s="1"/>
  <c r="T326" i="2"/>
  <c r="BO17" i="1" s="1"/>
  <c r="T8" i="2"/>
  <c r="BO13" i="1" s="1"/>
  <c r="BO12" i="1"/>
  <c r="S10" i="2"/>
  <c r="BN15" i="1" s="1"/>
  <c r="BN14" i="1"/>
  <c r="AL278" i="2"/>
  <c r="AL279" i="2"/>
  <c r="AL285" i="2" s="1"/>
  <c r="AT303" i="2"/>
  <c r="AT359" i="2"/>
  <c r="E52" i="28" s="1"/>
  <c r="W283" i="2"/>
  <c r="AE278" i="2"/>
  <c r="AE279" i="2"/>
  <c r="AE285" i="2" s="1"/>
  <c r="E5" i="28"/>
  <c r="E4" i="28"/>
  <c r="AW6" i="2"/>
  <c r="BT11" i="1" s="1"/>
  <c r="BT10" i="1"/>
  <c r="R266" i="2"/>
  <c r="BM32" i="1"/>
  <c r="M11" i="2"/>
  <c r="M21" i="2"/>
  <c r="AJ23" i="1" s="1"/>
  <c r="AJ10" i="1"/>
  <c r="M6" i="2"/>
  <c r="AJ11" i="1" s="1"/>
  <c r="M19" i="2"/>
  <c r="P21" i="2"/>
  <c r="BE23" i="1" s="1"/>
  <c r="P19" i="2"/>
  <c r="P11" i="2"/>
  <c r="AB333" i="2"/>
  <c r="BQ84" i="1" s="1"/>
  <c r="AB131" i="2"/>
  <c r="BG361" i="2"/>
  <c r="AZ70" i="2"/>
  <c r="AZ71" i="2" s="1"/>
  <c r="AZ145" i="2"/>
  <c r="D8" i="28"/>
  <c r="D9" i="28"/>
  <c r="BD359" i="2"/>
  <c r="F24" i="28" s="1"/>
  <c r="BD303" i="2"/>
  <c r="AM70" i="2"/>
  <c r="AM71" i="2" s="1"/>
  <c r="AM145" i="2"/>
  <c r="AV55" i="2"/>
  <c r="T70" i="2"/>
  <c r="T71" i="2" s="1"/>
  <c r="S145" i="2"/>
  <c r="BR31" i="1"/>
  <c r="AI264" i="2"/>
  <c r="R37" i="2"/>
  <c r="BM31" i="1"/>
  <c r="R264" i="2"/>
  <c r="Q8" i="2"/>
  <c r="BL13" i="1" s="1"/>
  <c r="BL12" i="1"/>
  <c r="BK256" i="2"/>
  <c r="BK270" i="2" s="1"/>
  <c r="BD256" i="2"/>
  <c r="BD270" i="2" s="1"/>
  <c r="G31" i="28"/>
  <c r="G32" i="28"/>
  <c r="G41" i="28"/>
  <c r="AP311" i="2"/>
  <c r="AP313" i="2" s="1"/>
  <c r="BH311" i="2"/>
  <c r="BH313" i="2" s="1"/>
  <c r="AR283" i="2"/>
  <c r="P24" i="2"/>
  <c r="BE18" i="1"/>
  <c r="BE24" i="1" s="1"/>
  <c r="BE25" i="1" s="1"/>
  <c r="AY210" i="2"/>
  <c r="AY199" i="2" s="1"/>
  <c r="X11" i="2"/>
  <c r="X21" i="2"/>
  <c r="X6" i="2"/>
  <c r="E326" i="2"/>
  <c r="E8" i="2"/>
  <c r="F278" i="2"/>
  <c r="E61" i="1" s="1"/>
  <c r="F279" i="2"/>
  <c r="T187" i="2"/>
  <c r="T188" i="2" s="1"/>
  <c r="S187" i="2"/>
  <c r="J24" i="2"/>
  <c r="J25" i="2" s="1"/>
  <c r="J15" i="2"/>
  <c r="O19" i="1" s="1"/>
  <c r="O18" i="1"/>
  <c r="R225" i="2"/>
  <c r="R227" i="2" s="1"/>
  <c r="BM50" i="1"/>
  <c r="S306" i="2"/>
  <c r="R307" i="2"/>
  <c r="R308" i="2" s="1"/>
  <c r="BA210" i="2"/>
  <c r="BA199" i="2" s="1"/>
  <c r="AO18" i="2"/>
  <c r="BT18" i="1"/>
  <c r="BT24" i="1" s="1"/>
  <c r="BT25" i="1" s="1"/>
  <c r="AW24" i="2"/>
  <c r="AW25" i="2" s="1"/>
  <c r="E8" i="28"/>
  <c r="F9" i="28"/>
  <c r="E9" i="28"/>
  <c r="AN147" i="2"/>
  <c r="AN73" i="2"/>
  <c r="AN74" i="2" s="1"/>
  <c r="H21" i="2"/>
  <c r="G23" i="1" s="1"/>
  <c r="AH229" i="2"/>
  <c r="AH132" i="2" s="1"/>
  <c r="BB15" i="2"/>
  <c r="AY11" i="2"/>
  <c r="AN215" i="2"/>
  <c r="I11" i="2"/>
  <c r="I10" i="2"/>
  <c r="H15" i="1" s="1"/>
  <c r="P145" i="2"/>
  <c r="AS61" i="2"/>
  <c r="AS259" i="2"/>
  <c r="AG15" i="2"/>
  <c r="AV293" i="2"/>
  <c r="BC240" i="2"/>
  <c r="BC229" i="2" s="1"/>
  <c r="BC132" i="2" s="1"/>
  <c r="AU145" i="2"/>
  <c r="BB361" i="2"/>
  <c r="J54" i="28" s="1"/>
  <c r="AV216" i="2"/>
  <c r="AV215" i="2" s="1"/>
  <c r="D278" i="2"/>
  <c r="D279" i="2"/>
  <c r="D285" i="2" s="1"/>
  <c r="P278" i="2"/>
  <c r="BE61" i="1" s="1"/>
  <c r="P279" i="2"/>
  <c r="H278" i="2"/>
  <c r="H279" i="2"/>
  <c r="K326" i="2"/>
  <c r="K11" i="2"/>
  <c r="E85" i="2"/>
  <c r="E86" i="2" s="1"/>
  <c r="AR17" i="2"/>
  <c r="AY6" i="2"/>
  <c r="AH203" i="2"/>
  <c r="AI85" i="2" s="1"/>
  <c r="AI86" i="2" s="1"/>
  <c r="AT10" i="2"/>
  <c r="AT15" i="2"/>
  <c r="AK360" i="2"/>
  <c r="AK61" i="2"/>
  <c r="AD17" i="2"/>
  <c r="AD24" i="2"/>
  <c r="AD25" i="2" s="1"/>
  <c r="D85" i="2"/>
  <c r="D86" i="2" s="1"/>
  <c r="AO213" i="2"/>
  <c r="P307" i="2"/>
  <c r="P308" i="2" s="1"/>
  <c r="P225" i="2"/>
  <c r="P227" i="2" s="1"/>
  <c r="BE50" i="1"/>
  <c r="BE52" i="1" s="1"/>
  <c r="S229" i="2"/>
  <c r="AC12" i="1"/>
  <c r="L11" i="2"/>
  <c r="BN18" i="1"/>
  <c r="BN24" i="1" s="1"/>
  <c r="S24" i="2"/>
  <c r="S25" i="2" s="1"/>
  <c r="S15" i="2"/>
  <c r="BN19" i="1" s="1"/>
  <c r="R10" i="2"/>
  <c r="BM15" i="1" s="1"/>
  <c r="P215" i="2"/>
  <c r="P70" i="2"/>
  <c r="P71" i="2" s="1"/>
  <c r="AT146" i="2"/>
  <c r="AJ361" i="2"/>
  <c r="AJ145" i="2"/>
  <c r="AJ70" i="2"/>
  <c r="AJ71" i="2" s="1"/>
  <c r="AQ361" i="2"/>
  <c r="C54" i="28" s="1"/>
  <c r="W278" i="2"/>
  <c r="D45" i="28"/>
  <c r="AC146" i="2"/>
  <c r="AC147" i="2" s="1"/>
  <c r="J82" i="2"/>
  <c r="I199" i="2"/>
  <c r="I82" i="2"/>
  <c r="D65" i="1"/>
  <c r="E300" i="2"/>
  <c r="AO291" i="2"/>
  <c r="AO293" i="2"/>
  <c r="T162" i="2"/>
  <c r="AP199" i="2"/>
  <c r="AE199" i="2"/>
  <c r="Y278" i="2"/>
  <c r="P300" i="2"/>
  <c r="AW174" i="2"/>
  <c r="AW175" i="2" s="1"/>
  <c r="BD174" i="2"/>
  <c r="AU61" i="2"/>
  <c r="AI37" i="2"/>
  <c r="AQ62" i="1"/>
  <c r="N303" i="2"/>
  <c r="AQ66" i="1" s="1"/>
  <c r="AQ67" i="1" s="1"/>
  <c r="P303" i="2"/>
  <c r="BE66" i="1" s="1"/>
  <c r="BE67" i="1" s="1"/>
  <c r="AN259" i="2"/>
  <c r="AL303" i="2"/>
  <c r="AR358" i="2"/>
  <c r="D51" i="28" s="1"/>
  <c r="AS359" i="2"/>
  <c r="AH146" i="2"/>
  <c r="AN361" i="2"/>
  <c r="S170" i="2"/>
  <c r="BA6" i="2"/>
  <c r="AK11" i="2"/>
  <c r="AK12" i="2" s="1"/>
  <c r="AP359" i="2"/>
  <c r="D24" i="28" s="1"/>
  <c r="AP60" i="2"/>
  <c r="AP61" i="2"/>
  <c r="BS41" i="1" s="1"/>
  <c r="B6" i="26" s="1"/>
  <c r="C67" i="28" s="1"/>
  <c r="AP324" i="2"/>
  <c r="AP120" i="2"/>
  <c r="AN229" i="2"/>
  <c r="AN132" i="2" s="1"/>
  <c r="AW221" i="2"/>
  <c r="AH46" i="2"/>
  <c r="BA298" i="2"/>
  <c r="Y6" i="2"/>
  <c r="W24" i="2"/>
  <c r="W25" i="2" s="1"/>
  <c r="H254" i="2"/>
  <c r="H269" i="2" s="1"/>
  <c r="Z283" i="2"/>
  <c r="AT278" i="2"/>
  <c r="AU130" i="2"/>
  <c r="AU106" i="2" s="1"/>
  <c r="AU108" i="2" s="1"/>
  <c r="AU162" i="2"/>
  <c r="AV150" i="2"/>
  <c r="AV146" i="2" s="1"/>
  <c r="AN61" i="2"/>
  <c r="AM105" i="2"/>
  <c r="AM107" i="2" s="1"/>
  <c r="AM162" i="2"/>
  <c r="AA7" i="2"/>
  <c r="AA71" i="2" s="1"/>
  <c r="AN60" i="2"/>
  <c r="AY52" i="2"/>
  <c r="AI162" i="2"/>
  <c r="P229" i="2"/>
  <c r="P132" i="2" s="1"/>
  <c r="AX6" i="2"/>
  <c r="AX358" i="2"/>
  <c r="G51" i="28" s="1"/>
  <c r="AX11" i="2"/>
  <c r="H199" i="2"/>
  <c r="AX146" i="2"/>
  <c r="AX247" i="2" s="1"/>
  <c r="AL199" i="2"/>
  <c r="W229" i="2"/>
  <c r="W132" i="2" s="1"/>
  <c r="AQ10" i="2"/>
  <c r="AQ11" i="2"/>
  <c r="AB85" i="2"/>
  <c r="AB86" i="2" s="1"/>
  <c r="L172" i="2"/>
  <c r="L173" i="2" s="1"/>
  <c r="K82" i="2"/>
  <c r="Z162" i="2"/>
  <c r="E146" i="2"/>
  <c r="R199" i="2"/>
  <c r="R197" i="2" s="1"/>
  <c r="X146" i="2"/>
  <c r="X141" i="2" s="1"/>
  <c r="X76" i="2" s="1"/>
  <c r="X77" i="2" s="1"/>
  <c r="AK229" i="2"/>
  <c r="AK132" i="2" s="1"/>
  <c r="Z131" i="2"/>
  <c r="T85" i="2"/>
  <c r="T86" i="2" s="1"/>
  <c r="AZ19" i="2"/>
  <c r="AJ221" i="2"/>
  <c r="AJ223" i="2" s="1"/>
  <c r="AM361" i="2"/>
  <c r="M215" i="2"/>
  <c r="BA162" i="2"/>
  <c r="AQ60" i="2"/>
  <c r="O52" i="2"/>
  <c r="U145" i="2"/>
  <c r="BB52" i="2"/>
  <c r="I191" i="2"/>
  <c r="I353" i="2" s="1"/>
  <c r="P326" i="2"/>
  <c r="AF11" i="2"/>
  <c r="AF12" i="2" s="1"/>
  <c r="BB146" i="2"/>
  <c r="P199" i="2"/>
  <c r="AR51" i="2"/>
  <c r="AR52" i="2" s="1"/>
  <c r="AP82" i="2"/>
  <c r="AP83" i="2" s="1"/>
  <c r="T174" i="2"/>
  <c r="Y10" i="2"/>
  <c r="R146" i="2"/>
  <c r="R247" i="2" s="1"/>
  <c r="Y17" i="2"/>
  <c r="AU360" i="2"/>
  <c r="F53" i="28" s="1"/>
  <c r="AW333" i="2"/>
  <c r="BT84" i="1" s="1"/>
  <c r="E199" i="2"/>
  <c r="BC274" i="2"/>
  <c r="P17" i="2"/>
  <c r="AS303" i="2"/>
  <c r="E17" i="28"/>
  <c r="AR25" i="2"/>
  <c r="K199" i="2"/>
  <c r="BC275" i="2"/>
  <c r="AC11" i="2"/>
  <c r="AY162" i="2"/>
  <c r="E303" i="2"/>
  <c r="D66" i="1" s="1"/>
  <c r="AG229" i="2"/>
  <c r="AG132" i="2" s="1"/>
  <c r="AZ131" i="2"/>
  <c r="BD146" i="2"/>
  <c r="BD147" i="2" s="1"/>
  <c r="AR105" i="2"/>
  <c r="AR107" i="2" s="1"/>
  <c r="BC146" i="2"/>
  <c r="BC141" i="2" s="1"/>
  <c r="BC76" i="2" s="1"/>
  <c r="AC131" i="2"/>
  <c r="Q229" i="2"/>
  <c r="Q132" i="2" s="1"/>
  <c r="Q343" i="2" s="1"/>
  <c r="X229" i="2"/>
  <c r="X132" i="2" s="1"/>
  <c r="U146" i="2"/>
  <c r="BA24" i="2"/>
  <c r="BA25" i="2" s="1"/>
  <c r="H40" i="28"/>
  <c r="AZ300" i="2"/>
  <c r="AL10" i="2"/>
  <c r="L199" i="2"/>
  <c r="L197" i="2" s="1"/>
  <c r="AF229" i="2"/>
  <c r="AF132" i="2" s="1"/>
  <c r="E21" i="28"/>
  <c r="AZ361" i="2"/>
  <c r="AB71" i="2"/>
  <c r="AQ24" i="2"/>
  <c r="AQ25" i="2" s="1"/>
  <c r="AP187" i="2"/>
  <c r="AP188" i="2" s="1"/>
  <c r="H86" i="2"/>
  <c r="J199" i="2"/>
  <c r="H130" i="2"/>
  <c r="AP85" i="2"/>
  <c r="R130" i="2"/>
  <c r="BM55" i="1" s="1"/>
  <c r="I162" i="2"/>
  <c r="AK162" i="2"/>
  <c r="Q146" i="2"/>
  <c r="Q82" i="2"/>
  <c r="AL300" i="2"/>
  <c r="AJ162" i="2"/>
  <c r="U172" i="2"/>
  <c r="U173" i="2" s="1"/>
  <c r="AD229" i="2"/>
  <c r="AD132" i="2" s="1"/>
  <c r="AU313" i="2"/>
  <c r="AX229" i="2"/>
  <c r="AX132" i="2" s="1"/>
  <c r="AB361" i="2"/>
  <c r="M82" i="2"/>
  <c r="AN15" i="2"/>
  <c r="G300" i="2"/>
  <c r="K229" i="2"/>
  <c r="K132" i="2" s="1"/>
  <c r="P15" i="2"/>
  <c r="BE19" i="1" s="1"/>
  <c r="T82" i="2"/>
  <c r="T83" i="2" s="1"/>
  <c r="K21" i="2"/>
  <c r="V23" i="1" s="1"/>
  <c r="N199" i="2"/>
  <c r="V298" i="2"/>
  <c r="AO298" i="2"/>
  <c r="P8" i="2"/>
  <c r="BE13" i="1" s="1"/>
  <c r="AW105" i="2"/>
  <c r="AW107" i="2" s="1"/>
  <c r="N306" i="2"/>
  <c r="E13" i="28"/>
  <c r="AA298" i="2"/>
  <c r="AT105" i="2"/>
  <c r="AT107" i="2" s="1"/>
  <c r="AL146" i="2"/>
  <c r="R229" i="2"/>
  <c r="BD199" i="2"/>
  <c r="X199" i="2"/>
  <c r="AP333" i="2"/>
  <c r="BS84" i="1" s="1"/>
  <c r="AD131" i="2"/>
  <c r="AL162" i="2"/>
  <c r="U303" i="2"/>
  <c r="BP66" i="1" s="1"/>
  <c r="BP67" i="1" s="1"/>
  <c r="E51" i="2"/>
  <c r="E52" i="2" s="1"/>
  <c r="G85" i="2"/>
  <c r="AI199" i="2"/>
  <c r="AW300" i="2"/>
  <c r="Y229" i="2"/>
  <c r="Y132" i="2" s="1"/>
  <c r="R303" i="2"/>
  <c r="BM66" i="1" s="1"/>
  <c r="BM67" i="1" s="1"/>
  <c r="AK359" i="2"/>
  <c r="D229" i="2"/>
  <c r="D132" i="2" s="1"/>
  <c r="D343" i="2" s="1"/>
  <c r="AA146" i="2"/>
  <c r="AA73" i="2" s="1"/>
  <c r="K162" i="2"/>
  <c r="AT17" i="2"/>
  <c r="AU146" i="2"/>
  <c r="D20" i="28"/>
  <c r="AF307" i="2"/>
  <c r="AF308" i="2" s="1"/>
  <c r="T199" i="2"/>
  <c r="AJ229" i="2"/>
  <c r="AJ132" i="2" s="1"/>
  <c r="AR146" i="2"/>
  <c r="AR141" i="2" s="1"/>
  <c r="AR76" i="2" s="1"/>
  <c r="AR77" i="2" s="1"/>
  <c r="AM229" i="2"/>
  <c r="AM132" i="2" s="1"/>
  <c r="AU215" i="2"/>
  <c r="AU219" i="2" s="1"/>
  <c r="AS162" i="2"/>
  <c r="AQ162" i="2"/>
  <c r="Y8" i="2"/>
  <c r="BD130" i="2"/>
  <c r="BK338" i="2" s="1"/>
  <c r="AW51" i="2"/>
  <c r="Y210" i="2"/>
  <c r="Y199" i="2" s="1"/>
  <c r="AF278" i="2"/>
  <c r="L300" i="2"/>
  <c r="AB145" i="2"/>
  <c r="C34" i="28"/>
  <c r="AS264" i="2"/>
  <c r="AU361" i="2"/>
  <c r="F54" i="28" s="1"/>
  <c r="AN11" i="2"/>
  <c r="AX10" i="2"/>
  <c r="O82" i="2"/>
  <c r="G20" i="1"/>
  <c r="H17" i="2"/>
  <c r="AV162" i="2"/>
  <c r="K215" i="2"/>
  <c r="H260" i="2"/>
  <c r="G37" i="1"/>
  <c r="P6" i="2"/>
  <c r="BE11" i="1" s="1"/>
  <c r="BE10" i="1"/>
  <c r="O12" i="1"/>
  <c r="J8" i="2"/>
  <c r="O13" i="1" s="1"/>
  <c r="BB37" i="2"/>
  <c r="BB264" i="2"/>
  <c r="AK254" i="2"/>
  <c r="AK269" i="2" s="1"/>
  <c r="G254" i="2"/>
  <c r="G269" i="2" s="1"/>
  <c r="N187" i="2"/>
  <c r="S120" i="2"/>
  <c r="S347" i="2" s="1"/>
  <c r="BN73" i="1" s="1"/>
  <c r="S60" i="2"/>
  <c r="S324" i="2"/>
  <c r="S259" i="2"/>
  <c r="BN39" i="1"/>
  <c r="S61" i="2"/>
  <c r="BN41" i="1" s="1"/>
  <c r="K10" i="2"/>
  <c r="V15" i="1" s="1"/>
  <c r="V14" i="1"/>
  <c r="BD70" i="2"/>
  <c r="BD71" i="2" s="1"/>
  <c r="BD361" i="2"/>
  <c r="F26" i="28" s="1"/>
  <c r="AK130" i="2"/>
  <c r="AP162" i="2"/>
  <c r="V266" i="2"/>
  <c r="Q19" i="2"/>
  <c r="Q21" i="2"/>
  <c r="BL23" i="1" s="1"/>
  <c r="BL10" i="1"/>
  <c r="AC51" i="2"/>
  <c r="AC52" i="2" s="1"/>
  <c r="AA14" i="2"/>
  <c r="L19" i="2"/>
  <c r="L6" i="2"/>
  <c r="AC11" i="1" s="1"/>
  <c r="AC10" i="1"/>
  <c r="AZ37" i="2"/>
  <c r="AZ264" i="2"/>
  <c r="BH360" i="2"/>
  <c r="M53" i="28" s="1"/>
  <c r="BA360" i="2"/>
  <c r="I53" i="28" s="1"/>
  <c r="BI360" i="2"/>
  <c r="N53" i="28" s="1"/>
  <c r="BB360" i="2"/>
  <c r="J53" i="28" s="1"/>
  <c r="AN21" i="2"/>
  <c r="AN6" i="2"/>
  <c r="T145" i="2"/>
  <c r="AW185" i="2"/>
  <c r="AW186" i="2" s="1"/>
  <c r="G260" i="2"/>
  <c r="F37" i="1"/>
  <c r="AA9" i="2"/>
  <c r="G266" i="2"/>
  <c r="F32" i="1"/>
  <c r="AR10" i="2"/>
  <c r="S51" i="2"/>
  <c r="D326" i="2"/>
  <c r="D8" i="2"/>
  <c r="AF51" i="2"/>
  <c r="AF52" i="2" s="1"/>
  <c r="G6" i="2"/>
  <c r="F11" i="1" s="1"/>
  <c r="G173" i="2"/>
  <c r="G19" i="2"/>
  <c r="F10" i="1"/>
  <c r="H46" i="28"/>
  <c r="J306" i="2"/>
  <c r="H50" i="1"/>
  <c r="H52" i="1" s="1"/>
  <c r="I307" i="2"/>
  <c r="I308" i="2" s="1"/>
  <c r="I225" i="2"/>
  <c r="I227" i="2" s="1"/>
  <c r="BS50" i="1"/>
  <c r="AP225" i="2"/>
  <c r="AP227" i="2" s="1"/>
  <c r="BI306" i="2"/>
  <c r="AP307" i="2"/>
  <c r="AP308" i="2" s="1"/>
  <c r="E15" i="28"/>
  <c r="E256" i="2"/>
  <c r="E270" i="2" s="1"/>
  <c r="AJ225" i="2"/>
  <c r="AJ227" i="2" s="1"/>
  <c r="AJ307" i="2"/>
  <c r="AJ308" i="2" s="1"/>
  <c r="AW259" i="2"/>
  <c r="AW120" i="2"/>
  <c r="AW324" i="2"/>
  <c r="BT39" i="1"/>
  <c r="BQ14" i="1"/>
  <c r="AB10" i="2"/>
  <c r="BQ15" i="1" s="1"/>
  <c r="F306" i="2"/>
  <c r="AJ306" i="2"/>
  <c r="E307" i="2"/>
  <c r="E308" i="2" s="1"/>
  <c r="E225" i="2"/>
  <c r="E227" i="2" s="1"/>
  <c r="N170" i="2"/>
  <c r="N172" i="2"/>
  <c r="N173" i="2" s="1"/>
  <c r="N162" i="2"/>
  <c r="AX60" i="2"/>
  <c r="AV7" i="2"/>
  <c r="V283" i="2"/>
  <c r="AD259" i="2"/>
  <c r="AD360" i="2"/>
  <c r="AD60" i="2"/>
  <c r="I70" i="2"/>
  <c r="I71" i="2" s="1"/>
  <c r="H145" i="2"/>
  <c r="G18" i="1"/>
  <c r="H24" i="2"/>
  <c r="H25" i="2" s="1"/>
  <c r="H15" i="2"/>
  <c r="G19" i="1" s="1"/>
  <c r="AY307" i="2"/>
  <c r="AY308" i="2" s="1"/>
  <c r="AY225" i="2"/>
  <c r="AY227" i="2" s="1"/>
  <c r="AO34" i="2"/>
  <c r="AY298" i="2"/>
  <c r="AM21" i="2"/>
  <c r="AM6" i="2"/>
  <c r="AM259" i="2"/>
  <c r="AM60" i="2"/>
  <c r="AM61" i="2"/>
  <c r="BT59" i="1"/>
  <c r="AW359" i="2"/>
  <c r="E24" i="28" s="1"/>
  <c r="BD21" i="2"/>
  <c r="BU23" i="1" s="1"/>
  <c r="BK6" i="2"/>
  <c r="BU10" i="1"/>
  <c r="BD11" i="2"/>
  <c r="AV59" i="2"/>
  <c r="AV360" i="2" s="1"/>
  <c r="AU278" i="2"/>
  <c r="AV210" i="2"/>
  <c r="AV199" i="2" s="1"/>
  <c r="AV193" i="2"/>
  <c r="G48" i="28"/>
  <c r="G36" i="28"/>
  <c r="H162" i="2"/>
  <c r="N85" i="2"/>
  <c r="N86" i="2" s="1"/>
  <c r="AL225" i="2"/>
  <c r="AL227" i="2" s="1"/>
  <c r="AL307" i="2"/>
  <c r="AL308" i="2" s="1"/>
  <c r="BS10" i="1"/>
  <c r="BS95" i="1" s="1"/>
  <c r="AP6" i="2"/>
  <c r="BS11" i="1" s="1"/>
  <c r="B3" i="26" s="1"/>
  <c r="C64" i="28" s="1"/>
  <c r="AP21" i="2"/>
  <c r="BS23" i="1" s="1"/>
  <c r="AI333" i="2"/>
  <c r="BR84" i="1" s="1"/>
  <c r="Z293" i="2"/>
  <c r="O162" i="2"/>
  <c r="AI326" i="2"/>
  <c r="BR17" i="1" s="1"/>
  <c r="AB359" i="2"/>
  <c r="H14" i="1"/>
  <c r="AJ50" i="1"/>
  <c r="AJ52" i="1" s="1"/>
  <c r="AF210" i="2"/>
  <c r="AF199" i="2" s="1"/>
  <c r="AE361" i="2"/>
  <c r="AE8" i="2"/>
  <c r="AR210" i="2"/>
  <c r="AR199" i="2" s="1"/>
  <c r="D46" i="28"/>
  <c r="AA130" i="2"/>
  <c r="BB293" i="2"/>
  <c r="S185" i="2"/>
  <c r="S186" i="2" s="1"/>
  <c r="AF254" i="2"/>
  <c r="AF269" i="2" s="1"/>
  <c r="AL254" i="2"/>
  <c r="AL269" i="2" s="1"/>
  <c r="Z254" i="2"/>
  <c r="Z269" i="2" s="1"/>
  <c r="K191" i="2"/>
  <c r="K353" i="2" s="1"/>
  <c r="V60" i="1"/>
  <c r="BC5" i="2"/>
  <c r="AI11" i="2"/>
  <c r="Y293" i="2"/>
  <c r="Y300" i="2" s="1"/>
  <c r="BA105" i="2"/>
  <c r="BA107" i="2" s="1"/>
  <c r="BD358" i="2"/>
  <c r="F23" i="28" s="1"/>
  <c r="AO55" i="2"/>
  <c r="BB225" i="2"/>
  <c r="BB227" i="2" s="1"/>
  <c r="BB307" i="2"/>
  <c r="BB308" i="2" s="1"/>
  <c r="I17" i="2"/>
  <c r="H20" i="1"/>
  <c r="M260" i="2"/>
  <c r="AJ37" i="1"/>
  <c r="AA283" i="2"/>
  <c r="AE106" i="2"/>
  <c r="AE108" i="2" s="1"/>
  <c r="BO37" i="1"/>
  <c r="T260" i="2"/>
  <c r="AF21" i="2"/>
  <c r="AF6" i="2"/>
  <c r="BC193" i="2"/>
  <c r="J279" i="2"/>
  <c r="J285" i="2" s="1"/>
  <c r="AO5" i="2"/>
  <c r="AK17" i="2"/>
  <c r="H333" i="2"/>
  <c r="H131" i="2"/>
  <c r="V6" i="2"/>
  <c r="O6" i="2"/>
  <c r="AX11" i="1" s="1"/>
  <c r="O21" i="2"/>
  <c r="AX23" i="1" s="1"/>
  <c r="AX10" i="1"/>
  <c r="O19" i="2"/>
  <c r="O11" i="2"/>
  <c r="AT264" i="2"/>
  <c r="AT37" i="2"/>
  <c r="G12" i="1"/>
  <c r="H8" i="2"/>
  <c r="G13" i="1" s="1"/>
  <c r="AE360" i="2"/>
  <c r="AE61" i="2"/>
  <c r="AE60" i="2"/>
  <c r="AE259" i="2"/>
  <c r="AT215" i="2"/>
  <c r="U15" i="2"/>
  <c r="BP19" i="1" s="1"/>
  <c r="AI8" i="2"/>
  <c r="BR13" i="1" s="1"/>
  <c r="I266" i="2"/>
  <c r="AD210" i="2"/>
  <c r="AD199" i="2" s="1"/>
  <c r="P131" i="2"/>
  <c r="H33" i="28"/>
  <c r="G145" i="2"/>
  <c r="AX8" i="2"/>
  <c r="BA311" i="2"/>
  <c r="BA313" i="2" s="1"/>
  <c r="K32" i="28"/>
  <c r="AW21" i="2"/>
  <c r="BT23" i="1" s="1"/>
  <c r="AD162" i="2"/>
  <c r="AY229" i="2"/>
  <c r="AY132" i="2" s="1"/>
  <c r="BA225" i="2"/>
  <c r="BA227" i="2" s="1"/>
  <c r="BA307" i="2"/>
  <c r="BA308" i="2" s="1"/>
  <c r="C17" i="28"/>
  <c r="G24" i="2"/>
  <c r="F20" i="1"/>
  <c r="G17" i="2"/>
  <c r="BE360" i="2"/>
  <c r="K53" i="28" s="1"/>
  <c r="AX360" i="2"/>
  <c r="G53" i="28" s="1"/>
  <c r="Y266" i="2"/>
  <c r="AW311" i="2"/>
  <c r="AW313" i="2" s="1"/>
  <c r="BC311" i="2"/>
  <c r="BC313" i="2" s="1"/>
  <c r="BI311" i="2"/>
  <c r="BI313" i="2" s="1"/>
  <c r="O15" i="2"/>
  <c r="AX19" i="1" s="1"/>
  <c r="O24" i="2"/>
  <c r="O25" i="2" s="1"/>
  <c r="AX18" i="1"/>
  <c r="AH45" i="2"/>
  <c r="AH266" i="2" s="1"/>
  <c r="BS14" i="1"/>
  <c r="AP10" i="2"/>
  <c r="BS15" i="1" s="1"/>
  <c r="AN37" i="2"/>
  <c r="AN264" i="2"/>
  <c r="P162" i="2"/>
  <c r="F4" i="28"/>
  <c r="G5" i="28"/>
  <c r="F21" i="28"/>
  <c r="AA59" i="2"/>
  <c r="AT254" i="2"/>
  <c r="AT269" i="2" s="1"/>
  <c r="AH254" i="2"/>
  <c r="AH269" i="2" s="1"/>
  <c r="BB11" i="2"/>
  <c r="AG145" i="2"/>
  <c r="AG70" i="2"/>
  <c r="AG71" i="2" s="1"/>
  <c r="BS37" i="1"/>
  <c r="AP260" i="2"/>
  <c r="W15" i="2"/>
  <c r="AT19" i="2"/>
  <c r="AX60" i="1"/>
  <c r="AX95" i="1" s="1"/>
  <c r="O191" i="2"/>
  <c r="O353" i="2" s="1"/>
  <c r="F145" i="2"/>
  <c r="O145" i="2"/>
  <c r="I260" i="2"/>
  <c r="H37" i="1"/>
  <c r="D5" i="28"/>
  <c r="D21" i="28"/>
  <c r="D4" i="28"/>
  <c r="AD21" i="2"/>
  <c r="AD6" i="2"/>
  <c r="C35" i="28"/>
  <c r="C48" i="28"/>
  <c r="BL18" i="1"/>
  <c r="Q15" i="2"/>
  <c r="BL19" i="1" s="1"/>
  <c r="Q24" i="2"/>
  <c r="BD131" i="2"/>
  <c r="S260" i="2"/>
  <c r="BN37" i="1"/>
  <c r="H34" i="28"/>
  <c r="BC42" i="2"/>
  <c r="BC265" i="2" s="1"/>
  <c r="J256" i="2"/>
  <c r="J270" i="2" s="1"/>
  <c r="BP18" i="1"/>
  <c r="I52" i="2"/>
  <c r="AN145" i="2"/>
  <c r="AX31" i="1"/>
  <c r="AO229" i="2"/>
  <c r="AO132" i="2" s="1"/>
  <c r="S307" i="2"/>
  <c r="S308" i="2" s="1"/>
  <c r="L34" i="28"/>
  <c r="H70" i="2"/>
  <c r="H71" i="2" s="1"/>
  <c r="AL8" i="2"/>
  <c r="AW15" i="2"/>
  <c r="BT19" i="1" s="1"/>
  <c r="BG311" i="2"/>
  <c r="BG313" i="2" s="1"/>
  <c r="AL15" i="2"/>
  <c r="F130" i="2"/>
  <c r="AL19" i="2"/>
  <c r="S300" i="2"/>
  <c r="AU15" i="2"/>
  <c r="AU24" i="2"/>
  <c r="AU25" i="2" s="1"/>
  <c r="Z307" i="2"/>
  <c r="Z308" i="2" s="1"/>
  <c r="Z225" i="2"/>
  <c r="Z227" i="2" s="1"/>
  <c r="BE306" i="2"/>
  <c r="AQ283" i="2"/>
  <c r="AM359" i="2"/>
  <c r="AM303" i="2"/>
  <c r="T131" i="2"/>
  <c r="T333" i="2"/>
  <c r="BO84" i="1" s="1"/>
  <c r="AC303" i="2"/>
  <c r="AC359" i="2"/>
  <c r="BC34" i="2"/>
  <c r="AO49" i="2"/>
  <c r="AN210" i="2"/>
  <c r="AN199" i="2" s="1"/>
  <c r="AY303" i="2"/>
  <c r="AY359" i="2"/>
  <c r="H52" i="28" s="1"/>
  <c r="AR279" i="2"/>
  <c r="O131" i="2"/>
  <c r="O333" i="2"/>
  <c r="E20" i="1"/>
  <c r="F17" i="2"/>
  <c r="BM20" i="1"/>
  <c r="R17" i="2"/>
  <c r="AL61" i="2"/>
  <c r="AJ130" i="2"/>
  <c r="J31" i="28"/>
  <c r="J32" i="28"/>
  <c r="AO57" i="2"/>
  <c r="AO260" i="2" s="1"/>
  <c r="W145" i="2"/>
  <c r="W70" i="2"/>
  <c r="W71" i="2" s="1"/>
  <c r="AO280" i="2"/>
  <c r="AH18" i="2"/>
  <c r="W298" i="2"/>
  <c r="AR8" i="2"/>
  <c r="E44" i="28"/>
  <c r="BD254" i="2"/>
  <c r="BD269" i="2" s="1"/>
  <c r="BJ254" i="2"/>
  <c r="BJ269" i="2" s="1"/>
  <c r="X10" i="2"/>
  <c r="BL14" i="1"/>
  <c r="Q10" i="2"/>
  <c r="BL15" i="1" s="1"/>
  <c r="T254" i="2"/>
  <c r="T269" i="2" s="1"/>
  <c r="AG6" i="2"/>
  <c r="AG21" i="2"/>
  <c r="U279" i="2"/>
  <c r="U285" i="2" s="1"/>
  <c r="AD145" i="2"/>
  <c r="AD361" i="2"/>
  <c r="AD70" i="2"/>
  <c r="AD71" i="2" s="1"/>
  <c r="AQ131" i="2"/>
  <c r="I264" i="2"/>
  <c r="I37" i="2"/>
  <c r="H31" i="1"/>
  <c r="AC215" i="2"/>
  <c r="AO275" i="2"/>
  <c r="O37" i="2"/>
  <c r="BD17" i="2"/>
  <c r="AX306" i="2"/>
  <c r="AX210" i="2"/>
  <c r="AX199" i="2" s="1"/>
  <c r="AM360" i="2"/>
  <c r="V264" i="2"/>
  <c r="C36" i="28"/>
  <c r="P146" i="2"/>
  <c r="M10" i="2"/>
  <c r="AJ15" i="1" s="1"/>
  <c r="AJ14" i="1"/>
  <c r="AI254" i="2"/>
  <c r="AI269" i="2" s="1"/>
  <c r="BG254" i="2"/>
  <c r="BG269" i="2" s="1"/>
  <c r="BA254" i="2"/>
  <c r="BA269" i="2" s="1"/>
  <c r="AO254" i="2"/>
  <c r="AO269" i="2" s="1"/>
  <c r="AU254" i="2"/>
  <c r="AU269" i="2" s="1"/>
  <c r="J229" i="2"/>
  <c r="J132" i="2" s="1"/>
  <c r="J343" i="2" s="1"/>
  <c r="AG303" i="2"/>
  <c r="AR61" i="2"/>
  <c r="AR259" i="2"/>
  <c r="AR60" i="2"/>
  <c r="N259" i="2"/>
  <c r="N324" i="2"/>
  <c r="N61" i="2"/>
  <c r="AQ41" i="1" s="1"/>
  <c r="N120" i="2"/>
  <c r="N60" i="2"/>
  <c r="AQ40" i="1" s="1"/>
  <c r="BD264" i="2"/>
  <c r="BD37" i="2"/>
  <c r="AH57" i="2"/>
  <c r="AH260" i="2" s="1"/>
  <c r="AR360" i="2"/>
  <c r="D53" i="28" s="1"/>
  <c r="AS279" i="2"/>
  <c r="AS285" i="2" s="1"/>
  <c r="AK283" i="2"/>
  <c r="U170" i="2"/>
  <c r="E19" i="2"/>
  <c r="E6" i="2"/>
  <c r="E173" i="2"/>
  <c r="L17" i="2"/>
  <c r="AC20" i="1"/>
  <c r="K60" i="2"/>
  <c r="V40" i="1" s="1"/>
  <c r="K19" i="2"/>
  <c r="V10" i="1"/>
  <c r="AJ60" i="1"/>
  <c r="M191" i="2"/>
  <c r="M353" i="2" s="1"/>
  <c r="AC307" i="2"/>
  <c r="AC308" i="2" s="1"/>
  <c r="AC225" i="2"/>
  <c r="AC227" i="2" s="1"/>
  <c r="AJ11" i="2"/>
  <c r="AS130" i="2"/>
  <c r="AM19" i="2"/>
  <c r="D307" i="2"/>
  <c r="D308" i="2" s="1"/>
  <c r="D225" i="2"/>
  <c r="D227" i="2" s="1"/>
  <c r="E306" i="2"/>
  <c r="H191" i="2"/>
  <c r="H353" i="2" s="1"/>
  <c r="G60" i="1"/>
  <c r="BA130" i="2"/>
  <c r="AL37" i="2"/>
  <c r="AL264" i="2"/>
  <c r="F22" i="1"/>
  <c r="G21" i="2"/>
  <c r="F23" i="1" s="1"/>
  <c r="J146" i="2"/>
  <c r="J141" i="2" s="1"/>
  <c r="AE6" i="2"/>
  <c r="AU210" i="2"/>
  <c r="AU199" i="2" s="1"/>
  <c r="AR145" i="2"/>
  <c r="AR70" i="2"/>
  <c r="AR71" i="2" s="1"/>
  <c r="AR361" i="2"/>
  <c r="D54" i="28" s="1"/>
  <c r="AG210" i="2"/>
  <c r="AG199" i="2" s="1"/>
  <c r="G60" i="2"/>
  <c r="F40" i="1" s="1"/>
  <c r="G259" i="2"/>
  <c r="G324" i="2"/>
  <c r="G120" i="2"/>
  <c r="X19" i="2"/>
  <c r="AY215" i="2"/>
  <c r="Q333" i="2"/>
  <c r="Q131" i="2"/>
  <c r="AN10" i="2"/>
  <c r="BD326" i="2"/>
  <c r="BU17" i="1" s="1"/>
  <c r="BU12" i="1"/>
  <c r="BD8" i="2"/>
  <c r="BU13" i="1" s="1"/>
  <c r="BA60" i="2"/>
  <c r="BA259" i="2"/>
  <c r="BH61" i="2"/>
  <c r="R170" i="2"/>
  <c r="C16" i="28"/>
  <c r="AI311" i="2"/>
  <c r="AI313" i="2" s="1"/>
  <c r="AC130" i="2"/>
  <c r="AC106" i="2" s="1"/>
  <c r="AC108" i="2" s="1"/>
  <c r="AU303" i="2"/>
  <c r="AU359" i="2"/>
  <c r="F52" i="28" s="1"/>
  <c r="AQ199" i="2"/>
  <c r="AO274" i="2"/>
  <c r="AZ360" i="2"/>
  <c r="U8" i="2"/>
  <c r="BP13" i="1" s="1"/>
  <c r="BD170" i="2"/>
  <c r="S225" i="2"/>
  <c r="S227" i="2" s="1"/>
  <c r="Y162" i="2"/>
  <c r="X130" i="2"/>
  <c r="N254" i="2"/>
  <c r="N269" i="2" s="1"/>
  <c r="G44" i="28"/>
  <c r="AO311" i="2"/>
  <c r="AO313" i="2" s="1"/>
  <c r="AL105" i="2"/>
  <c r="AL107" i="2" s="1"/>
  <c r="J225" i="2"/>
  <c r="J227" i="2" s="1"/>
  <c r="AR306" i="2"/>
  <c r="AF293" i="2"/>
  <c r="D36" i="28"/>
  <c r="D48" i="28"/>
  <c r="D35" i="28"/>
  <c r="AT229" i="2"/>
  <c r="AT132" i="2" s="1"/>
  <c r="P170" i="2"/>
  <c r="P172" i="2"/>
  <c r="P173" i="2" s="1"/>
  <c r="AT145" i="2"/>
  <c r="AT70" i="2"/>
  <c r="T279" i="2"/>
  <c r="T285" i="2" s="1"/>
  <c r="BD19" i="2"/>
  <c r="BC14" i="2"/>
  <c r="AI260" i="2"/>
  <c r="BR37" i="1"/>
  <c r="AM17" i="2"/>
  <c r="AF298" i="2"/>
  <c r="Q170" i="2"/>
  <c r="Q172" i="2"/>
  <c r="Q173" i="2" s="1"/>
  <c r="N51" i="2"/>
  <c r="V31" i="1"/>
  <c r="K37" i="2"/>
  <c r="K264" i="2"/>
  <c r="AG283" i="2"/>
  <c r="I24" i="2"/>
  <c r="I25" i="2" s="1"/>
  <c r="H18" i="1"/>
  <c r="I15" i="2"/>
  <c r="H19" i="1" s="1"/>
  <c r="BC16" i="2"/>
  <c r="T266" i="2"/>
  <c r="BO32" i="1"/>
  <c r="AZ8" i="2"/>
  <c r="AK361" i="2"/>
  <c r="AK145" i="2"/>
  <c r="AK70" i="2"/>
  <c r="AK71" i="2" s="1"/>
  <c r="O22" i="1"/>
  <c r="J21" i="2"/>
  <c r="O23" i="1" s="1"/>
  <c r="BF360" i="2"/>
  <c r="L53" i="28" s="1"/>
  <c r="AY360" i="2"/>
  <c r="H53" i="28" s="1"/>
  <c r="AC264" i="2"/>
  <c r="AC37" i="2"/>
  <c r="E37" i="1"/>
  <c r="F260" i="2"/>
  <c r="T264" i="2"/>
  <c r="BO31" i="1"/>
  <c r="T37" i="2"/>
  <c r="BM217" i="2"/>
  <c r="BL215" i="2"/>
  <c r="V59" i="1"/>
  <c r="K303" i="2"/>
  <c r="V66" i="1" s="1"/>
  <c r="V67" i="1" s="1"/>
  <c r="L333" i="2"/>
  <c r="D40" i="28"/>
  <c r="AU131" i="2"/>
  <c r="AY61" i="2"/>
  <c r="AY259" i="2"/>
  <c r="BF61" i="2"/>
  <c r="AY60" i="2"/>
  <c r="AR19" i="2"/>
  <c r="W215" i="2"/>
  <c r="W221" i="2" s="1"/>
  <c r="W223" i="2" s="1"/>
  <c r="BB210" i="2"/>
  <c r="BB199" i="2" s="1"/>
  <c r="I36" i="28"/>
  <c r="I48" i="28"/>
  <c r="M36" i="28"/>
  <c r="R80" i="28" s="1"/>
  <c r="I35" i="28"/>
  <c r="Y259" i="2"/>
  <c r="Y61" i="2"/>
  <c r="Y60" i="2"/>
  <c r="AY279" i="2"/>
  <c r="AD307" i="2"/>
  <c r="AD308" i="2" s="1"/>
  <c r="AD225" i="2"/>
  <c r="AD227" i="2" s="1"/>
  <c r="BO14" i="1"/>
  <c r="T10" i="2"/>
  <c r="BO15" i="1" s="1"/>
  <c r="C6" i="28"/>
  <c r="C7" i="28"/>
  <c r="Q187" i="2"/>
  <c r="AJ105" i="2"/>
  <c r="AJ107" i="2" s="1"/>
  <c r="Z61" i="2"/>
  <c r="Z259" i="2"/>
  <c r="Z60" i="2"/>
  <c r="U326" i="2"/>
  <c r="BP17" i="1" s="1"/>
  <c r="BD172" i="2"/>
  <c r="BD173" i="2" s="1"/>
  <c r="I131" i="2"/>
  <c r="T306" i="2"/>
  <c r="W131" i="2"/>
  <c r="V279" i="2"/>
  <c r="AF131" i="2"/>
  <c r="O99" i="1"/>
  <c r="BA283" i="2"/>
  <c r="J162" i="2"/>
  <c r="BB311" i="2"/>
  <c r="BB313" i="2" s="1"/>
  <c r="AV311" i="2"/>
  <c r="AV313" i="2" s="1"/>
  <c r="V210" i="2"/>
  <c r="V199" i="2" s="1"/>
  <c r="BB229" i="2"/>
  <c r="BB132" i="2" s="1"/>
  <c r="T11" i="2"/>
  <c r="AX105" i="2"/>
  <c r="AX107" i="2" s="1"/>
  <c r="BE32" i="1"/>
  <c r="P266" i="2"/>
  <c r="AQ37" i="2"/>
  <c r="AQ264" i="2"/>
  <c r="AI229" i="2"/>
  <c r="BU18" i="1"/>
  <c r="BU24" i="1" s="1"/>
  <c r="BD24" i="2"/>
  <c r="BD25" i="2" s="1"/>
  <c r="BD15" i="2"/>
  <c r="BU19" i="1" s="1"/>
  <c r="I130" i="2"/>
  <c r="AZ51" i="2"/>
  <c r="AZ52" i="2" s="1"/>
  <c r="L170" i="2"/>
  <c r="AT298" i="2"/>
  <c r="AB303" i="2"/>
  <c r="BQ66" i="1" s="1"/>
  <c r="BQ67" i="1" s="1"/>
  <c r="AZ11" i="2"/>
  <c r="BG6" i="2"/>
  <c r="BE361" i="2"/>
  <c r="K54" i="28" s="1"/>
  <c r="AX70" i="2"/>
  <c r="X225" i="2"/>
  <c r="X227" i="2" s="1"/>
  <c r="X307" i="2"/>
  <c r="X308" i="2" s="1"/>
  <c r="H60" i="2"/>
  <c r="G40" i="1" s="1"/>
  <c r="O60" i="2"/>
  <c r="AX40" i="1" s="1"/>
  <c r="E10" i="1"/>
  <c r="F173" i="2"/>
  <c r="F19" i="2"/>
  <c r="F6" i="2"/>
  <c r="E11" i="1" s="1"/>
  <c r="AU259" i="2"/>
  <c r="AU60" i="2"/>
  <c r="AR15" i="2"/>
  <c r="AK6" i="2"/>
  <c r="AK21" i="2"/>
  <c r="J60" i="2"/>
  <c r="O40" i="1" s="1"/>
  <c r="N37" i="2"/>
  <c r="AQ31" i="1"/>
  <c r="H36" i="28"/>
  <c r="H48" i="28"/>
  <c r="L36" i="28"/>
  <c r="H35" i="28"/>
  <c r="L146" i="2"/>
  <c r="AV49" i="2"/>
  <c r="AT130" i="2"/>
  <c r="AV41" i="2"/>
  <c r="AO45" i="2"/>
  <c r="AO266" i="2" s="1"/>
  <c r="AA254" i="2"/>
  <c r="AA269" i="2" s="1"/>
  <c r="O254" i="2"/>
  <c r="O269" i="2" s="1"/>
  <c r="AG254" i="2"/>
  <c r="AG269" i="2" s="1"/>
  <c r="U130" i="2"/>
  <c r="Q162" i="2"/>
  <c r="BT44" i="1"/>
  <c r="AV5" i="2"/>
  <c r="AZ199" i="2"/>
  <c r="AH55" i="2"/>
  <c r="AD266" i="2"/>
  <c r="AK278" i="2"/>
  <c r="C15" i="28"/>
  <c r="R187" i="2"/>
  <c r="BD260" i="2"/>
  <c r="BU37" i="1"/>
  <c r="M61" i="2"/>
  <c r="AJ41" i="1" s="1"/>
  <c r="M324" i="2"/>
  <c r="M259" i="2"/>
  <c r="M60" i="2"/>
  <c r="AJ40" i="1" s="1"/>
  <c r="M120" i="2"/>
  <c r="R279" i="2"/>
  <c r="R285" i="2" s="1"/>
  <c r="AM10" i="2"/>
  <c r="X8" i="2"/>
  <c r="AD51" i="2"/>
  <c r="AD52" i="2" s="1"/>
  <c r="AF15" i="2"/>
  <c r="AF24" i="2"/>
  <c r="N307" i="2"/>
  <c r="N308" i="2" s="1"/>
  <c r="N225" i="2"/>
  <c r="N227" i="2" s="1"/>
  <c r="O306" i="2"/>
  <c r="AM306" i="2"/>
  <c r="AG306" i="2"/>
  <c r="AA306" i="2"/>
  <c r="AQ50" i="1"/>
  <c r="AQ52" i="1" s="1"/>
  <c r="AS306" i="2"/>
  <c r="AS225" i="2"/>
  <c r="AS227" i="2" s="1"/>
  <c r="AS307" i="2"/>
  <c r="AS308" i="2" s="1"/>
  <c r="AF215" i="2"/>
  <c r="BN60" i="1"/>
  <c r="S191" i="2"/>
  <c r="S353" i="2" s="1"/>
  <c r="AY254" i="2"/>
  <c r="AY269" i="2" s="1"/>
  <c r="U254" i="2"/>
  <c r="U269" i="2" s="1"/>
  <c r="AV18" i="2"/>
  <c r="AH59" i="2"/>
  <c r="V8" i="2"/>
  <c r="AH41" i="2"/>
  <c r="AZ10" i="2"/>
  <c r="V10" i="2"/>
  <c r="S82" i="2"/>
  <c r="C13" i="28"/>
  <c r="BC49" i="2"/>
  <c r="AG360" i="2"/>
  <c r="AG61" i="2"/>
  <c r="AG259" i="2"/>
  <c r="AG60" i="2"/>
  <c r="AX293" i="2"/>
  <c r="AX300" i="2" s="1"/>
  <c r="AR359" i="2"/>
  <c r="D52" i="28" s="1"/>
  <c r="AR303" i="2"/>
  <c r="AV42" i="2"/>
  <c r="AV265" i="2" s="1"/>
  <c r="E10" i="2"/>
  <c r="Q120" i="2"/>
  <c r="Q324" i="2"/>
  <c r="Q259" i="2"/>
  <c r="Q61" i="2"/>
  <c r="BL41" i="1" s="1"/>
  <c r="Q60" i="2"/>
  <c r="BL40" i="1" s="1"/>
  <c r="AN19" i="2"/>
  <c r="Q191" i="2"/>
  <c r="Q353" i="2" s="1"/>
  <c r="BL60" i="1"/>
  <c r="L229" i="2"/>
  <c r="L132" i="2" s="1"/>
  <c r="AC21" i="2"/>
  <c r="AC6" i="2"/>
  <c r="AK15" i="2"/>
  <c r="AK24" i="2"/>
  <c r="T15" i="2"/>
  <c r="BO19" i="1" s="1"/>
  <c r="BO18" i="1"/>
  <c r="AQ14" i="1"/>
  <c r="N10" i="2"/>
  <c r="AQ15" i="1" s="1"/>
  <c r="E333" i="2"/>
  <c r="AZ259" i="2"/>
  <c r="BE6" i="2"/>
  <c r="AX21" i="2"/>
  <c r="AX15" i="2"/>
  <c r="X300" i="2"/>
  <c r="AM8" i="2"/>
  <c r="AM283" i="2"/>
  <c r="E259" i="2"/>
  <c r="E60" i="2"/>
  <c r="E324" i="2"/>
  <c r="T6" i="2"/>
  <c r="BO11" i="1" s="1"/>
  <c r="BO10" i="1"/>
  <c r="T21" i="2"/>
  <c r="BO23" i="1" s="1"/>
  <c r="E15" i="2"/>
  <c r="D19" i="1" s="1"/>
  <c r="E24" i="2"/>
  <c r="D18" i="1"/>
  <c r="AB264" i="2"/>
  <c r="BQ31" i="1"/>
  <c r="AB37" i="2"/>
  <c r="AM225" i="2"/>
  <c r="AM227" i="2" s="1"/>
  <c r="AM307" i="2"/>
  <c r="AM308" i="2" s="1"/>
  <c r="M264" i="2"/>
  <c r="M37" i="2"/>
  <c r="AJ31" i="1"/>
  <c r="AG298" i="2"/>
  <c r="F15" i="2"/>
  <c r="E19" i="1" s="1"/>
  <c r="E18" i="1"/>
  <c r="F24" i="2"/>
  <c r="AR11" i="2"/>
  <c r="AR6" i="2"/>
  <c r="AR21" i="2"/>
  <c r="BE14" i="1"/>
  <c r="P10" i="2"/>
  <c r="BE15" i="1" s="1"/>
  <c r="AI174" i="2"/>
  <c r="AV46" i="2"/>
  <c r="N70" i="2"/>
  <c r="N71" i="2" s="1"/>
  <c r="E16" i="28"/>
  <c r="C9" i="28"/>
  <c r="C20" i="28"/>
  <c r="C8" i="28"/>
  <c r="W105" i="2"/>
  <c r="W107" i="2" s="1"/>
  <c r="AH14" i="2"/>
  <c r="AN278" i="2"/>
  <c r="BD51" i="2"/>
  <c r="AV57" i="2"/>
  <c r="AV260" i="2" s="1"/>
  <c r="E22" i="1"/>
  <c r="F21" i="2"/>
  <c r="E23" i="1" s="1"/>
  <c r="AV45" i="2"/>
  <c r="AV9" i="2"/>
  <c r="AZ130" i="2"/>
  <c r="AK8" i="2"/>
  <c r="AU264" i="2"/>
  <c r="AU37" i="2"/>
  <c r="W17" i="2"/>
  <c r="AE359" i="2"/>
  <c r="BE60" i="1"/>
  <c r="P191" i="2"/>
  <c r="P353" i="2" s="1"/>
  <c r="BB61" i="2"/>
  <c r="BI61" i="2"/>
  <c r="BB60" i="2"/>
  <c r="BB259" i="2"/>
  <c r="P174" i="2"/>
  <c r="AW229" i="2"/>
  <c r="G14" i="1"/>
  <c r="H10" i="2"/>
  <c r="G15" i="1" s="1"/>
  <c r="AB105" i="2"/>
  <c r="AB107" i="2" s="1"/>
  <c r="AH275" i="2"/>
  <c r="AH274" i="2"/>
  <c r="M185" i="2"/>
  <c r="M186" i="2" s="1"/>
  <c r="R191" i="2"/>
  <c r="R353" i="2" s="1"/>
  <c r="BM60" i="1"/>
  <c r="AX17" i="2"/>
  <c r="BD266" i="2"/>
  <c r="BU32" i="1"/>
  <c r="C12" i="28"/>
  <c r="C5" i="28"/>
  <c r="C4" i="28"/>
  <c r="BD6" i="2"/>
  <c r="BU11" i="1" s="1"/>
  <c r="J215" i="2"/>
  <c r="R300" i="2"/>
  <c r="BM63" i="1"/>
  <c r="AL21" i="2"/>
  <c r="AB324" i="2"/>
  <c r="AZ60" i="2"/>
  <c r="BR32" i="1"/>
  <c r="N191" i="2"/>
  <c r="N353" i="2" s="1"/>
  <c r="I300" i="2"/>
  <c r="AP172" i="2"/>
  <c r="AP173" i="2" s="1"/>
  <c r="R131" i="2"/>
  <c r="BB131" i="2"/>
  <c r="AH283" i="2"/>
  <c r="AS254" i="2"/>
  <c r="AS269" i="2" s="1"/>
  <c r="K24" i="2"/>
  <c r="K25" i="2" s="1"/>
  <c r="AW187" i="2"/>
  <c r="AT210" i="2"/>
  <c r="AT199" i="2" s="1"/>
  <c r="AV14" i="2"/>
  <c r="E12" i="28"/>
  <c r="L303" i="2"/>
  <c r="AC66" i="1" s="1"/>
  <c r="AC67" i="1" s="1"/>
  <c r="AH162" i="2"/>
  <c r="AE307" i="2"/>
  <c r="AE308" i="2" s="1"/>
  <c r="AE225" i="2"/>
  <c r="AE227" i="2" s="1"/>
  <c r="AA162" i="2"/>
  <c r="AP326" i="2"/>
  <c r="BS17" i="1" s="1"/>
  <c r="B4" i="26" s="1"/>
  <c r="C65" i="28" s="1"/>
  <c r="BS12" i="1"/>
  <c r="AP8" i="2"/>
  <c r="BS13" i="1" s="1"/>
  <c r="BC57" i="2"/>
  <c r="BC260" i="2" s="1"/>
  <c r="AX14" i="1"/>
  <c r="O10" i="2"/>
  <c r="AX15" i="1" s="1"/>
  <c r="F51" i="2"/>
  <c r="AY264" i="2"/>
  <c r="AY37" i="2"/>
  <c r="AS15" i="2"/>
  <c r="AS24" i="2"/>
  <c r="AS25" i="2" s="1"/>
  <c r="R326" i="2"/>
  <c r="BM17" i="1" s="1"/>
  <c r="K17" i="2"/>
  <c r="V20" i="1"/>
  <c r="G10" i="2"/>
  <c r="F15" i="1" s="1"/>
  <c r="F14" i="1"/>
  <c r="E279" i="2"/>
  <c r="E285" i="2" s="1"/>
  <c r="AC283" i="2"/>
  <c r="BF361" i="2"/>
  <c r="L54" i="28" s="1"/>
  <c r="AY361" i="2"/>
  <c r="H54" i="28" s="1"/>
  <c r="AY70" i="2"/>
  <c r="AY71" i="2" s="1"/>
  <c r="AZ225" i="2"/>
  <c r="AZ227" i="2" s="1"/>
  <c r="AZ307" i="2"/>
  <c r="AZ308" i="2" s="1"/>
  <c r="AQ130" i="2"/>
  <c r="BI254" i="2"/>
  <c r="BI269" i="2" s="1"/>
  <c r="AW254" i="2"/>
  <c r="AW269" i="2" s="1"/>
  <c r="AG225" i="2"/>
  <c r="AG227" i="2" s="1"/>
  <c r="AG307" i="2"/>
  <c r="AG308" i="2" s="1"/>
  <c r="AC298" i="2"/>
  <c r="AI60" i="2"/>
  <c r="AI61" i="2"/>
  <c r="BR41" i="1" s="1"/>
  <c r="BR39" i="1"/>
  <c r="AI120" i="2"/>
  <c r="AI324" i="2"/>
  <c r="AI259" i="2"/>
  <c r="AZ229" i="2"/>
  <c r="AZ132" i="2" s="1"/>
  <c r="U52" i="2"/>
  <c r="U266" i="2"/>
  <c r="BP32" i="1"/>
  <c r="BA278" i="2"/>
  <c r="AO193" i="2"/>
  <c r="AO210" i="2"/>
  <c r="AO199" i="2" s="1"/>
  <c r="AN298" i="2"/>
  <c r="AT8" i="2"/>
  <c r="BT32" i="1"/>
  <c r="AW266" i="2"/>
  <c r="O174" i="2"/>
  <c r="L145" i="2"/>
  <c r="M70" i="2"/>
  <c r="M71" i="2" s="1"/>
  <c r="M34" i="28"/>
  <c r="I33" i="28"/>
  <c r="I34" i="28"/>
  <c r="AT162" i="2"/>
  <c r="O266" i="2"/>
  <c r="AX32" i="1"/>
  <c r="AU6" i="2"/>
  <c r="AU21" i="2"/>
  <c r="F60" i="1"/>
  <c r="G191" i="2"/>
  <c r="G353" i="2" s="1"/>
  <c r="K333" i="2"/>
  <c r="AI359" i="2"/>
  <c r="C24" i="28" s="1"/>
  <c r="F254" i="2"/>
  <c r="F269" i="2" s="1"/>
  <c r="AW358" i="2"/>
  <c r="E23" i="28" s="1"/>
  <c r="AZ61" i="2"/>
  <c r="AX145" i="2"/>
  <c r="U11" i="2"/>
  <c r="O172" i="2"/>
  <c r="O173" i="2" s="1"/>
  <c r="S130" i="2"/>
  <c r="Z11" i="2"/>
  <c r="AL17" i="2"/>
  <c r="BC46" i="2"/>
  <c r="N229" i="2"/>
  <c r="N132" i="2" s="1"/>
  <c r="K51" i="2"/>
  <c r="AB360" i="2"/>
  <c r="R60" i="2"/>
  <c r="AP229" i="2"/>
  <c r="Y51" i="2"/>
  <c r="Y52" i="2" s="1"/>
  <c r="W210" i="2"/>
  <c r="W199" i="2" s="1"/>
  <c r="AJ303" i="2"/>
  <c r="AJ359" i="2"/>
  <c r="BA359" i="2"/>
  <c r="I52" i="28" s="1"/>
  <c r="BA303" i="2"/>
  <c r="BC55" i="2"/>
  <c r="AY130" i="2"/>
  <c r="AX19" i="2"/>
  <c r="T120" i="2"/>
  <c r="BO39" i="1"/>
  <c r="T60" i="2"/>
  <c r="T259" i="2"/>
  <c r="T324" i="2"/>
  <c r="T61" i="2"/>
  <c r="BO41" i="1" s="1"/>
  <c r="BC50" i="2"/>
  <c r="D215" i="2"/>
  <c r="E32" i="28"/>
  <c r="E31" i="28"/>
  <c r="E49" i="28"/>
  <c r="E32" i="1"/>
  <c r="F266" i="2"/>
  <c r="BQ37" i="1"/>
  <c r="AB260" i="2"/>
  <c r="BO60" i="1"/>
  <c r="T191" i="2"/>
  <c r="T353" i="2" s="1"/>
  <c r="AA18" i="2"/>
  <c r="G32" i="1"/>
  <c r="H266" i="2"/>
  <c r="W303" i="2"/>
  <c r="D254" i="2"/>
  <c r="D269" i="2" s="1"/>
  <c r="E254" i="2"/>
  <c r="E269" i="2" s="1"/>
  <c r="AS300" i="2"/>
  <c r="M174" i="2"/>
  <c r="P185" i="2"/>
  <c r="P186" i="2" s="1"/>
  <c r="G37" i="2"/>
  <c r="F31" i="1"/>
  <c r="G264" i="2"/>
  <c r="BL32" i="1"/>
  <c r="Q266" i="2"/>
  <c r="F31" i="28"/>
  <c r="F49" i="28"/>
  <c r="C31" i="28"/>
  <c r="C49" i="28"/>
  <c r="AI186" i="2"/>
  <c r="X70" i="2"/>
  <c r="X145" i="2"/>
  <c r="N256" i="2"/>
  <c r="N270" i="2" s="1"/>
  <c r="BC45" i="2"/>
  <c r="BC266" i="2" s="1"/>
  <c r="H12" i="1"/>
  <c r="I326" i="2"/>
  <c r="I8" i="2"/>
  <c r="H13" i="1" s="1"/>
  <c r="BC70" i="2"/>
  <c r="BJ361" i="2"/>
  <c r="AX303" i="2"/>
  <c r="AX359" i="2"/>
  <c r="G52" i="28" s="1"/>
  <c r="AL11" i="2"/>
  <c r="O300" i="2"/>
  <c r="AJ283" i="2"/>
  <c r="M333" i="2"/>
  <c r="U300" i="2"/>
  <c r="AB259" i="2"/>
  <c r="AW11" i="2"/>
  <c r="Z145" i="2"/>
  <c r="G45" i="28"/>
  <c r="AA141" i="2"/>
  <c r="AA76" i="2" s="1"/>
  <c r="AA79" i="2" s="1"/>
  <c r="AI170" i="2"/>
  <c r="AW10" i="2"/>
  <c r="BT15" i="1" s="1"/>
  <c r="AL358" i="2"/>
  <c r="M254" i="2"/>
  <c r="M269" i="2" s="1"/>
  <c r="S264" i="2"/>
  <c r="AB120" i="2"/>
  <c r="BD145" i="2"/>
  <c r="J300" i="2"/>
  <c r="G131" i="2"/>
  <c r="Z70" i="2"/>
  <c r="Z71" i="2" s="1"/>
  <c r="V12" i="1"/>
  <c r="K306" i="2"/>
  <c r="AA293" i="2"/>
  <c r="G49" i="28"/>
  <c r="AN303" i="2"/>
  <c r="AN359" i="2"/>
  <c r="O37" i="1"/>
  <c r="J260" i="2"/>
  <c r="D300" i="2"/>
  <c r="M199" i="2"/>
  <c r="M197" i="2" s="1"/>
  <c r="E18" i="28"/>
  <c r="AA55" i="2"/>
  <c r="AO59" i="2"/>
  <c r="AO360" i="2" s="1"/>
  <c r="J10" i="2"/>
  <c r="O15" i="1" s="1"/>
  <c r="J19" i="2"/>
  <c r="J173" i="2"/>
  <c r="O10" i="1"/>
  <c r="J6" i="2"/>
  <c r="O11" i="1" s="1"/>
  <c r="J11" i="2"/>
  <c r="F131" i="2"/>
  <c r="F333" i="2"/>
  <c r="N260" i="2"/>
  <c r="AQ37" i="1"/>
  <c r="J37" i="2"/>
  <c r="O31" i="1"/>
  <c r="J264" i="2"/>
  <c r="D6" i="28"/>
  <c r="AQ303" i="2"/>
  <c r="S333" i="2"/>
  <c r="BN84" i="1" s="1"/>
  <c r="S131" i="2"/>
  <c r="AB172" i="2"/>
  <c r="AB170" i="2"/>
  <c r="D37" i="2"/>
  <c r="D264" i="2"/>
  <c r="AC24" i="2"/>
  <c r="AC25" i="2" s="1"/>
  <c r="AC15" i="2"/>
  <c r="BL20" i="1"/>
  <c r="Q17" i="2"/>
  <c r="D10" i="2"/>
  <c r="D173" i="2"/>
  <c r="D19" i="2"/>
  <c r="D6" i="2"/>
  <c r="D11" i="2"/>
  <c r="AJ10" i="2"/>
  <c r="AL311" i="2"/>
  <c r="AL313" i="2" s="1"/>
  <c r="AF311" i="2"/>
  <c r="AF313" i="2" s="1"/>
  <c r="Z311" i="2"/>
  <c r="Z313" i="2" s="1"/>
  <c r="AT6" i="2"/>
  <c r="AT21" i="2"/>
  <c r="AT11" i="2"/>
  <c r="AT12" i="2" s="1"/>
  <c r="BU14" i="1"/>
  <c r="BD10" i="2"/>
  <c r="BU15" i="1" s="1"/>
  <c r="BS20" i="1"/>
  <c r="AP17" i="2"/>
  <c r="AV230" i="2"/>
  <c r="AV229" i="2" s="1"/>
  <c r="AV132" i="2" s="1"/>
  <c r="AO283" i="2"/>
  <c r="V15" i="2"/>
  <c r="G61" i="2"/>
  <c r="F41" i="1" s="1"/>
  <c r="F61" i="2"/>
  <c r="E41" i="1" s="1"/>
  <c r="F60" i="2"/>
  <c r="E40" i="1" s="1"/>
  <c r="F324" i="2"/>
  <c r="F259" i="2"/>
  <c r="F120" i="2"/>
  <c r="D70" i="2"/>
  <c r="D71" i="2" s="1"/>
  <c r="D145" i="2"/>
  <c r="K145" i="2"/>
  <c r="L70" i="2"/>
  <c r="L71" i="2" s="1"/>
  <c r="G307" i="2"/>
  <c r="G308" i="2" s="1"/>
  <c r="AL306" i="2"/>
  <c r="H306" i="2"/>
  <c r="F50" i="1"/>
  <c r="F52" i="1" s="1"/>
  <c r="Z306" i="2"/>
  <c r="G225" i="2"/>
  <c r="G227" i="2" s="1"/>
  <c r="AF306" i="2"/>
  <c r="H37" i="2"/>
  <c r="G31" i="1"/>
  <c r="H264" i="2"/>
  <c r="AM264" i="2"/>
  <c r="AM37" i="2"/>
  <c r="AE229" i="2"/>
  <c r="AE132" i="2" s="1"/>
  <c r="AW360" i="2"/>
  <c r="E25" i="28" s="1"/>
  <c r="AA16" i="2"/>
  <c r="AE105" i="2"/>
  <c r="AE107" i="2" s="1"/>
  <c r="D61" i="2"/>
  <c r="D324" i="2"/>
  <c r="D120" i="2"/>
  <c r="D259" i="2"/>
  <c r="D60" i="2"/>
  <c r="AV278" i="2"/>
  <c r="AA5" i="2"/>
  <c r="BD306" i="2"/>
  <c r="AW225" i="2"/>
  <c r="AW227" i="2" s="1"/>
  <c r="BJ306" i="2"/>
  <c r="BT50" i="1"/>
  <c r="AW307" i="2"/>
  <c r="AW308" i="2" s="1"/>
  <c r="AN105" i="2"/>
  <c r="AN107" i="2" s="1"/>
  <c r="H22" i="1"/>
  <c r="I21" i="2"/>
  <c r="H23" i="1" s="1"/>
  <c r="AK298" i="2"/>
  <c r="AQ6" i="2"/>
  <c r="AQ21" i="2"/>
  <c r="AR293" i="2"/>
  <c r="E31" i="1"/>
  <c r="F37" i="2"/>
  <c r="F264" i="2"/>
  <c r="AT307" i="2"/>
  <c r="AT308" i="2" s="1"/>
  <c r="AT225" i="2"/>
  <c r="AT227" i="2" s="1"/>
  <c r="AL6" i="2"/>
  <c r="BD105" i="2"/>
  <c r="BD107" i="2" s="1"/>
  <c r="S37" i="2"/>
  <c r="W11" i="2"/>
  <c r="AB60" i="2"/>
  <c r="V22" i="1"/>
  <c r="V278" i="2"/>
  <c r="M131" i="2"/>
  <c r="J307" i="2"/>
  <c r="J308" i="2" s="1"/>
  <c r="AT61" i="2"/>
  <c r="AG278" i="2"/>
  <c r="BB359" i="2"/>
  <c r="J52" i="28" s="1"/>
  <c r="BB303" i="2"/>
  <c r="AD359" i="2"/>
  <c r="AD303" i="2"/>
  <c r="AW61" i="2"/>
  <c r="BT41" i="1" s="1"/>
  <c r="BS39" i="1"/>
  <c r="R19" i="2"/>
  <c r="R11" i="2"/>
  <c r="BM10" i="1"/>
  <c r="R21" i="2"/>
  <c r="BM23" i="1" s="1"/>
  <c r="R6" i="2"/>
  <c r="BM11" i="1" s="1"/>
  <c r="AW303" i="2"/>
  <c r="BT66" i="1" s="1"/>
  <c r="BT67" i="1" s="1"/>
  <c r="AX279" i="2"/>
  <c r="BA306" i="2"/>
  <c r="AU306" i="2"/>
  <c r="AI306" i="2"/>
  <c r="AO306" i="2"/>
  <c r="BG306" i="2"/>
  <c r="BQ50" i="1"/>
  <c r="AB307" i="2"/>
  <c r="AB308" i="2" s="1"/>
  <c r="AB225" i="2"/>
  <c r="AB227" i="2" s="1"/>
  <c r="O188" i="2"/>
  <c r="AO7" i="2"/>
  <c r="BD360" i="2"/>
  <c r="F25" i="28" s="1"/>
  <c r="BD120" i="2"/>
  <c r="BD259" i="2"/>
  <c r="AH293" i="2"/>
  <c r="AK306" i="2"/>
  <c r="G306" i="2"/>
  <c r="F225" i="2"/>
  <c r="F227" i="2" s="1"/>
  <c r="E215" i="2"/>
  <c r="E221" i="2" s="1"/>
  <c r="E223" i="2" s="1"/>
  <c r="E17" i="2"/>
  <c r="D20" i="1"/>
  <c r="D21" i="1" s="1"/>
  <c r="C46" i="28"/>
  <c r="R85" i="2"/>
  <c r="R86" i="2" s="1"/>
  <c r="X17" i="2"/>
  <c r="AO16" i="2"/>
  <c r="AU298" i="2"/>
  <c r="AJ360" i="2"/>
  <c r="X215" i="2"/>
  <c r="AH9" i="2"/>
  <c r="V18" i="1"/>
  <c r="K15" i="2"/>
  <c r="V19" i="1" s="1"/>
  <c r="I19" i="2"/>
  <c r="H10" i="1"/>
  <c r="H95" i="1" s="1"/>
  <c r="I173" i="2"/>
  <c r="BN10" i="1"/>
  <c r="S6" i="2"/>
  <c r="BN11" i="1" s="1"/>
  <c r="S21" i="2"/>
  <c r="BN23" i="1" s="1"/>
  <c r="E37" i="2"/>
  <c r="E264" i="2"/>
  <c r="R24" i="2"/>
  <c r="R15" i="2"/>
  <c r="BM19" i="1" s="1"/>
  <c r="BM18" i="1"/>
  <c r="AM24" i="2"/>
  <c r="BQ20" i="1"/>
  <c r="AB17" i="2"/>
  <c r="AC32" i="1"/>
  <c r="L266" i="2"/>
  <c r="G186" i="2"/>
  <c r="F186" i="2"/>
  <c r="H186" i="2"/>
  <c r="E186" i="2"/>
  <c r="J186" i="2"/>
  <c r="AB21" i="2"/>
  <c r="BQ23" i="1" s="1"/>
  <c r="D186" i="2"/>
  <c r="I186" i="2"/>
  <c r="BQ10" i="1"/>
  <c r="BQ40" i="1" s="1"/>
  <c r="AV225" i="2"/>
  <c r="AV227" i="2" s="1"/>
  <c r="AV307" i="2"/>
  <c r="AV308" i="2" s="1"/>
  <c r="K70" i="2"/>
  <c r="K71" i="2" s="1"/>
  <c r="J145" i="2"/>
  <c r="AF162" i="2"/>
  <c r="AA45" i="2"/>
  <c r="AA266" i="2" s="1"/>
  <c r="AX278" i="2"/>
  <c r="E12" i="1"/>
  <c r="F8" i="2"/>
  <c r="E13" i="1" s="1"/>
  <c r="F326" i="2"/>
  <c r="AB358" i="2"/>
  <c r="AG51" i="2"/>
  <c r="AG52" i="2" s="1"/>
  <c r="O326" i="2"/>
  <c r="AX12" i="1"/>
  <c r="O8" i="2"/>
  <c r="AX13" i="1" s="1"/>
  <c r="BA51" i="2"/>
  <c r="BA52" i="2" s="1"/>
  <c r="AA50" i="2"/>
  <c r="AJ210" i="2"/>
  <c r="AJ199" i="2" s="1"/>
  <c r="AJ200" i="2" s="1"/>
  <c r="AH5" i="2"/>
  <c r="AB326" i="2"/>
  <c r="BQ17" i="1" s="1"/>
  <c r="AB8" i="2"/>
  <c r="BQ13" i="1" s="1"/>
  <c r="BQ12" i="1"/>
  <c r="M300" i="2"/>
  <c r="AD11" i="2"/>
  <c r="M307" i="2"/>
  <c r="M308" i="2" s="1"/>
  <c r="AI361" i="2"/>
  <c r="C26" i="28" s="1"/>
  <c r="AS6" i="2"/>
  <c r="AE11" i="2"/>
  <c r="AE12" i="2" s="1"/>
  <c r="Y24" i="2"/>
  <c r="Y25" i="2" s="1"/>
  <c r="AL60" i="2"/>
  <c r="F300" i="2"/>
  <c r="AR37" i="2"/>
  <c r="AR264" i="2"/>
  <c r="H300" i="2"/>
  <c r="O17" i="2"/>
  <c r="AX20" i="1"/>
  <c r="H326" i="2"/>
  <c r="H11" i="2"/>
  <c r="H19" i="2"/>
  <c r="G10" i="1"/>
  <c r="H173" i="2"/>
  <c r="H6" i="2"/>
  <c r="G11" i="1" s="1"/>
  <c r="M172" i="2"/>
  <c r="M173" i="2" s="1"/>
  <c r="M170" i="2"/>
  <c r="AA42" i="2"/>
  <c r="AA265" i="2" s="1"/>
  <c r="BF306" i="2"/>
  <c r="AA225" i="2"/>
  <c r="AA227" i="2" s="1"/>
  <c r="AA307" i="2"/>
  <c r="AA308" i="2" s="1"/>
  <c r="AW162" i="2"/>
  <c r="M8" i="2"/>
  <c r="AJ13" i="1" s="1"/>
  <c r="W293" i="2"/>
  <c r="AP24" i="2"/>
  <c r="AP25" i="2" s="1"/>
  <c r="AA280" i="2"/>
  <c r="AJ32" i="1"/>
  <c r="M266" i="2"/>
  <c r="AJ61" i="2"/>
  <c r="AJ60" i="2"/>
  <c r="AJ259" i="2"/>
  <c r="AK210" i="2"/>
  <c r="AK199" i="2" s="1"/>
  <c r="AK197" i="2" s="1"/>
  <c r="AK92" i="2" s="1"/>
  <c r="AK93" i="2" s="1"/>
  <c r="AH225" i="2"/>
  <c r="AH227" i="2" s="1"/>
  <c r="AH307" i="2"/>
  <c r="AH308" i="2" s="1"/>
  <c r="X259" i="2"/>
  <c r="X61" i="2"/>
  <c r="X60" i="2"/>
  <c r="W264" i="2"/>
  <c r="W37" i="2"/>
  <c r="Q254" i="2"/>
  <c r="Q269" i="2" s="1"/>
  <c r="W51" i="2"/>
  <c r="W52" i="2" s="1"/>
  <c r="K279" i="2"/>
  <c r="K285" i="2" s="1"/>
  <c r="AV275" i="2"/>
  <c r="AV274" i="2"/>
  <c r="S70" i="2"/>
  <c r="S71" i="2" s="1"/>
  <c r="R145" i="2"/>
  <c r="AG293" i="2"/>
  <c r="D131" i="2"/>
  <c r="D333" i="2"/>
  <c r="AS360" i="2"/>
  <c r="P324" i="2"/>
  <c r="P60" i="2"/>
  <c r="BE40" i="1" s="1"/>
  <c r="P120" i="2"/>
  <c r="P259" i="2"/>
  <c r="L61" i="2"/>
  <c r="AC41" i="1" s="1"/>
  <c r="L259" i="2"/>
  <c r="L120" i="2"/>
  <c r="L324" i="2"/>
  <c r="L60" i="2"/>
  <c r="AC40" i="1" s="1"/>
  <c r="F32" i="28"/>
  <c r="N333" i="2"/>
  <c r="I145" i="2"/>
  <c r="J70" i="2"/>
  <c r="J71" i="2" s="1"/>
  <c r="AO42" i="2"/>
  <c r="AO265" i="2" s="1"/>
  <c r="Y21" i="2"/>
  <c r="Y11" i="2"/>
  <c r="AB266" i="2"/>
  <c r="BQ32" i="1"/>
  <c r="L51" i="2"/>
  <c r="D162" i="2"/>
  <c r="AB199" i="2"/>
  <c r="AP37" i="2"/>
  <c r="BS31" i="1"/>
  <c r="AP264" i="2"/>
  <c r="AB229" i="2"/>
  <c r="O60" i="1"/>
  <c r="J191" i="2"/>
  <c r="J353" i="2" s="1"/>
  <c r="AN311" i="2"/>
  <c r="AN313" i="2" s="1"/>
  <c r="AH311" i="2"/>
  <c r="AH313" i="2" s="1"/>
  <c r="AT311" i="2"/>
  <c r="AT313" i="2" s="1"/>
  <c r="AB311" i="2"/>
  <c r="AB313" i="2" s="1"/>
  <c r="AZ311" i="2"/>
  <c r="AZ313" i="2" s="1"/>
  <c r="J333" i="2"/>
  <c r="J131" i="2"/>
  <c r="AO307" i="2"/>
  <c r="AO308" i="2" s="1"/>
  <c r="AO225" i="2"/>
  <c r="AO227" i="2" s="1"/>
  <c r="AV16" i="2"/>
  <c r="V73" i="2"/>
  <c r="V74" i="2" s="1"/>
  <c r="V141" i="2"/>
  <c r="V76" i="2" s="1"/>
  <c r="V77" i="2" s="1"/>
  <c r="V147" i="2"/>
  <c r="V247" i="2"/>
  <c r="AH37" i="2"/>
  <c r="AH264" i="2"/>
  <c r="I46" i="28"/>
  <c r="BC162" i="2"/>
  <c r="BA221" i="2"/>
  <c r="BA223" i="2" s="1"/>
  <c r="BA219" i="2"/>
  <c r="BJ56" i="2"/>
  <c r="K123" i="2"/>
  <c r="K347" i="2"/>
  <c r="V73" i="1"/>
  <c r="V78" i="1" s="1"/>
  <c r="BK190" i="2"/>
  <c r="BK175" i="2"/>
  <c r="BL175" i="2" s="1"/>
  <c r="BM175" i="2" s="1"/>
  <c r="BN175" i="2" s="1"/>
  <c r="BO175" i="2" s="1"/>
  <c r="BP175" i="2" s="1"/>
  <c r="BQ175" i="2" s="1"/>
  <c r="BR175" i="2" s="1"/>
  <c r="K345" i="2"/>
  <c r="K329" i="2"/>
  <c r="AU71" i="2"/>
  <c r="AO130" i="2"/>
  <c r="AH131" i="2"/>
  <c r="AN71" i="2"/>
  <c r="BO141" i="2"/>
  <c r="BP141" i="2" s="1"/>
  <c r="BP76" i="2" s="1"/>
  <c r="BP254" i="2"/>
  <c r="BP269" i="2" s="1"/>
  <c r="BQ253" i="2"/>
  <c r="BR253" i="2" s="1"/>
  <c r="BR254" i="2" s="1"/>
  <c r="BR269" i="2" s="1"/>
  <c r="BP49" i="2"/>
  <c r="BP51" i="2" s="1"/>
  <c r="BP52" i="2" s="1"/>
  <c r="BO197" i="2"/>
  <c r="BO92" i="2" s="1"/>
  <c r="BQ255" i="2"/>
  <c r="BP256" i="2"/>
  <c r="BP270" i="2" s="1"/>
  <c r="BR47" i="2"/>
  <c r="BQ47" i="2"/>
  <c r="BQ58" i="2"/>
  <c r="BR58" i="2"/>
  <c r="BQ50" i="2"/>
  <c r="BR50" i="2"/>
  <c r="BQ216" i="2"/>
  <c r="T52" i="2" l="1"/>
  <c r="AJ52" i="2"/>
  <c r="S147" i="2"/>
  <c r="T73" i="2"/>
  <c r="T74" i="2" s="1"/>
  <c r="I42" i="28"/>
  <c r="N285" i="2"/>
  <c r="AL52" i="2"/>
  <c r="S247" i="2"/>
  <c r="Z52" i="2"/>
  <c r="AT25" i="2"/>
  <c r="AJ219" i="2"/>
  <c r="R219" i="2"/>
  <c r="R221" i="2"/>
  <c r="I219" i="2"/>
  <c r="M338" i="2"/>
  <c r="P52" i="2"/>
  <c r="AL147" i="2"/>
  <c r="AP285" i="2"/>
  <c r="U347" i="2"/>
  <c r="BP73" i="1" s="1"/>
  <c r="U123" i="2"/>
  <c r="U345" i="2"/>
  <c r="BP78" i="1" s="1"/>
  <c r="U329" i="2"/>
  <c r="R175" i="2"/>
  <c r="BB106" i="2"/>
  <c r="BB108" i="2" s="1"/>
  <c r="F42" i="28"/>
  <c r="P188" i="2"/>
  <c r="AA247" i="2"/>
  <c r="BF250" i="2" s="1"/>
  <c r="BF267" i="2" s="1"/>
  <c r="AW106" i="2"/>
  <c r="AW108" i="2" s="1"/>
  <c r="AU221" i="2"/>
  <c r="AU223" i="2" s="1"/>
  <c r="O285" i="2"/>
  <c r="AA300" i="2"/>
  <c r="BQ33" i="1"/>
  <c r="AB52" i="2"/>
  <c r="AZ221" i="2"/>
  <c r="AZ223" i="2" s="1"/>
  <c r="AZ219" i="2"/>
  <c r="AQ24" i="1"/>
  <c r="K338" i="2"/>
  <c r="J52" i="2"/>
  <c r="Z88" i="2"/>
  <c r="Z248" i="2"/>
  <c r="Z200" i="2"/>
  <c r="E134" i="2"/>
  <c r="E343" i="2"/>
  <c r="E315" i="2"/>
  <c r="BA247" i="2"/>
  <c r="AH219" i="2"/>
  <c r="AS200" i="2"/>
  <c r="AS88" i="2"/>
  <c r="AS248" i="2"/>
  <c r="L175" i="2"/>
  <c r="M141" i="2"/>
  <c r="AB106" i="2"/>
  <c r="AB108" i="2" s="1"/>
  <c r="AC21" i="1"/>
  <c r="G339" i="2"/>
  <c r="AR219" i="2"/>
  <c r="I141" i="2"/>
  <c r="AT300" i="2"/>
  <c r="L73" i="2"/>
  <c r="L74" i="2" s="1"/>
  <c r="I247" i="2"/>
  <c r="I147" i="2"/>
  <c r="H73" i="2"/>
  <c r="H74" i="2" s="1"/>
  <c r="AB221" i="2"/>
  <c r="BQ51" i="1" s="1"/>
  <c r="Q197" i="2"/>
  <c r="O200" i="2"/>
  <c r="AD141" i="2"/>
  <c r="AD76" i="2" s="1"/>
  <c r="AD77" i="2" s="1"/>
  <c r="L86" i="2"/>
  <c r="H308" i="2"/>
  <c r="AV300" i="2"/>
  <c r="Q219" i="2"/>
  <c r="J86" i="2"/>
  <c r="I221" i="2"/>
  <c r="I223" i="2" s="1"/>
  <c r="M188" i="2"/>
  <c r="AM300" i="2"/>
  <c r="BN67" i="1"/>
  <c r="T338" i="2"/>
  <c r="H52" i="2"/>
  <c r="AO73" i="2"/>
  <c r="AO247" i="2"/>
  <c r="AO141" i="2"/>
  <c r="AO76" i="2" s="1"/>
  <c r="Y221" i="2"/>
  <c r="Y223" i="2" s="1"/>
  <c r="Y219" i="2"/>
  <c r="Z221" i="2"/>
  <c r="Z223" i="2" s="1"/>
  <c r="Z219" i="2"/>
  <c r="AX219" i="2"/>
  <c r="AX221" i="2"/>
  <c r="AX223" i="2" s="1"/>
  <c r="U175" i="2"/>
  <c r="U190" i="2"/>
  <c r="F12" i="2"/>
  <c r="E17" i="1" s="1"/>
  <c r="E16" i="1"/>
  <c r="L188" i="2"/>
  <c r="AQ219" i="2"/>
  <c r="AQ221" i="2"/>
  <c r="AQ223" i="2" s="1"/>
  <c r="AW147" i="2"/>
  <c r="AW247" i="2"/>
  <c r="AW141" i="2"/>
  <c r="G99" i="1"/>
  <c r="N83" i="1"/>
  <c r="N84" i="1" s="1"/>
  <c r="P86" i="2"/>
  <c r="H343" i="2"/>
  <c r="AZ285" i="2"/>
  <c r="AC300" i="2"/>
  <c r="U186" i="2"/>
  <c r="U191" i="2"/>
  <c r="U353" i="2" s="1"/>
  <c r="C4" i="26"/>
  <c r="D65" i="28" s="1"/>
  <c r="C3" i="26"/>
  <c r="D64" i="28" s="1"/>
  <c r="D4" i="26"/>
  <c r="E65" i="28" s="1"/>
  <c r="D3" i="26"/>
  <c r="E64" i="28" s="1"/>
  <c r="C6" i="26"/>
  <c r="D67" i="28" s="1"/>
  <c r="AI285" i="2"/>
  <c r="P315" i="2"/>
  <c r="U338" i="2"/>
  <c r="BE95" i="1"/>
  <c r="S219" i="2"/>
  <c r="S221" i="2"/>
  <c r="J197" i="2"/>
  <c r="J248" i="2"/>
  <c r="J200" i="2"/>
  <c r="F285" i="2"/>
  <c r="AO219" i="2"/>
  <c r="E73" i="2"/>
  <c r="E74" i="2" s="1"/>
  <c r="AA134" i="2"/>
  <c r="P73" i="2"/>
  <c r="P74" i="2" s="1"/>
  <c r="AW334" i="2"/>
  <c r="BT48" i="1" s="1"/>
  <c r="BT49" i="1" s="1"/>
  <c r="F147" i="2"/>
  <c r="F141" i="2"/>
  <c r="F334" i="2" s="1"/>
  <c r="F247" i="2"/>
  <c r="G73" i="2"/>
  <c r="G74" i="2" s="1"/>
  <c r="G147" i="2"/>
  <c r="G247" i="2"/>
  <c r="G141" i="2"/>
  <c r="O147" i="2"/>
  <c r="O141" i="2"/>
  <c r="O247" i="2"/>
  <c r="D141" i="2"/>
  <c r="D147" i="2"/>
  <c r="D73" i="2"/>
  <c r="D74" i="2" s="1"/>
  <c r="D247" i="2"/>
  <c r="G200" i="2"/>
  <c r="G248" i="2"/>
  <c r="G197" i="2"/>
  <c r="S200" i="2"/>
  <c r="S197" i="2"/>
  <c r="S248" i="2"/>
  <c r="S246" i="2" s="1"/>
  <c r="F197" i="2"/>
  <c r="G92" i="2" s="1"/>
  <c r="F200" i="2"/>
  <c r="F248" i="2"/>
  <c r="F246" i="2" s="1"/>
  <c r="F335" i="2" s="1"/>
  <c r="AZ247" i="2"/>
  <c r="AZ147" i="2"/>
  <c r="AZ73" i="2"/>
  <c r="AZ141" i="2"/>
  <c r="AZ76" i="2" s="1"/>
  <c r="AZ77" i="2" s="1"/>
  <c r="AE219" i="2"/>
  <c r="AE221" i="2"/>
  <c r="AE223" i="2" s="1"/>
  <c r="BC219" i="2"/>
  <c r="BC221" i="2"/>
  <c r="BC223" i="2" s="1"/>
  <c r="BD221" i="2"/>
  <c r="BD219" i="2"/>
  <c r="AL221" i="2"/>
  <c r="AL223" i="2" s="1"/>
  <c r="AL219" i="2"/>
  <c r="O73" i="2"/>
  <c r="O74" i="2" s="1"/>
  <c r="N141" i="2"/>
  <c r="O76" i="2" s="1"/>
  <c r="N247" i="2"/>
  <c r="N147" i="2"/>
  <c r="AE73" i="2"/>
  <c r="AE247" i="2"/>
  <c r="AE147" i="2"/>
  <c r="AE141" i="2"/>
  <c r="AE76" i="2" s="1"/>
  <c r="AE77" i="2" s="1"/>
  <c r="BR55" i="1"/>
  <c r="AI106" i="2"/>
  <c r="AI108" i="2" s="1"/>
  <c r="AA221" i="2"/>
  <c r="AA223" i="2" s="1"/>
  <c r="AA219" i="2"/>
  <c r="F221" i="2"/>
  <c r="F223" i="2" s="1"/>
  <c r="F219" i="2"/>
  <c r="U219" i="2"/>
  <c r="U221" i="2"/>
  <c r="K200" i="2"/>
  <c r="K248" i="2"/>
  <c r="K251" i="2" s="1"/>
  <c r="K268" i="2" s="1"/>
  <c r="BC210" i="2"/>
  <c r="BC199" i="2" s="1"/>
  <c r="BR21" i="1"/>
  <c r="G24" i="1"/>
  <c r="G25" i="1" s="1"/>
  <c r="AR134" i="2"/>
  <c r="BC10" i="2"/>
  <c r="Z134" i="2"/>
  <c r="AG134" i="2"/>
  <c r="AB73" i="2"/>
  <c r="AB74" i="2" s="1"/>
  <c r="AX134" i="2"/>
  <c r="AF141" i="2"/>
  <c r="AF76" i="2" s="1"/>
  <c r="AF77" i="2" s="1"/>
  <c r="AF73" i="2"/>
  <c r="AF247" i="2"/>
  <c r="AF147" i="2"/>
  <c r="AJ33" i="1"/>
  <c r="M52" i="2"/>
  <c r="W147" i="2"/>
  <c r="W247" i="2"/>
  <c r="W250" i="2" s="1"/>
  <c r="W267" i="2" s="1"/>
  <c r="W273" i="2" s="1"/>
  <c r="W271" i="2" s="1"/>
  <c r="W141" i="2"/>
  <c r="W76" i="2" s="1"/>
  <c r="W77" i="2" s="1"/>
  <c r="W73" i="2"/>
  <c r="AM247" i="2"/>
  <c r="AM147" i="2"/>
  <c r="AM141" i="2"/>
  <c r="AM76" i="2" s="1"/>
  <c r="AM77" i="2" s="1"/>
  <c r="AM73" i="2"/>
  <c r="AY141" i="2"/>
  <c r="AY76" i="2" s="1"/>
  <c r="AY77" i="2" s="1"/>
  <c r="AY73" i="2"/>
  <c r="AY147" i="2"/>
  <c r="AY247" i="2"/>
  <c r="AG141" i="2"/>
  <c r="AG76" i="2" s="1"/>
  <c r="AG77" i="2" s="1"/>
  <c r="AG247" i="2"/>
  <c r="AG73" i="2"/>
  <c r="AG147" i="2"/>
  <c r="BS33" i="1"/>
  <c r="AP52" i="2"/>
  <c r="Y141" i="2"/>
  <c r="Y76" i="2" s="1"/>
  <c r="Y77" i="2" s="1"/>
  <c r="Y247" i="2"/>
  <c r="Y250" i="2" s="1"/>
  <c r="Y267" i="2" s="1"/>
  <c r="Y273" i="2" s="1"/>
  <c r="Y271" i="2" s="1"/>
  <c r="Y147" i="2"/>
  <c r="Y73" i="2"/>
  <c r="AP12" i="2"/>
  <c r="BS16" i="1"/>
  <c r="G12" i="2"/>
  <c r="F17" i="1" s="1"/>
  <c r="F16" i="1"/>
  <c r="AW285" i="2"/>
  <c r="AH210" i="2"/>
  <c r="AH199" i="2" s="1"/>
  <c r="AN134" i="2"/>
  <c r="BR40" i="1"/>
  <c r="AI338" i="2"/>
  <c r="BB221" i="2"/>
  <c r="BB223" i="2" s="1"/>
  <c r="BB219" i="2"/>
  <c r="L221" i="2"/>
  <c r="L223" i="2" s="1"/>
  <c r="L219" i="2"/>
  <c r="H197" i="2"/>
  <c r="H88" i="2"/>
  <c r="P200" i="2"/>
  <c r="P248" i="2"/>
  <c r="W31" i="2"/>
  <c r="AG219" i="2"/>
  <c r="AG221" i="2"/>
  <c r="AG223" i="2" s="1"/>
  <c r="BR33" i="1"/>
  <c r="AI52" i="2"/>
  <c r="J42" i="28"/>
  <c r="R92" i="2"/>
  <c r="R93" i="2" s="1"/>
  <c r="F339" i="2"/>
  <c r="M134" i="2"/>
  <c r="H219" i="2"/>
  <c r="H221" i="2"/>
  <c r="H223" i="2" s="1"/>
  <c r="BN25" i="1"/>
  <c r="BP86" i="1"/>
  <c r="BR86" i="1"/>
  <c r="Z300" i="2"/>
  <c r="Q73" i="2"/>
  <c r="Q74" i="2" s="1"/>
  <c r="AW248" i="2"/>
  <c r="AW197" i="2"/>
  <c r="U197" i="2"/>
  <c r="U248" i="2"/>
  <c r="U200" i="2"/>
  <c r="P197" i="2"/>
  <c r="Q92" i="2" s="1"/>
  <c r="P88" i="2"/>
  <c r="P89" i="2" s="1"/>
  <c r="AA210" i="2"/>
  <c r="AA199" i="2" s="1"/>
  <c r="BC8" i="2"/>
  <c r="BQ86" i="1"/>
  <c r="O24" i="1"/>
  <c r="O25" i="1" s="1"/>
  <c r="F14" i="28"/>
  <c r="H42" i="28"/>
  <c r="E14" i="28"/>
  <c r="BC300" i="2"/>
  <c r="E42" i="28"/>
  <c r="AP190" i="2"/>
  <c r="G42" i="28"/>
  <c r="BR24" i="1"/>
  <c r="BR25" i="1" s="1"/>
  <c r="BB285" i="2"/>
  <c r="AJ21" i="1"/>
  <c r="S250" i="2"/>
  <c r="S267" i="2" s="1"/>
  <c r="M92" i="2"/>
  <c r="M93" i="2" s="1"/>
  <c r="AM134" i="2"/>
  <c r="AI31" i="2"/>
  <c r="F21" i="1"/>
  <c r="BP24" i="1"/>
  <c r="BP25" i="1" s="1"/>
  <c r="AJ95" i="1"/>
  <c r="D42" i="28"/>
  <c r="AY285" i="2"/>
  <c r="W134" i="2"/>
  <c r="AF134" i="2"/>
  <c r="BU25" i="1"/>
  <c r="AX250" i="2"/>
  <c r="AX267" i="2" s="1"/>
  <c r="Q338" i="2"/>
  <c r="BL95" i="1"/>
  <c r="AN285" i="2"/>
  <c r="AV10" i="2"/>
  <c r="AO131" i="2"/>
  <c r="AO134" i="2" s="1"/>
  <c r="AE134" i="2"/>
  <c r="D338" i="2"/>
  <c r="K247" i="2"/>
  <c r="K147" i="2"/>
  <c r="BN61" i="1"/>
  <c r="S285" i="2"/>
  <c r="AD221" i="2"/>
  <c r="AD223" i="2" s="1"/>
  <c r="AD219" i="2"/>
  <c r="Q248" i="2"/>
  <c r="Q200" i="2"/>
  <c r="BA141" i="2"/>
  <c r="BA76" i="2" s="1"/>
  <c r="BA77" i="2" s="1"/>
  <c r="BA73" i="2"/>
  <c r="BA147" i="2"/>
  <c r="AJ61" i="1"/>
  <c r="M285" i="2"/>
  <c r="AD279" i="2"/>
  <c r="AD285" i="2" s="1"/>
  <c r="AC61" i="1"/>
  <c r="L285" i="2"/>
  <c r="BA12" i="2"/>
  <c r="BA31" i="2"/>
  <c r="BA54" i="2" s="1"/>
  <c r="O197" i="2"/>
  <c r="P92" i="2" s="1"/>
  <c r="O248" i="2"/>
  <c r="AR285" i="2"/>
  <c r="Y134" i="2"/>
  <c r="BC106" i="2"/>
  <c r="BC108" i="2" s="1"/>
  <c r="AN300" i="2"/>
  <c r="BA300" i="2"/>
  <c r="BT86" i="1"/>
  <c r="AD134" i="2"/>
  <c r="V300" i="2"/>
  <c r="AO19" i="2"/>
  <c r="AY300" i="2"/>
  <c r="BC17" i="2"/>
  <c r="AU134" i="2"/>
  <c r="AV51" i="2"/>
  <c r="AV52" i="2" s="1"/>
  <c r="BO24" i="1"/>
  <c r="BO25" i="1" s="1"/>
  <c r="BO21" i="1"/>
  <c r="BS21" i="1"/>
  <c r="AH300" i="2"/>
  <c r="AU300" i="2"/>
  <c r="J315" i="2"/>
  <c r="AP219" i="2"/>
  <c r="AP221" i="2"/>
  <c r="AA278" i="2"/>
  <c r="AA279" i="2"/>
  <c r="AA285" i="2" s="1"/>
  <c r="T147" i="2"/>
  <c r="T141" i="2"/>
  <c r="T247" i="2"/>
  <c r="E20" i="28"/>
  <c r="R52" i="2"/>
  <c r="BM33" i="1"/>
  <c r="N219" i="2"/>
  <c r="N221" i="2"/>
  <c r="N223" i="2" s="1"/>
  <c r="AB190" i="2"/>
  <c r="AB175" i="2"/>
  <c r="F33" i="1"/>
  <c r="G52" i="2"/>
  <c r="AI73" i="2"/>
  <c r="AI74" i="2" s="1"/>
  <c r="AB147" i="2"/>
  <c r="AB141" i="2"/>
  <c r="AB247" i="2"/>
  <c r="AS247" i="2"/>
  <c r="AS141" i="2"/>
  <c r="AS76" i="2" s="1"/>
  <c r="AS77" i="2" s="1"/>
  <c r="AS147" i="2"/>
  <c r="AS73" i="2"/>
  <c r="AK219" i="2"/>
  <c r="AK221" i="2"/>
  <c r="AK223" i="2" s="1"/>
  <c r="BL33" i="1"/>
  <c r="Q52" i="2"/>
  <c r="AG25" i="2"/>
  <c r="AG31" i="2"/>
  <c r="U132" i="2"/>
  <c r="BP54" i="1"/>
  <c r="BP76" i="1" s="1"/>
  <c r="Z141" i="2"/>
  <c r="Z76" i="2" s="1"/>
  <c r="Z77" i="2" s="1"/>
  <c r="Z147" i="2"/>
  <c r="Z73" i="2"/>
  <c r="Z247" i="2"/>
  <c r="T132" i="2"/>
  <c r="BO54" i="1"/>
  <c r="V221" i="2"/>
  <c r="V223" i="2" s="1"/>
  <c r="V219" i="2"/>
  <c r="E99" i="1"/>
  <c r="L83" i="1"/>
  <c r="L84" i="1" s="1"/>
  <c r="AI247" i="2"/>
  <c r="AI147" i="2"/>
  <c r="AI221" i="2"/>
  <c r="AI219" i="2"/>
  <c r="BC278" i="2"/>
  <c r="BC279" i="2"/>
  <c r="D248" i="2"/>
  <c r="D200" i="2"/>
  <c r="D197" i="2"/>
  <c r="AI173" i="2"/>
  <c r="AI191" i="2"/>
  <c r="AI353" i="2" s="1"/>
  <c r="AH278" i="2"/>
  <c r="AH279" i="2"/>
  <c r="AH285" i="2" s="1"/>
  <c r="M147" i="2"/>
  <c r="N73" i="2"/>
  <c r="N74" i="2" s="1"/>
  <c r="F61" i="1"/>
  <c r="G285" i="2"/>
  <c r="K352" i="2"/>
  <c r="K29" i="2"/>
  <c r="AH71" i="2"/>
  <c r="AH361" i="2"/>
  <c r="V12" i="2"/>
  <c r="V31" i="2"/>
  <c r="AC279" i="2"/>
  <c r="AC285" i="2" s="1"/>
  <c r="BP95" i="1"/>
  <c r="BP40" i="1"/>
  <c r="C2" i="26"/>
  <c r="D63" i="28" s="1"/>
  <c r="BT95" i="1"/>
  <c r="BT21" i="1"/>
  <c r="BT90" i="1"/>
  <c r="AJ16" i="1"/>
  <c r="M31" i="2"/>
  <c r="M12" i="2"/>
  <c r="AJ17" i="1" s="1"/>
  <c r="AJ90" i="1"/>
  <c r="AJ49" i="1"/>
  <c r="BE16" i="1"/>
  <c r="P12" i="2"/>
  <c r="BE17" i="1" s="1"/>
  <c r="P31" i="2"/>
  <c r="P25" i="2"/>
  <c r="BA248" i="2"/>
  <c r="BA246" i="2" s="1"/>
  <c r="BA200" i="2"/>
  <c r="BA88" i="2"/>
  <c r="BA197" i="2"/>
  <c r="BA92" i="2" s="1"/>
  <c r="BA93" i="2" s="1"/>
  <c r="Z89" i="2"/>
  <c r="Z96" i="2" s="1"/>
  <c r="Z95" i="2"/>
  <c r="AV221" i="2"/>
  <c r="AV223" i="2" s="1"/>
  <c r="AV219" i="2"/>
  <c r="AT141" i="2"/>
  <c r="AT76" i="2" s="1"/>
  <c r="AT77" i="2" s="1"/>
  <c r="AT147" i="2"/>
  <c r="AT279" i="2"/>
  <c r="AT285" i="2" s="1"/>
  <c r="AX147" i="2"/>
  <c r="AX141" i="2"/>
  <c r="AX76" i="2" s="1"/>
  <c r="AX77" i="2" s="1"/>
  <c r="AX73" i="2"/>
  <c r="AL88" i="2"/>
  <c r="AL89" i="2" s="1"/>
  <c r="AL200" i="2"/>
  <c r="AL197" i="2"/>
  <c r="AL92" i="2" s="1"/>
  <c r="AL248" i="2"/>
  <c r="AQ12" i="2"/>
  <c r="AQ31" i="2"/>
  <c r="M221" i="2"/>
  <c r="M223" i="2" s="1"/>
  <c r="M219" i="2"/>
  <c r="E197" i="2"/>
  <c r="F92" i="2" s="1"/>
  <c r="F88" i="2"/>
  <c r="F89" i="2" s="1"/>
  <c r="K197" i="2"/>
  <c r="L88" i="2"/>
  <c r="BT33" i="1"/>
  <c r="AW52" i="2"/>
  <c r="AN12" i="2"/>
  <c r="AN31" i="2"/>
  <c r="D2" i="26"/>
  <c r="E63" i="28" s="1"/>
  <c r="BU21" i="1"/>
  <c r="AX197" i="2"/>
  <c r="AX92" i="2" s="1"/>
  <c r="AX93" i="2" s="1"/>
  <c r="AX200" i="2"/>
  <c r="AX248" i="2"/>
  <c r="AX88" i="2"/>
  <c r="AB173" i="2"/>
  <c r="AB191" i="2"/>
  <c r="AB353" i="2" s="1"/>
  <c r="C18" i="28"/>
  <c r="T219" i="2"/>
  <c r="T221" i="2"/>
  <c r="AS219" i="2"/>
  <c r="AS221" i="2"/>
  <c r="AS223" i="2" s="1"/>
  <c r="AM221" i="2"/>
  <c r="AM223" i="2" s="1"/>
  <c r="AM219" i="2"/>
  <c r="BD343" i="2"/>
  <c r="BK339" i="2"/>
  <c r="BL16" i="1"/>
  <c r="Q12" i="2"/>
  <c r="BL17" i="1" s="1"/>
  <c r="V134" i="2"/>
  <c r="AJ24" i="1"/>
  <c r="AJ25" i="1" s="1"/>
  <c r="D67" i="1"/>
  <c r="AO300" i="2"/>
  <c r="T88" i="2"/>
  <c r="T89" i="2" s="1"/>
  <c r="AC95" i="1"/>
  <c r="BB300" i="2"/>
  <c r="H315" i="2"/>
  <c r="AO51" i="2"/>
  <c r="AO52" i="2" s="1"/>
  <c r="BO40" i="1"/>
  <c r="BO95" i="1"/>
  <c r="AK300" i="2"/>
  <c r="AR300" i="2"/>
  <c r="V285" i="2"/>
  <c r="BM40" i="1"/>
  <c r="AX285" i="2"/>
  <c r="AA51" i="2"/>
  <c r="AA52" i="2" s="1"/>
  <c r="AH147" i="2"/>
  <c r="AX21" i="1"/>
  <c r="W300" i="2"/>
  <c r="AV17" i="2"/>
  <c r="AO106" i="2"/>
  <c r="AO108" i="2" s="1"/>
  <c r="AH134" i="2"/>
  <c r="H147" i="2"/>
  <c r="H141" i="2"/>
  <c r="H247" i="2"/>
  <c r="I73" i="2"/>
  <c r="I74" i="2" s="1"/>
  <c r="AK73" i="2"/>
  <c r="AK141" i="2"/>
  <c r="AK76" i="2" s="1"/>
  <c r="AK77" i="2" s="1"/>
  <c r="AK247" i="2"/>
  <c r="AK147" i="2"/>
  <c r="AI141" i="2"/>
  <c r="AI334" i="2" s="1"/>
  <c r="BR48" i="1" s="1"/>
  <c r="BR49" i="1" s="1"/>
  <c r="AP73" i="2"/>
  <c r="AP74" i="2" s="1"/>
  <c r="AQ73" i="2"/>
  <c r="AQ247" i="2"/>
  <c r="AQ147" i="2"/>
  <c r="AQ141" i="2"/>
  <c r="AQ76" i="2" s="1"/>
  <c r="AQ77" i="2" s="1"/>
  <c r="AP247" i="2"/>
  <c r="AP147" i="2"/>
  <c r="AP141" i="2"/>
  <c r="AP186" i="2"/>
  <c r="AP191" i="2"/>
  <c r="AP353" i="2" s="1"/>
  <c r="J46" i="28"/>
  <c r="O221" i="2"/>
  <c r="O223" i="2" s="1"/>
  <c r="O219" i="2"/>
  <c r="AJ141" i="2"/>
  <c r="AJ76" i="2" s="1"/>
  <c r="AJ77" i="2" s="1"/>
  <c r="AJ147" i="2"/>
  <c r="AJ73" i="2"/>
  <c r="G315" i="2"/>
  <c r="G134" i="2"/>
  <c r="AO279" i="2"/>
  <c r="AO278" i="2"/>
  <c r="AB31" i="2"/>
  <c r="BQ16" i="1"/>
  <c r="AB12" i="2"/>
  <c r="BS55" i="1"/>
  <c r="BS90" i="1" s="1"/>
  <c r="AP106" i="2"/>
  <c r="AP108" i="2" s="1"/>
  <c r="G221" i="2"/>
  <c r="G223" i="2" s="1"/>
  <c r="G219" i="2"/>
  <c r="AN141" i="2"/>
  <c r="AN76" i="2" s="1"/>
  <c r="AN247" i="2"/>
  <c r="AD73" i="2"/>
  <c r="AD147" i="2"/>
  <c r="AD247" i="2"/>
  <c r="BC71" i="2"/>
  <c r="BC77" i="2"/>
  <c r="BC361" i="2"/>
  <c r="J329" i="2"/>
  <c r="J339" i="2"/>
  <c r="J338" i="2"/>
  <c r="J345" i="2"/>
  <c r="J347" i="2"/>
  <c r="J123" i="2"/>
  <c r="O73" i="1"/>
  <c r="O78" i="1" s="1"/>
  <c r="AV37" i="2"/>
  <c r="AV264" i="2"/>
  <c r="BA71" i="2"/>
  <c r="BD191" i="2"/>
  <c r="BD186" i="2"/>
  <c r="BK186" i="2"/>
  <c r="BL186" i="2" s="1"/>
  <c r="BK191" i="2"/>
  <c r="BK353" i="2" s="1"/>
  <c r="AS12" i="2"/>
  <c r="AS31" i="2"/>
  <c r="BN16" i="1"/>
  <c r="S12" i="2"/>
  <c r="S31" i="2"/>
  <c r="AC99" i="1"/>
  <c r="AJ83" i="1"/>
  <c r="AJ84" i="1" s="1"/>
  <c r="AJ86" i="1" s="1"/>
  <c r="E83" i="2"/>
  <c r="E88" i="2"/>
  <c r="E89" i="2" s="1"/>
  <c r="D88" i="2"/>
  <c r="D89" i="2" s="1"/>
  <c r="D83" i="2"/>
  <c r="AC248" i="2"/>
  <c r="AC251" i="2" s="1"/>
  <c r="AC268" i="2" s="1"/>
  <c r="AC200" i="2"/>
  <c r="AC88" i="2"/>
  <c r="AC197" i="2"/>
  <c r="AC92" i="2" s="1"/>
  <c r="AC93" i="2" s="1"/>
  <c r="O339" i="2"/>
  <c r="O338" i="2"/>
  <c r="O345" i="2"/>
  <c r="O329" i="2"/>
  <c r="AX73" i="1"/>
  <c r="AX78" i="1" s="1"/>
  <c r="O123" i="2"/>
  <c r="O347" i="2"/>
  <c r="H123" i="2"/>
  <c r="H347" i="2"/>
  <c r="G73" i="1"/>
  <c r="G78" i="1" s="1"/>
  <c r="H345" i="2"/>
  <c r="H339" i="2"/>
  <c r="H338" i="2"/>
  <c r="H329" i="2"/>
  <c r="E95" i="1"/>
  <c r="E97" i="1"/>
  <c r="K134" i="2"/>
  <c r="K334" i="2"/>
  <c r="K315" i="2"/>
  <c r="N31" i="2"/>
  <c r="AQ16" i="1"/>
  <c r="N12" i="2"/>
  <c r="AQ17" i="1" s="1"/>
  <c r="AQ25" i="1"/>
  <c r="AQ90" i="1"/>
  <c r="AQ49" i="1"/>
  <c r="AQ21" i="1"/>
  <c r="AA264" i="2"/>
  <c r="AA37" i="2"/>
  <c r="Z279" i="2"/>
  <c r="Z285" i="2" s="1"/>
  <c r="F20" i="28"/>
  <c r="BD345" i="2"/>
  <c r="BD329" i="2"/>
  <c r="BJ61" i="2"/>
  <c r="BC61" i="2"/>
  <c r="BC360" i="2"/>
  <c r="BC259" i="2"/>
  <c r="AM279" i="2"/>
  <c r="AM285" i="2" s="1"/>
  <c r="AQ279" i="2"/>
  <c r="AQ285" i="2" s="1"/>
  <c r="BE83" i="1"/>
  <c r="BE84" i="1" s="1"/>
  <c r="BE86" i="1" s="1"/>
  <c r="AX99" i="1"/>
  <c r="AJ279" i="2"/>
  <c r="AJ285" i="2" s="1"/>
  <c r="I347" i="2"/>
  <c r="H73" i="1"/>
  <c r="H78" i="1" s="1"/>
  <c r="I123" i="2"/>
  <c r="I329" i="2"/>
  <c r="I338" i="2"/>
  <c r="I339" i="2"/>
  <c r="I345" i="2"/>
  <c r="R345" i="2"/>
  <c r="BM78" i="1" s="1"/>
  <c r="R329" i="2"/>
  <c r="R123" i="2"/>
  <c r="R347" i="2"/>
  <c r="BM73" i="1" s="1"/>
  <c r="E347" i="2"/>
  <c r="E123" i="2"/>
  <c r="AC83" i="1"/>
  <c r="AC84" i="1" s="1"/>
  <c r="AC86" i="1" s="1"/>
  <c r="V99" i="1"/>
  <c r="X12" i="2"/>
  <c r="X31" i="2"/>
  <c r="S188" i="2"/>
  <c r="S190" i="2"/>
  <c r="BE251" i="2"/>
  <c r="BE268" i="2" s="1"/>
  <c r="Z251" i="2"/>
  <c r="Z268" i="2" s="1"/>
  <c r="AY12" i="2"/>
  <c r="AY31" i="2"/>
  <c r="AN219" i="2"/>
  <c r="AN221" i="2"/>
  <c r="AN223" i="2" s="1"/>
  <c r="H16" i="1"/>
  <c r="I12" i="2"/>
  <c r="H17" i="1" s="1"/>
  <c r="G61" i="1"/>
  <c r="H285" i="2"/>
  <c r="V16" i="1"/>
  <c r="K31" i="2"/>
  <c r="K12" i="2"/>
  <c r="V17" i="1" s="1"/>
  <c r="BL83" i="1"/>
  <c r="BL84" i="1" s="1"/>
  <c r="BL86" i="1" s="1"/>
  <c r="BE99" i="1"/>
  <c r="S132" i="2"/>
  <c r="BN54" i="1"/>
  <c r="BN76" i="1" s="1"/>
  <c r="AC16" i="1"/>
  <c r="L12" i="2"/>
  <c r="AC17" i="1" s="1"/>
  <c r="L31" i="2"/>
  <c r="P221" i="2"/>
  <c r="P223" i="2" s="1"/>
  <c r="P219" i="2"/>
  <c r="W279" i="2"/>
  <c r="W285" i="2" s="1"/>
  <c r="AC73" i="2"/>
  <c r="AC74" i="2" s="1"/>
  <c r="AC141" i="2"/>
  <c r="AC76" i="2" s="1"/>
  <c r="AC247" i="2"/>
  <c r="J83" i="2"/>
  <c r="J88" i="2"/>
  <c r="J89" i="2" s="1"/>
  <c r="I197" i="2"/>
  <c r="I200" i="2"/>
  <c r="I248" i="2"/>
  <c r="I83" i="2"/>
  <c r="I88" i="2"/>
  <c r="AP248" i="2"/>
  <c r="AP200" i="2"/>
  <c r="AP197" i="2"/>
  <c r="AE197" i="2"/>
  <c r="AE92" i="2" s="1"/>
  <c r="AE93" i="2" s="1"/>
  <c r="AE200" i="2"/>
  <c r="AE248" i="2"/>
  <c r="AE88" i="2"/>
  <c r="Y279" i="2"/>
  <c r="Y285" i="2" s="1"/>
  <c r="BD190" i="2"/>
  <c r="BD175" i="2"/>
  <c r="AH141" i="2"/>
  <c r="AH76" i="2" s="1"/>
  <c r="AH77" i="2" s="1"/>
  <c r="AH73" i="2"/>
  <c r="AH247" i="2"/>
  <c r="AP329" i="2"/>
  <c r="AP345" i="2"/>
  <c r="BS78" i="1" s="1"/>
  <c r="AP338" i="2"/>
  <c r="AP347" i="2"/>
  <c r="BS73" i="1" s="1"/>
  <c r="B8" i="26" s="1"/>
  <c r="C69" i="28" s="1"/>
  <c r="AP123" i="2"/>
  <c r="BT51" i="1"/>
  <c r="BT52" i="1" s="1"/>
  <c r="AW223" i="2"/>
  <c r="P343" i="2"/>
  <c r="P134" i="2"/>
  <c r="AX12" i="2"/>
  <c r="AX31" i="2"/>
  <c r="H200" i="2"/>
  <c r="H248" i="2"/>
  <c r="K83" i="2"/>
  <c r="K88" i="2"/>
  <c r="E141" i="2"/>
  <c r="F73" i="2"/>
  <c r="E147" i="2"/>
  <c r="E247" i="2"/>
  <c r="X247" i="2"/>
  <c r="X147" i="2"/>
  <c r="X73" i="2"/>
  <c r="T175" i="2"/>
  <c r="T190" i="2"/>
  <c r="BC359" i="2"/>
  <c r="BC303" i="2"/>
  <c r="AC31" i="2"/>
  <c r="AC12" i="2"/>
  <c r="BC73" i="2"/>
  <c r="BC247" i="2"/>
  <c r="L200" i="2"/>
  <c r="L248" i="2"/>
  <c r="Q147" i="2"/>
  <c r="Q247" i="2"/>
  <c r="R73" i="2"/>
  <c r="R74" i="2" s="1"/>
  <c r="Q141" i="2"/>
  <c r="Q83" i="2"/>
  <c r="Q88" i="2"/>
  <c r="Q89" i="2" s="1"/>
  <c r="M83" i="2"/>
  <c r="M88" i="2"/>
  <c r="K343" i="2"/>
  <c r="K339" i="2"/>
  <c r="N248" i="2"/>
  <c r="N197" i="2"/>
  <c r="N200" i="2"/>
  <c r="AY197" i="2"/>
  <c r="AY92" i="2" s="1"/>
  <c r="AY93" i="2" s="1"/>
  <c r="AY88" i="2"/>
  <c r="AY248" i="2"/>
  <c r="AY200" i="2"/>
  <c r="BD248" i="2"/>
  <c r="BD88" i="2"/>
  <c r="BD200" i="2"/>
  <c r="BD197" i="2"/>
  <c r="BD92" i="2" s="1"/>
  <c r="BD93" i="2" s="1"/>
  <c r="X200" i="2"/>
  <c r="X197" i="2"/>
  <c r="X92" i="2" s="1"/>
  <c r="X93" i="2" s="1"/>
  <c r="X88" i="2"/>
  <c r="X248" i="2"/>
  <c r="X251" i="2" s="1"/>
  <c r="X268" i="2" s="1"/>
  <c r="G86" i="2"/>
  <c r="G88" i="2"/>
  <c r="G89" i="2" s="1"/>
  <c r="AR247" i="2"/>
  <c r="AR250" i="2" s="1"/>
  <c r="AR267" i="2" s="1"/>
  <c r="AR147" i="2"/>
  <c r="AR73" i="2"/>
  <c r="O83" i="2"/>
  <c r="O88" i="2"/>
  <c r="BC11" i="2"/>
  <c r="BC12" i="2" s="1"/>
  <c r="BC145" i="2"/>
  <c r="AD197" i="2"/>
  <c r="AD92" i="2" s="1"/>
  <c r="AD93" i="2" s="1"/>
  <c r="AD200" i="2"/>
  <c r="AD248" i="2"/>
  <c r="AD251" i="2" s="1"/>
  <c r="AD268" i="2" s="1"/>
  <c r="AD88" i="2"/>
  <c r="G25" i="2"/>
  <c r="G31" i="2"/>
  <c r="BB12" i="2"/>
  <c r="BB31" i="2"/>
  <c r="AW73" i="2"/>
  <c r="AW74" i="2" s="1"/>
  <c r="AV247" i="2"/>
  <c r="AV141" i="2"/>
  <c r="AV76" i="2" s="1"/>
  <c r="AV77" i="2" s="1"/>
  <c r="AV147" i="2"/>
  <c r="AV73" i="2"/>
  <c r="F315" i="2"/>
  <c r="O315" i="2"/>
  <c r="O134" i="2"/>
  <c r="AO303" i="2"/>
  <c r="AO359" i="2"/>
  <c r="AJ12" i="2"/>
  <c r="AJ31" i="2"/>
  <c r="Q134" i="2"/>
  <c r="Q315" i="2"/>
  <c r="AQ248" i="2"/>
  <c r="AQ88" i="2"/>
  <c r="AQ200" i="2"/>
  <c r="AQ197" i="2"/>
  <c r="AQ92" i="2" s="1"/>
  <c r="AQ93" i="2" s="1"/>
  <c r="X106" i="2"/>
  <c r="X108" i="2" s="1"/>
  <c r="X134" i="2"/>
  <c r="Q188" i="2"/>
  <c r="Q190" i="2"/>
  <c r="I334" i="2"/>
  <c r="I134" i="2"/>
  <c r="I315" i="2"/>
  <c r="AZ12" i="2"/>
  <c r="AZ31" i="2"/>
  <c r="AZ27" i="2" s="1"/>
  <c r="AZ28" i="2" s="1"/>
  <c r="AF25" i="2"/>
  <c r="AF31" i="2"/>
  <c r="E25" i="2"/>
  <c r="E31" i="2"/>
  <c r="AB345" i="2"/>
  <c r="BQ78" i="1" s="1"/>
  <c r="AB338" i="2"/>
  <c r="AB329" i="2"/>
  <c r="U31" i="2"/>
  <c r="U12" i="2"/>
  <c r="BP16" i="1"/>
  <c r="S334" i="2"/>
  <c r="BN48" i="1" s="1"/>
  <c r="BN49" i="1" s="1"/>
  <c r="BN55" i="1"/>
  <c r="Z12" i="2"/>
  <c r="Z31" i="2"/>
  <c r="N343" i="2"/>
  <c r="N134" i="2"/>
  <c r="N315" i="2"/>
  <c r="AL31" i="2"/>
  <c r="AL12" i="2"/>
  <c r="AW12" i="2"/>
  <c r="BT16" i="1"/>
  <c r="AW31" i="2"/>
  <c r="AM88" i="2"/>
  <c r="AM89" i="2" s="1"/>
  <c r="AM200" i="2"/>
  <c r="AM197" i="2"/>
  <c r="AM92" i="2" s="1"/>
  <c r="AB347" i="2"/>
  <c r="BQ73" i="1" s="1"/>
  <c r="AB123" i="2"/>
  <c r="D12" i="2"/>
  <c r="D31" i="2"/>
  <c r="D134" i="2"/>
  <c r="D315" i="2"/>
  <c r="C14" i="28"/>
  <c r="AU88" i="2"/>
  <c r="AU248" i="2"/>
  <c r="AU197" i="2"/>
  <c r="AU92" i="2" s="1"/>
  <c r="AU93" i="2" s="1"/>
  <c r="AU200" i="2"/>
  <c r="AT88" i="2"/>
  <c r="AT200" i="2"/>
  <c r="AT248" i="2"/>
  <c r="AT197" i="2"/>
  <c r="AT92" i="2" s="1"/>
  <c r="AT93" i="2" s="1"/>
  <c r="AO88" i="2"/>
  <c r="AO248" i="2"/>
  <c r="AO246" i="2" s="1"/>
  <c r="AO200" i="2"/>
  <c r="AR200" i="2"/>
  <c r="AR197" i="2"/>
  <c r="AR92" i="2" s="1"/>
  <c r="AR93" i="2" s="1"/>
  <c r="AR88" i="2"/>
  <c r="AR248" i="2"/>
  <c r="AW88" i="2"/>
  <c r="AW89" i="2" s="1"/>
  <c r="V21" i="1"/>
  <c r="BS86" i="1"/>
  <c r="BD247" i="2"/>
  <c r="BD141" i="2"/>
  <c r="BD73" i="2"/>
  <c r="R132" i="2"/>
  <c r="BM54" i="1"/>
  <c r="BM92" i="1" s="1"/>
  <c r="BD134" i="2"/>
  <c r="U73" i="2"/>
  <c r="U74" i="2" s="1"/>
  <c r="BD338" i="2"/>
  <c r="AA17" i="2"/>
  <c r="H24" i="1"/>
  <c r="H25" i="1" s="1"/>
  <c r="AL73" i="2"/>
  <c r="AL247" i="2"/>
  <c r="AL141" i="2"/>
  <c r="AL76" i="2" s="1"/>
  <c r="AL77" i="2" s="1"/>
  <c r="V24" i="1"/>
  <c r="V25" i="1" s="1"/>
  <c r="BD315" i="2"/>
  <c r="H134" i="2"/>
  <c r="AT31" i="2"/>
  <c r="BB134" i="2"/>
  <c r="D24" i="1"/>
  <c r="D25" i="1" s="1"/>
  <c r="E200" i="2"/>
  <c r="E248" i="2"/>
  <c r="BA285" i="2"/>
  <c r="AJ88" i="2"/>
  <c r="BS24" i="1"/>
  <c r="BS25" i="1" s="1"/>
  <c r="BB141" i="2"/>
  <c r="BB76" i="2" s="1"/>
  <c r="BB77" i="2" s="1"/>
  <c r="BB147" i="2"/>
  <c r="BB73" i="2"/>
  <c r="BB247" i="2"/>
  <c r="AT247" i="2"/>
  <c r="AT73" i="2"/>
  <c r="AP88" i="2"/>
  <c r="AP89" i="2" s="1"/>
  <c r="AO197" i="2"/>
  <c r="AO92" i="2" s="1"/>
  <c r="AO93" i="2" s="1"/>
  <c r="AU147" i="2"/>
  <c r="AU73" i="2"/>
  <c r="AU247" i="2"/>
  <c r="AI200" i="2"/>
  <c r="AI248" i="2"/>
  <c r="I31" i="2"/>
  <c r="R200" i="2"/>
  <c r="R248" i="2"/>
  <c r="AA74" i="2"/>
  <c r="AU141" i="2"/>
  <c r="AU76" i="2" s="1"/>
  <c r="AU77" i="2" s="1"/>
  <c r="R338" i="2"/>
  <c r="T197" i="2"/>
  <c r="BN21" i="1"/>
  <c r="AJ248" i="2"/>
  <c r="AW191" i="2"/>
  <c r="AW353" i="2" s="1"/>
  <c r="U88" i="2"/>
  <c r="U89" i="2" s="1"/>
  <c r="P285" i="2"/>
  <c r="J134" i="2"/>
  <c r="BD106" i="2"/>
  <c r="BD108" i="2" s="1"/>
  <c r="AJ197" i="2"/>
  <c r="AJ92" i="2" s="1"/>
  <c r="AJ93" i="2" s="1"/>
  <c r="AU31" i="2"/>
  <c r="AU27" i="2" s="1"/>
  <c r="AU28" i="2" s="1"/>
  <c r="W12" i="2"/>
  <c r="T248" i="2"/>
  <c r="AA77" i="2"/>
  <c r="S123" i="2"/>
  <c r="AI197" i="2"/>
  <c r="U141" i="2"/>
  <c r="U147" i="2"/>
  <c r="M315" i="2"/>
  <c r="T200" i="2"/>
  <c r="BN86" i="1"/>
  <c r="AE31" i="2"/>
  <c r="U247" i="2"/>
  <c r="S73" i="2"/>
  <c r="S74" i="2" s="1"/>
  <c r="R147" i="2"/>
  <c r="R141" i="2"/>
  <c r="J76" i="2"/>
  <c r="K76" i="2"/>
  <c r="K77" i="2" s="1"/>
  <c r="J334" i="2"/>
  <c r="BD123" i="2"/>
  <c r="BM123" i="2" s="1"/>
  <c r="BN123" i="2" s="1"/>
  <c r="BO123" i="2" s="1"/>
  <c r="BP123" i="2" s="1"/>
  <c r="BQ123" i="2" s="1"/>
  <c r="BR123" i="2" s="1"/>
  <c r="BD347" i="2"/>
  <c r="T347" i="2"/>
  <c r="BO73" i="1" s="1"/>
  <c r="T123" i="2"/>
  <c r="AD12" i="2"/>
  <c r="AD31" i="2"/>
  <c r="AD54" i="2" s="1"/>
  <c r="AQ106" i="2"/>
  <c r="AQ108" i="2" s="1"/>
  <c r="AQ134" i="2"/>
  <c r="BL73" i="1"/>
  <c r="BL78" i="1" s="1"/>
  <c r="Q123" i="2"/>
  <c r="Q347" i="2"/>
  <c r="Q25" i="2"/>
  <c r="Q31" i="2"/>
  <c r="BC131" i="2"/>
  <c r="BC134" i="2" s="1"/>
  <c r="AF248" i="2"/>
  <c r="AF88" i="2"/>
  <c r="AF200" i="2"/>
  <c r="AO37" i="2"/>
  <c r="AO264" i="2"/>
  <c r="AW347" i="2"/>
  <c r="BT73" i="1" s="1"/>
  <c r="AW123" i="2"/>
  <c r="AP31" i="2"/>
  <c r="AW188" i="2"/>
  <c r="AW190" i="2"/>
  <c r="AV8" i="2"/>
  <c r="AV361" i="2"/>
  <c r="AV71" i="2"/>
  <c r="AH52" i="2"/>
  <c r="AM248" i="2"/>
  <c r="W88" i="2"/>
  <c r="W197" i="2"/>
  <c r="W92" i="2" s="1"/>
  <c r="W93" i="2" s="1"/>
  <c r="W248" i="2"/>
  <c r="W200" i="2"/>
  <c r="AI345" i="2"/>
  <c r="BR78" i="1" s="1"/>
  <c r="AI329" i="2"/>
  <c r="AV266" i="2"/>
  <c r="AI175" i="2"/>
  <c r="AI190" i="2"/>
  <c r="AG88" i="2"/>
  <c r="AG248" i="2"/>
  <c r="AG200" i="2"/>
  <c r="AG197" i="2"/>
  <c r="AG92" i="2" s="1"/>
  <c r="AG93" i="2" s="1"/>
  <c r="AN248" i="2"/>
  <c r="AN197" i="2"/>
  <c r="AN92" i="2" s="1"/>
  <c r="AN93" i="2" s="1"/>
  <c r="AN200" i="2"/>
  <c r="AN88" i="2"/>
  <c r="G338" i="2"/>
  <c r="F134" i="2"/>
  <c r="BL24" i="1"/>
  <c r="BL25" i="1" s="1"/>
  <c r="AX24" i="1"/>
  <c r="AX25" i="1" s="1"/>
  <c r="AA24" i="2"/>
  <c r="AA25" i="2" s="1"/>
  <c r="AA15" i="2"/>
  <c r="F24" i="1"/>
  <c r="F25" i="1" s="1"/>
  <c r="G16" i="1"/>
  <c r="H12" i="2"/>
  <c r="G17" i="1" s="1"/>
  <c r="H31" i="2"/>
  <c r="AM25" i="2"/>
  <c r="AM31" i="2"/>
  <c r="M83" i="1"/>
  <c r="M84" i="1" s="1"/>
  <c r="F99" i="1"/>
  <c r="AI123" i="2"/>
  <c r="AI347" i="2"/>
  <c r="BR73" i="1" s="1"/>
  <c r="L343" i="2"/>
  <c r="L134" i="2"/>
  <c r="L315" i="2"/>
  <c r="N339" i="2"/>
  <c r="N345" i="2"/>
  <c r="N329" i="2"/>
  <c r="BO86" i="1"/>
  <c r="BN40" i="1"/>
  <c r="K221" i="2"/>
  <c r="K223" i="2" s="1"/>
  <c r="K219" i="2"/>
  <c r="Y31" i="2"/>
  <c r="Y54" i="2" s="1"/>
  <c r="Y12" i="2"/>
  <c r="AO8" i="2"/>
  <c r="AO71" i="2"/>
  <c r="AO361" i="2"/>
  <c r="X71" i="2"/>
  <c r="AY106" i="2"/>
  <c r="AY108" i="2" s="1"/>
  <c r="AY134" i="2"/>
  <c r="AV24" i="2"/>
  <c r="AV25" i="2" s="1"/>
  <c r="AV15" i="2"/>
  <c r="AV358" i="2"/>
  <c r="AV106" i="2"/>
  <c r="AV108" i="2" s="1"/>
  <c r="AV105" i="2"/>
  <c r="AV107" i="2" s="1"/>
  <c r="AV6" i="2"/>
  <c r="AV145" i="2"/>
  <c r="AV11" i="2"/>
  <c r="AV21" i="2"/>
  <c r="AT134" i="2"/>
  <c r="AT106" i="2"/>
  <c r="AT108" i="2" s="1"/>
  <c r="E86" i="1"/>
  <c r="E90" i="1"/>
  <c r="E49" i="1"/>
  <c r="AC134" i="2"/>
  <c r="O83" i="1"/>
  <c r="O84" i="1" s="1"/>
  <c r="O86" i="1" s="1"/>
  <c r="H83" i="1"/>
  <c r="H84" i="1" s="1"/>
  <c r="H86" i="1" s="1"/>
  <c r="H99" i="1"/>
  <c r="BL21" i="1"/>
  <c r="BL90" i="1"/>
  <c r="BL49" i="1"/>
  <c r="T12" i="2"/>
  <c r="BO16" i="1"/>
  <c r="AA11" i="2"/>
  <c r="AA21" i="2"/>
  <c r="AA6" i="2"/>
  <c r="AA105" i="2"/>
  <c r="AA107" i="2" s="1"/>
  <c r="V33" i="1"/>
  <c r="K52" i="2"/>
  <c r="E33" i="1"/>
  <c r="F52" i="2"/>
  <c r="AA145" i="2"/>
  <c r="AO61" i="2"/>
  <c r="AH259" i="2"/>
  <c r="AH60" i="2"/>
  <c r="AH61" i="2"/>
  <c r="AH360" i="2"/>
  <c r="G97" i="1"/>
  <c r="G95" i="1"/>
  <c r="AH19" i="2"/>
  <c r="E21" i="1"/>
  <c r="AV279" i="2"/>
  <c r="AV285" i="2" s="1"/>
  <c r="B2" i="26"/>
  <c r="C63" i="28" s="1"/>
  <c r="S345" i="2"/>
  <c r="BN78" i="1" s="1"/>
  <c r="S338" i="2"/>
  <c r="S329" i="2"/>
  <c r="Y88" i="2"/>
  <c r="Y197" i="2"/>
  <c r="Y92" i="2" s="1"/>
  <c r="Y93" i="2" s="1"/>
  <c r="Y200" i="2"/>
  <c r="Y248" i="2"/>
  <c r="BQ54" i="1"/>
  <c r="AB132" i="2"/>
  <c r="L339" i="2"/>
  <c r="L345" i="2"/>
  <c r="L338" i="2"/>
  <c r="L329" i="2"/>
  <c r="R25" i="2"/>
  <c r="BM24" i="1"/>
  <c r="BM25" i="1" s="1"/>
  <c r="AO17" i="2"/>
  <c r="AO24" i="2"/>
  <c r="AO25" i="2" s="1"/>
  <c r="AG279" i="2"/>
  <c r="AG285" i="2" s="1"/>
  <c r="F18" i="28"/>
  <c r="AO259" i="2"/>
  <c r="AO60" i="2"/>
  <c r="O190" i="2"/>
  <c r="O175" i="2"/>
  <c r="AU279" i="2"/>
  <c r="AU285" i="2" s="1"/>
  <c r="AH303" i="2"/>
  <c r="AH359" i="2"/>
  <c r="AV19" i="2"/>
  <c r="AF279" i="2"/>
  <c r="AF285" i="2" s="1"/>
  <c r="BR54" i="1"/>
  <c r="AI132" i="2"/>
  <c r="V88" i="2"/>
  <c r="V200" i="2"/>
  <c r="V197" i="2"/>
  <c r="V92" i="2" s="1"/>
  <c r="V93" i="2" s="1"/>
  <c r="V248" i="2"/>
  <c r="V251" i="2" s="1"/>
  <c r="V268" i="2" s="1"/>
  <c r="J73" i="2"/>
  <c r="J74" i="2" s="1"/>
  <c r="J247" i="2"/>
  <c r="J147" i="2"/>
  <c r="K73" i="2"/>
  <c r="AJ106" i="2"/>
  <c r="AJ108" i="2" s="1"/>
  <c r="AJ134" i="2"/>
  <c r="BM51" i="1"/>
  <c r="BM52" i="1" s="1"/>
  <c r="R223" i="2"/>
  <c r="AA106" i="2"/>
  <c r="AA108" i="2" s="1"/>
  <c r="AJ99" i="1"/>
  <c r="AQ83" i="1"/>
  <c r="AQ84" i="1" s="1"/>
  <c r="AQ86" i="1" s="1"/>
  <c r="AA10" i="2"/>
  <c r="G21" i="1"/>
  <c r="G90" i="1"/>
  <c r="G49" i="1"/>
  <c r="BA106" i="2"/>
  <c r="BA108" i="2" s="1"/>
  <c r="BA134" i="2"/>
  <c r="N123" i="2"/>
  <c r="AQ73" i="1"/>
  <c r="AQ78" i="1" s="1"/>
  <c r="N347" i="2"/>
  <c r="L123" i="2"/>
  <c r="AC73" i="1"/>
  <c r="AC78" i="1" s="1"/>
  <c r="L347" i="2"/>
  <c r="AH10" i="2"/>
  <c r="BM21" i="1"/>
  <c r="BM90" i="1"/>
  <c r="BU33" i="1"/>
  <c r="BD52" i="2"/>
  <c r="BC51" i="2"/>
  <c r="BC52" i="2" s="1"/>
  <c r="R190" i="2"/>
  <c r="R188" i="2"/>
  <c r="AC219" i="2"/>
  <c r="AC221" i="2"/>
  <c r="AC223" i="2" s="1"/>
  <c r="O97" i="1"/>
  <c r="O95" i="1"/>
  <c r="T31" i="2"/>
  <c r="BM16" i="1"/>
  <c r="R31" i="2"/>
  <c r="R12" i="2"/>
  <c r="F97" i="1"/>
  <c r="F95" i="1"/>
  <c r="P141" i="2"/>
  <c r="P247" i="2"/>
  <c r="P147" i="2"/>
  <c r="F46" i="28"/>
  <c r="AV197" i="2"/>
  <c r="AV92" i="2" s="1"/>
  <c r="AV93" i="2" s="1"/>
  <c r="AV131" i="2"/>
  <c r="AV134" i="2" s="1"/>
  <c r="N188" i="2"/>
  <c r="N190" i="2"/>
  <c r="BM86" i="1"/>
  <c r="AG300" i="2"/>
  <c r="D219" i="2"/>
  <c r="D221" i="2"/>
  <c r="D223" i="2" s="1"/>
  <c r="E219" i="2"/>
  <c r="AQ33" i="1"/>
  <c r="N52" i="2"/>
  <c r="BC24" i="2"/>
  <c r="BC15" i="2"/>
  <c r="AF300" i="2"/>
  <c r="AY221" i="2"/>
  <c r="AY223" i="2" s="1"/>
  <c r="AY219" i="2"/>
  <c r="AS89" i="2"/>
  <c r="AS96" i="2" s="1"/>
  <c r="AS95" i="2"/>
  <c r="R88" i="2"/>
  <c r="AT219" i="2"/>
  <c r="AT221" i="2"/>
  <c r="AT223" i="2" s="1"/>
  <c r="AV200" i="2"/>
  <c r="AV248" i="2"/>
  <c r="AV88" i="2"/>
  <c r="BU95" i="1"/>
  <c r="AR12" i="2"/>
  <c r="AR31" i="2"/>
  <c r="BC264" i="2"/>
  <c r="BC37" i="2"/>
  <c r="AO358" i="2"/>
  <c r="AO105" i="2"/>
  <c r="AO107" i="2" s="1"/>
  <c r="AO6" i="2"/>
  <c r="AO21" i="2"/>
  <c r="AO15" i="2"/>
  <c r="AO145" i="2"/>
  <c r="AO147" i="2"/>
  <c r="AO10" i="2"/>
  <c r="AO11" i="2"/>
  <c r="AI12" i="2"/>
  <c r="BR16" i="1"/>
  <c r="AP132" i="2"/>
  <c r="BS54" i="1"/>
  <c r="B5" i="26"/>
  <c r="C66" i="28" s="1"/>
  <c r="BS40" i="1"/>
  <c r="AX83" i="1"/>
  <c r="AX84" i="1" s="1"/>
  <c r="AX86" i="1" s="1"/>
  <c r="AQ99" i="1"/>
  <c r="BB197" i="2"/>
  <c r="BB92" i="2" s="1"/>
  <c r="BB93" i="2" s="1"/>
  <c r="BB248" i="2"/>
  <c r="BB200" i="2"/>
  <c r="BB88" i="2"/>
  <c r="N338" i="2"/>
  <c r="AS106" i="2"/>
  <c r="AS108" i="2" s="1"/>
  <c r="AS134" i="2"/>
  <c r="BC21" i="2"/>
  <c r="BC147" i="2"/>
  <c r="BC6" i="2"/>
  <c r="BC105" i="2"/>
  <c r="BC107" i="2" s="1"/>
  <c r="BC19" i="2"/>
  <c r="BC358" i="2"/>
  <c r="BC60" i="2"/>
  <c r="BJ6" i="2"/>
  <c r="BN33" i="1"/>
  <c r="S52" i="2"/>
  <c r="W219" i="2"/>
  <c r="E329" i="2"/>
  <c r="E339" i="2"/>
  <c r="E345" i="2"/>
  <c r="E338" i="2"/>
  <c r="AH105" i="2"/>
  <c r="AH107" i="2" s="1"/>
  <c r="AH106" i="2"/>
  <c r="AH108" i="2" s="1"/>
  <c r="AH145" i="2"/>
  <c r="AH8" i="2"/>
  <c r="AH358" i="2"/>
  <c r="AH21" i="2"/>
  <c r="AH11" i="2"/>
  <c r="AH6" i="2"/>
  <c r="D123" i="2"/>
  <c r="D347" i="2"/>
  <c r="F347" i="2"/>
  <c r="E73" i="1"/>
  <c r="E78" i="1" s="1"/>
  <c r="F123" i="2"/>
  <c r="J12" i="2"/>
  <c r="O17" i="1" s="1"/>
  <c r="J31" i="2"/>
  <c r="O16" i="1"/>
  <c r="N88" i="2"/>
  <c r="M200" i="2"/>
  <c r="M248" i="2"/>
  <c r="M175" i="2"/>
  <c r="M190" i="2"/>
  <c r="AZ134" i="2"/>
  <c r="AZ106" i="2"/>
  <c r="AZ108" i="2" s="1"/>
  <c r="F25" i="2"/>
  <c r="F31" i="2"/>
  <c r="BN95" i="1"/>
  <c r="M123" i="2"/>
  <c r="AJ73" i="1"/>
  <c r="AJ78" i="1" s="1"/>
  <c r="M347" i="2"/>
  <c r="AK279" i="2"/>
  <c r="AK285" i="2" s="1"/>
  <c r="BP55" i="1"/>
  <c r="U106" i="2"/>
  <c r="U108" i="2" s="1"/>
  <c r="L141" i="2"/>
  <c r="L147" i="2"/>
  <c r="L247" i="2"/>
  <c r="M73" i="2"/>
  <c r="AA61" i="2"/>
  <c r="AA259" i="2"/>
  <c r="AA60" i="2"/>
  <c r="O31" i="2"/>
  <c r="AX16" i="1"/>
  <c r="O12" i="2"/>
  <c r="AX17" i="1" s="1"/>
  <c r="H21" i="1"/>
  <c r="AV61" i="2"/>
  <c r="AV60" i="2"/>
  <c r="AV259" i="2"/>
  <c r="AK106" i="2"/>
  <c r="AK108" i="2" s="1"/>
  <c r="AK134" i="2"/>
  <c r="AF197" i="2"/>
  <c r="AF92" i="2" s="1"/>
  <c r="AF93" i="2" s="1"/>
  <c r="AH17" i="2"/>
  <c r="P347" i="2"/>
  <c r="BE73" i="1"/>
  <c r="BE78" i="1" s="1"/>
  <c r="P123" i="2"/>
  <c r="AC24" i="1"/>
  <c r="AC25" i="1" s="1"/>
  <c r="L52" i="2"/>
  <c r="AC33" i="1"/>
  <c r="P339" i="2"/>
  <c r="P345" i="2"/>
  <c r="P329" i="2"/>
  <c r="P338" i="2"/>
  <c r="AK248" i="2"/>
  <c r="AK200" i="2"/>
  <c r="AK88" i="2"/>
  <c r="BQ21" i="1"/>
  <c r="BQ24" i="1"/>
  <c r="BQ25" i="1" s="1"/>
  <c r="X221" i="2"/>
  <c r="X223" i="2" s="1"/>
  <c r="X219" i="2"/>
  <c r="D329" i="2"/>
  <c r="D339" i="2"/>
  <c r="D345" i="2"/>
  <c r="AA19" i="2"/>
  <c r="T345" i="2"/>
  <c r="BO78" i="1" s="1"/>
  <c r="T329" i="2"/>
  <c r="J219" i="2"/>
  <c r="J221" i="2"/>
  <c r="J223" i="2" s="1"/>
  <c r="E24" i="1"/>
  <c r="E25" i="1" s="1"/>
  <c r="S83" i="2"/>
  <c r="S88" i="2"/>
  <c r="S89" i="2" s="1"/>
  <c r="AX71" i="2"/>
  <c r="AA147" i="2"/>
  <c r="F49" i="1"/>
  <c r="F90" i="1"/>
  <c r="BE21" i="1"/>
  <c r="BE49" i="1"/>
  <c r="BE90" i="1"/>
  <c r="AA8" i="2"/>
  <c r="AZ200" i="2"/>
  <c r="AZ88" i="2"/>
  <c r="AZ197" i="2"/>
  <c r="AZ92" i="2" s="1"/>
  <c r="AZ93" i="2" s="1"/>
  <c r="AZ248" i="2"/>
  <c r="AB200" i="2"/>
  <c r="AB248" i="2"/>
  <c r="AB197" i="2"/>
  <c r="AV359" i="2"/>
  <c r="AV303" i="2"/>
  <c r="H90" i="1"/>
  <c r="H49" i="1"/>
  <c r="F338" i="2"/>
  <c r="F329" i="2"/>
  <c r="F345" i="2"/>
  <c r="O90" i="1"/>
  <c r="O49" i="1"/>
  <c r="O21" i="1"/>
  <c r="BM95" i="1"/>
  <c r="BT54" i="1"/>
  <c r="AW132" i="2"/>
  <c r="AK25" i="2"/>
  <c r="AK31" i="2"/>
  <c r="AF221" i="2"/>
  <c r="AF223" i="2" s="1"/>
  <c r="AF219" i="2"/>
  <c r="BL221" i="2"/>
  <c r="BL213" i="2"/>
  <c r="F73" i="1"/>
  <c r="F78" i="1" s="1"/>
  <c r="G347" i="2"/>
  <c r="G123" i="2"/>
  <c r="V86" i="1"/>
  <c r="V90" i="1"/>
  <c r="V49" i="1"/>
  <c r="AX90" i="1"/>
  <c r="AX49" i="1"/>
  <c r="V95" i="1"/>
  <c r="C5" i="26"/>
  <c r="D66" i="28" s="1"/>
  <c r="BT40" i="1"/>
  <c r="AC90" i="1"/>
  <c r="AC49" i="1"/>
  <c r="BQ90" i="1"/>
  <c r="BQ95" i="1"/>
  <c r="P190" i="2"/>
  <c r="P175" i="2"/>
  <c r="AH15" i="2"/>
  <c r="AH24" i="2"/>
  <c r="AH25" i="2" s="1"/>
  <c r="Q339" i="2"/>
  <c r="Q345" i="2"/>
  <c r="Q329" i="2"/>
  <c r="M339" i="2"/>
  <c r="M345" i="2"/>
  <c r="M329" i="2"/>
  <c r="BN217" i="2"/>
  <c r="BM215" i="2"/>
  <c r="AT71" i="2"/>
  <c r="G329" i="2"/>
  <c r="G345" i="2"/>
  <c r="BD31" i="2"/>
  <c r="BU16" i="1"/>
  <c r="BD12" i="2"/>
  <c r="AW329" i="2"/>
  <c r="AW345" i="2"/>
  <c r="BT78" i="1" s="1"/>
  <c r="AW338" i="2"/>
  <c r="V79" i="2"/>
  <c r="V80" i="2"/>
  <c r="V250" i="2"/>
  <c r="V267" i="2" s="1"/>
  <c r="V273" i="2" s="1"/>
  <c r="V271" i="2" s="1"/>
  <c r="BK352" i="2"/>
  <c r="BK29" i="2"/>
  <c r="BO90" i="1"/>
  <c r="L352" i="2"/>
  <c r="L29" i="2"/>
  <c r="BO76" i="2"/>
  <c r="BR49" i="2"/>
  <c r="BR51" i="2" s="1"/>
  <c r="BR52" i="2" s="1"/>
  <c r="BQ49" i="2"/>
  <c r="BQ51" i="2" s="1"/>
  <c r="BQ52" i="2" s="1"/>
  <c r="BQ254" i="2"/>
  <c r="BQ269" i="2" s="1"/>
  <c r="BP197" i="2"/>
  <c r="BP92" i="2" s="1"/>
  <c r="BR216" i="2"/>
  <c r="BQ256" i="2"/>
  <c r="BQ270" i="2" s="1"/>
  <c r="BR255" i="2"/>
  <c r="BR256" i="2" s="1"/>
  <c r="BR270" i="2" s="1"/>
  <c r="BQ141" i="2"/>
  <c r="BR141" i="2" s="1"/>
  <c r="BR76" i="2" s="1"/>
  <c r="BU39" i="1"/>
  <c r="AF250" i="2" l="1"/>
  <c r="AF267" i="2" s="1"/>
  <c r="M334" i="2"/>
  <c r="H54" i="2"/>
  <c r="H92" i="2"/>
  <c r="H93" i="2" s="1"/>
  <c r="AO77" i="2"/>
  <c r="D246" i="2"/>
  <c r="D335" i="2" s="1"/>
  <c r="AL251" i="2"/>
  <c r="AL268" i="2" s="1"/>
  <c r="G334" i="2"/>
  <c r="BQ52" i="1"/>
  <c r="BQ83" i="1" s="1"/>
  <c r="Q251" i="2"/>
  <c r="Q268" i="2" s="1"/>
  <c r="AB223" i="2"/>
  <c r="AO74" i="2"/>
  <c r="AO79" i="2"/>
  <c r="U29" i="2"/>
  <c r="U352" i="2"/>
  <c r="N85" i="1"/>
  <c r="N86" i="1"/>
  <c r="BJ250" i="2"/>
  <c r="BJ267" i="2" s="1"/>
  <c r="P76" i="2"/>
  <c r="BU51" i="1"/>
  <c r="BD223" i="2"/>
  <c r="AK250" i="2"/>
  <c r="AK267" i="2" s="1"/>
  <c r="AW250" i="2"/>
  <c r="G246" i="2"/>
  <c r="G335" i="2" s="1"/>
  <c r="F251" i="2"/>
  <c r="G76" i="2"/>
  <c r="S251" i="2"/>
  <c r="S268" i="2" s="1"/>
  <c r="BN51" i="1"/>
  <c r="BN52" i="1" s="1"/>
  <c r="S223" i="2"/>
  <c r="S92" i="2"/>
  <c r="D334" i="2"/>
  <c r="D76" i="2"/>
  <c r="O334" i="2"/>
  <c r="O250" i="2"/>
  <c r="BR90" i="1"/>
  <c r="AE250" i="2"/>
  <c r="AE267" i="2" s="1"/>
  <c r="AE273" i="2" s="1"/>
  <c r="AE271" i="2" s="1"/>
  <c r="G251" i="2"/>
  <c r="BC285" i="2"/>
  <c r="H76" i="2"/>
  <c r="C8" i="26"/>
  <c r="D69" i="28" s="1"/>
  <c r="B9" i="26"/>
  <c r="C70" i="28" s="1"/>
  <c r="C9" i="26"/>
  <c r="D70" i="28" s="1"/>
  <c r="AM250" i="2"/>
  <c r="AM267" i="2" s="1"/>
  <c r="N334" i="2"/>
  <c r="N76" i="2"/>
  <c r="N250" i="2"/>
  <c r="AA250" i="2"/>
  <c r="AA267" i="2" s="1"/>
  <c r="AE79" i="2"/>
  <c r="AE74" i="2"/>
  <c r="AE80" i="2" s="1"/>
  <c r="BC197" i="2"/>
  <c r="BC92" i="2" s="1"/>
  <c r="BC93" i="2" s="1"/>
  <c r="BC88" i="2"/>
  <c r="BC248" i="2"/>
  <c r="BC200" i="2"/>
  <c r="G250" i="2"/>
  <c r="G267" i="2" s="1"/>
  <c r="AG250" i="2"/>
  <c r="AG267" i="2" s="1"/>
  <c r="K246" i="2"/>
  <c r="K335" i="2" s="1"/>
  <c r="H251" i="2"/>
  <c r="H268" i="2" s="1"/>
  <c r="E76" i="2"/>
  <c r="U92" i="2"/>
  <c r="U93" i="2" s="1"/>
  <c r="AV95" i="2"/>
  <c r="D250" i="2"/>
  <c r="D267" i="2" s="1"/>
  <c r="E250" i="2"/>
  <c r="E267" i="2" s="1"/>
  <c r="AZ74" i="2"/>
  <c r="AZ80" i="2" s="1"/>
  <c r="AZ79" i="2"/>
  <c r="U223" i="2"/>
  <c r="BP51" i="1"/>
  <c r="BP52" i="1" s="1"/>
  <c r="AF74" i="2"/>
  <c r="AF80" i="2" s="1"/>
  <c r="AF79" i="2"/>
  <c r="BJ251" i="2"/>
  <c r="BJ268" i="2" s="1"/>
  <c r="BJ273" i="2" s="1"/>
  <c r="BJ271" i="2" s="1"/>
  <c r="AW246" i="2"/>
  <c r="BR29" i="1"/>
  <c r="BR89" i="1" s="1"/>
  <c r="AI32" i="2"/>
  <c r="BR30" i="1" s="1"/>
  <c r="AY246" i="2"/>
  <c r="W74" i="2"/>
  <c r="W80" i="2" s="1"/>
  <c r="W79" i="2"/>
  <c r="AM79" i="2"/>
  <c r="AM74" i="2"/>
  <c r="AM80" i="2" s="1"/>
  <c r="AY74" i="2"/>
  <c r="AY80" i="2" s="1"/>
  <c r="AY79" i="2"/>
  <c r="AG74" i="2"/>
  <c r="AG80" i="2" s="1"/>
  <c r="AG79" i="2"/>
  <c r="Y74" i="2"/>
  <c r="Y80" i="2" s="1"/>
  <c r="Y79" i="2"/>
  <c r="AN251" i="2"/>
  <c r="AN268" i="2" s="1"/>
  <c r="W27" i="2"/>
  <c r="W28" i="2" s="1"/>
  <c r="W54" i="2"/>
  <c r="W32" i="2"/>
  <c r="AW54" i="2"/>
  <c r="AT251" i="2"/>
  <c r="AT268" i="2" s="1"/>
  <c r="H89" i="2"/>
  <c r="AN246" i="2"/>
  <c r="BC250" i="2"/>
  <c r="BC267" i="2" s="1"/>
  <c r="AA248" i="2"/>
  <c r="AA88" i="2"/>
  <c r="AA89" i="2" s="1"/>
  <c r="AA200" i="2"/>
  <c r="AA197" i="2"/>
  <c r="AB88" i="2"/>
  <c r="AB89" i="2" s="1"/>
  <c r="AP29" i="2"/>
  <c r="AP352" i="2"/>
  <c r="BA74" i="2"/>
  <c r="BA80" i="2" s="1"/>
  <c r="BA79" i="2"/>
  <c r="G54" i="2"/>
  <c r="AW92" i="2"/>
  <c r="AV246" i="2"/>
  <c r="BE29" i="1"/>
  <c r="BE89" i="1" s="1"/>
  <c r="P32" i="2"/>
  <c r="BE30" i="1" s="1"/>
  <c r="P321" i="2"/>
  <c r="P327" i="2" s="1"/>
  <c r="P54" i="2"/>
  <c r="N54" i="2"/>
  <c r="AI54" i="2"/>
  <c r="AI58" i="2" s="1"/>
  <c r="BR38" i="1" s="1"/>
  <c r="AI321" i="2"/>
  <c r="AQ89" i="2"/>
  <c r="AQ96" i="2" s="1"/>
  <c r="AQ95" i="2"/>
  <c r="I27" i="2"/>
  <c r="I321" i="2"/>
  <c r="I327" i="2" s="1"/>
  <c r="I32" i="2"/>
  <c r="H30" i="1" s="1"/>
  <c r="AQ246" i="2"/>
  <c r="AR246" i="2"/>
  <c r="AB76" i="2"/>
  <c r="AB339" i="2"/>
  <c r="BQ93" i="1" s="1"/>
  <c r="S54" i="2"/>
  <c r="BA27" i="2"/>
  <c r="BA28" i="2" s="1"/>
  <c r="BA32" i="2"/>
  <c r="P93" i="2"/>
  <c r="P96" i="2" s="1"/>
  <c r="P95" i="2"/>
  <c r="P251" i="2"/>
  <c r="P268" i="2" s="1"/>
  <c r="O246" i="2"/>
  <c r="O335" i="2" s="1"/>
  <c r="AP223" i="2"/>
  <c r="BS51" i="1"/>
  <c r="BS52" i="1" s="1"/>
  <c r="T334" i="2"/>
  <c r="BO48" i="1" s="1"/>
  <c r="BO49" i="1" s="1"/>
  <c r="T76" i="2"/>
  <c r="D251" i="2"/>
  <c r="E251" i="2"/>
  <c r="D92" i="2"/>
  <c r="E92" i="2"/>
  <c r="L92" i="2"/>
  <c r="K92" i="2"/>
  <c r="AS32" i="2"/>
  <c r="AS27" i="2"/>
  <c r="AS28" i="2" s="1"/>
  <c r="AS54" i="2"/>
  <c r="S32" i="2"/>
  <c r="BN30" i="1" s="1"/>
  <c r="S321" i="2"/>
  <c r="S327" i="2" s="1"/>
  <c r="BN29" i="1"/>
  <c r="BN89" i="1" s="1"/>
  <c r="AC95" i="2"/>
  <c r="AC89" i="2"/>
  <c r="AC96" i="2" s="1"/>
  <c r="J92" i="2"/>
  <c r="I92" i="2"/>
  <c r="O92" i="2"/>
  <c r="N92" i="2"/>
  <c r="BD251" i="2"/>
  <c r="BD268" i="2" s="1"/>
  <c r="BK251" i="2"/>
  <c r="BD95" i="2"/>
  <c r="BD89" i="2"/>
  <c r="BD96" i="2" s="1"/>
  <c r="X89" i="2"/>
  <c r="X96" i="2" s="1"/>
  <c r="X95" i="2"/>
  <c r="G27" i="2"/>
  <c r="G32" i="2"/>
  <c r="F30" i="1" s="1"/>
  <c r="G321" i="2"/>
  <c r="G327" i="2" s="1"/>
  <c r="F29" i="1"/>
  <c r="F89" i="1" s="1"/>
  <c r="AV74" i="2"/>
  <c r="AV80" i="2" s="1"/>
  <c r="AV79" i="2"/>
  <c r="Q29" i="2"/>
  <c r="Q352" i="2"/>
  <c r="AT74" i="2"/>
  <c r="AT80" i="2" s="1"/>
  <c r="AT79" i="2"/>
  <c r="AE54" i="2"/>
  <c r="AE32" i="2"/>
  <c r="AE27" i="2"/>
  <c r="AE28" i="2" s="1"/>
  <c r="AF251" i="2"/>
  <c r="AF268" i="2" s="1"/>
  <c r="AF273" i="2" s="1"/>
  <c r="AF271" i="2" s="1"/>
  <c r="AF246" i="2"/>
  <c r="BR51" i="1"/>
  <c r="BR52" i="1" s="1"/>
  <c r="AI223" i="2"/>
  <c r="AO285" i="2"/>
  <c r="AV250" i="2"/>
  <c r="AV267" i="2" s="1"/>
  <c r="BB250" i="2"/>
  <c r="BB267" i="2" s="1"/>
  <c r="Q54" i="2"/>
  <c r="AJ251" i="2"/>
  <c r="AJ268" i="2" s="1"/>
  <c r="T246" i="2"/>
  <c r="K54" i="2"/>
  <c r="R54" i="2"/>
  <c r="BS92" i="1"/>
  <c r="AQ250" i="2"/>
  <c r="AQ267" i="2" s="1"/>
  <c r="L54" i="2"/>
  <c r="L63" i="2" s="1"/>
  <c r="AK246" i="2"/>
  <c r="T250" i="2"/>
  <c r="T267" i="2" s="1"/>
  <c r="AY250" i="2"/>
  <c r="AY267" i="2" s="1"/>
  <c r="AB29" i="2"/>
  <c r="AB352" i="2"/>
  <c r="AI76" i="2"/>
  <c r="AB334" i="2"/>
  <c r="BQ48" i="1" s="1"/>
  <c r="BQ49" i="1" s="1"/>
  <c r="AU250" i="2"/>
  <c r="AU267" i="2" s="1"/>
  <c r="BG250" i="2"/>
  <c r="BG267" i="2" s="1"/>
  <c r="AI250" i="2"/>
  <c r="AI267" i="2" s="1"/>
  <c r="BA250" i="2"/>
  <c r="BA267" i="2" s="1"/>
  <c r="AO250" i="2"/>
  <c r="AO267" i="2" s="1"/>
  <c r="AS246" i="2"/>
  <c r="AS250" i="2"/>
  <c r="AS267" i="2" s="1"/>
  <c r="AS74" i="2"/>
  <c r="AS80" i="2" s="1"/>
  <c r="AS102" i="2" s="1"/>
  <c r="AS79" i="2"/>
  <c r="AS98" i="2" s="1"/>
  <c r="AG32" i="2"/>
  <c r="AG54" i="2"/>
  <c r="AG27" i="2"/>
  <c r="AG28" i="2" s="1"/>
  <c r="U134" i="2"/>
  <c r="U339" i="2"/>
  <c r="BP93" i="1" s="1"/>
  <c r="U343" i="2"/>
  <c r="BP79" i="1" s="1"/>
  <c r="U315" i="2"/>
  <c r="Z79" i="2"/>
  <c r="Z98" i="2" s="1"/>
  <c r="Z100" i="2" s="1"/>
  <c r="Z74" i="2"/>
  <c r="Z80" i="2" s="1"/>
  <c r="Z102" i="2" s="1"/>
  <c r="Z246" i="2"/>
  <c r="Z250" i="2"/>
  <c r="Z267" i="2" s="1"/>
  <c r="Z273" i="2" s="1"/>
  <c r="Z271" i="2" s="1"/>
  <c r="BE250" i="2"/>
  <c r="BE267" i="2" s="1"/>
  <c r="BE273" i="2" s="1"/>
  <c r="BE271" i="2" s="1"/>
  <c r="T315" i="2"/>
  <c r="T134" i="2"/>
  <c r="T343" i="2"/>
  <c r="BO79" i="1" s="1"/>
  <c r="BO76" i="1"/>
  <c r="BO98" i="1"/>
  <c r="BO92" i="1"/>
  <c r="L86" i="1"/>
  <c r="L85" i="1"/>
  <c r="BH250" i="2"/>
  <c r="BH267" i="2" s="1"/>
  <c r="AP250" i="2"/>
  <c r="V28" i="1"/>
  <c r="V97" i="1" s="1"/>
  <c r="K263" i="2"/>
  <c r="V32" i="2"/>
  <c r="V54" i="2"/>
  <c r="V27" i="2"/>
  <c r="V28" i="2" s="1"/>
  <c r="M321" i="2"/>
  <c r="M327" i="2" s="1"/>
  <c r="AJ29" i="1"/>
  <c r="AJ89" i="1" s="1"/>
  <c r="M54" i="2"/>
  <c r="M32" i="2"/>
  <c r="AJ30" i="1" s="1"/>
  <c r="BA95" i="2"/>
  <c r="BA89" i="2"/>
  <c r="BA96" i="2" s="1"/>
  <c r="AX74" i="2"/>
  <c r="AX80" i="2" s="1"/>
  <c r="AX79" i="2"/>
  <c r="AL95" i="2"/>
  <c r="AL93" i="2"/>
  <c r="AL96" i="2" s="1"/>
  <c r="AQ54" i="2"/>
  <c r="AQ32" i="2"/>
  <c r="AQ27" i="2"/>
  <c r="AQ28" i="2" s="1"/>
  <c r="L89" i="2"/>
  <c r="AN27" i="2"/>
  <c r="AN28" i="2" s="1"/>
  <c r="AN32" i="2"/>
  <c r="AN54" i="2"/>
  <c r="AX251" i="2"/>
  <c r="AX268" i="2" s="1"/>
  <c r="AX273" i="2" s="1"/>
  <c r="AX271" i="2" s="1"/>
  <c r="AX246" i="2"/>
  <c r="AX95" i="2"/>
  <c r="AX89" i="2"/>
  <c r="AX96" i="2" s="1"/>
  <c r="BA63" i="2"/>
  <c r="BA56" i="2"/>
  <c r="BA58" i="2"/>
  <c r="AN77" i="2"/>
  <c r="AN80" i="2" s="1"/>
  <c r="AN79" i="2"/>
  <c r="BD353" i="2"/>
  <c r="AY54" i="2"/>
  <c r="AY32" i="2"/>
  <c r="AY27" i="2"/>
  <c r="AY28" i="2" s="1"/>
  <c r="V29" i="1"/>
  <c r="V89" i="1" s="1"/>
  <c r="K27" i="2"/>
  <c r="K321" i="2"/>
  <c r="K327" i="2" s="1"/>
  <c r="K32" i="2"/>
  <c r="V30" i="1" s="1"/>
  <c r="AC29" i="1"/>
  <c r="AC89" i="1" s="1"/>
  <c r="L321" i="2"/>
  <c r="L327" i="2" s="1"/>
  <c r="L32" i="2"/>
  <c r="AC30" i="1" s="1"/>
  <c r="F76" i="2"/>
  <c r="E334" i="2"/>
  <c r="AJ250" i="2"/>
  <c r="AJ267" i="2" s="1"/>
  <c r="E246" i="2"/>
  <c r="E335" i="2" s="1"/>
  <c r="F250" i="2"/>
  <c r="X250" i="2"/>
  <c r="X267" i="2" s="1"/>
  <c r="X273" i="2" s="1"/>
  <c r="X271" i="2" s="1"/>
  <c r="X246" i="2"/>
  <c r="BC74" i="2"/>
  <c r="BC80" i="2" s="1"/>
  <c r="BC79" i="2"/>
  <c r="R250" i="2"/>
  <c r="Q246" i="2"/>
  <c r="Q335" i="2" s="1"/>
  <c r="M89" i="2"/>
  <c r="M96" i="2" s="1"/>
  <c r="M95" i="2"/>
  <c r="AS251" i="2"/>
  <c r="AS268" i="2" s="1"/>
  <c r="O251" i="2"/>
  <c r="N246" i="2"/>
  <c r="N335" i="2" s="1"/>
  <c r="AU54" i="2"/>
  <c r="AU32" i="2"/>
  <c r="T223" i="2"/>
  <c r="BO51" i="1"/>
  <c r="BO52" i="1" s="1"/>
  <c r="AP246" i="2"/>
  <c r="BI250" i="2"/>
  <c r="BI267" i="2" s="1"/>
  <c r="AB54" i="2"/>
  <c r="AB321" i="2"/>
  <c r="AB327" i="2" s="1"/>
  <c r="BQ29" i="1"/>
  <c r="BQ89" i="1" s="1"/>
  <c r="AB32" i="2"/>
  <c r="BQ30" i="1" s="1"/>
  <c r="AQ29" i="1"/>
  <c r="AQ89" i="1" s="1"/>
  <c r="N321" i="2"/>
  <c r="N327" i="2" s="1"/>
  <c r="N32" i="2"/>
  <c r="AQ30" i="1" s="1"/>
  <c r="AC79" i="2"/>
  <c r="AC77" i="2"/>
  <c r="AC80" i="2" s="1"/>
  <c r="AD95" i="2"/>
  <c r="AD89" i="2"/>
  <c r="AD96" i="2" s="1"/>
  <c r="AJ54" i="2"/>
  <c r="AJ32" i="2"/>
  <c r="AJ27" i="2"/>
  <c r="AJ28" i="2" s="1"/>
  <c r="AU246" i="2"/>
  <c r="AH250" i="2"/>
  <c r="AH267" i="2" s="1"/>
  <c r="M251" i="2"/>
  <c r="M268" i="2" s="1"/>
  <c r="AW339" i="2"/>
  <c r="BT93" i="1" s="1"/>
  <c r="O77" i="2"/>
  <c r="O80" i="2" s="1"/>
  <c r="O79" i="2"/>
  <c r="H334" i="2"/>
  <c r="I76" i="2"/>
  <c r="H250" i="2"/>
  <c r="I250" i="2"/>
  <c r="H246" i="2"/>
  <c r="H335" i="2" s="1"/>
  <c r="AK79" i="2"/>
  <c r="AK74" i="2"/>
  <c r="AK80" i="2" s="1"/>
  <c r="AQ74" i="2"/>
  <c r="AQ80" i="2" s="1"/>
  <c r="AQ79" i="2"/>
  <c r="AP334" i="2"/>
  <c r="BS48" i="1" s="1"/>
  <c r="BS49" i="1" s="1"/>
  <c r="AW76" i="2"/>
  <c r="AJ79" i="2"/>
  <c r="AJ74" i="2"/>
  <c r="AJ80" i="2" s="1"/>
  <c r="AD74" i="2"/>
  <c r="AD80" i="2" s="1"/>
  <c r="AD79" i="2"/>
  <c r="AD246" i="2"/>
  <c r="AD250" i="2"/>
  <c r="AD267" i="2" s="1"/>
  <c r="AD273" i="2" s="1"/>
  <c r="AD271" i="2" s="1"/>
  <c r="X54" i="2"/>
  <c r="X27" i="2"/>
  <c r="X28" i="2" s="1"/>
  <c r="X32" i="2"/>
  <c r="S29" i="2"/>
  <c r="S352" i="2"/>
  <c r="S134" i="2"/>
  <c r="S339" i="2"/>
  <c r="BN93" i="1" s="1"/>
  <c r="S343" i="2"/>
  <c r="BN79" i="1" s="1"/>
  <c r="S315" i="2"/>
  <c r="T339" i="2"/>
  <c r="BO93" i="1" s="1"/>
  <c r="AC250" i="2"/>
  <c r="AC267" i="2" s="1"/>
  <c r="AC273" i="2" s="1"/>
  <c r="AC271" i="2" s="1"/>
  <c r="AC246" i="2"/>
  <c r="I246" i="2"/>
  <c r="I335" i="2" s="1"/>
  <c r="I251" i="2"/>
  <c r="I268" i="2" s="1"/>
  <c r="J251" i="2"/>
  <c r="J268" i="2" s="1"/>
  <c r="I89" i="2"/>
  <c r="BI251" i="2"/>
  <c r="BI268" i="2" s="1"/>
  <c r="AW251" i="2"/>
  <c r="AE251" i="2"/>
  <c r="AE268" i="2" s="1"/>
  <c r="AE246" i="2"/>
  <c r="AE95" i="2"/>
  <c r="AE89" i="2"/>
  <c r="AE96" i="2" s="1"/>
  <c r="BD29" i="2"/>
  <c r="BD352" i="2"/>
  <c r="AH74" i="2"/>
  <c r="AH80" i="2" s="1"/>
  <c r="AH79" i="2"/>
  <c r="BT83" i="1"/>
  <c r="BT99" i="1"/>
  <c r="AX32" i="2"/>
  <c r="AX54" i="2"/>
  <c r="AX27" i="2"/>
  <c r="AX28" i="2" s="1"/>
  <c r="K89" i="2"/>
  <c r="F74" i="2"/>
  <c r="X74" i="2"/>
  <c r="X80" i="2" s="1"/>
  <c r="X79" i="2"/>
  <c r="T29" i="2"/>
  <c r="BO28" i="1" s="1"/>
  <c r="BO97" i="1" s="1"/>
  <c r="T352" i="2"/>
  <c r="AC32" i="2"/>
  <c r="AC54" i="2"/>
  <c r="AC27" i="2"/>
  <c r="AC28" i="2" s="1"/>
  <c r="AQ251" i="2"/>
  <c r="AQ268" i="2" s="1"/>
  <c r="L251" i="2"/>
  <c r="L268" i="2" s="1"/>
  <c r="Q334" i="2"/>
  <c r="R76" i="2"/>
  <c r="AY95" i="2"/>
  <c r="AY89" i="2"/>
  <c r="AY96" i="2" s="1"/>
  <c r="AR74" i="2"/>
  <c r="AR80" i="2" s="1"/>
  <c r="AR79" i="2"/>
  <c r="O89" i="2"/>
  <c r="BB32" i="2"/>
  <c r="BB27" i="2"/>
  <c r="BB28" i="2" s="1"/>
  <c r="BB54" i="2"/>
  <c r="AZ32" i="2"/>
  <c r="AZ54" i="2"/>
  <c r="AF27" i="2"/>
  <c r="AF28" i="2" s="1"/>
  <c r="AF54" i="2"/>
  <c r="AF32" i="2"/>
  <c r="E321" i="2"/>
  <c r="E327" i="2" s="1"/>
  <c r="E32" i="2"/>
  <c r="E54" i="2"/>
  <c r="E27" i="2"/>
  <c r="U321" i="2"/>
  <c r="U327" i="2" s="1"/>
  <c r="BP29" i="1"/>
  <c r="BP89" i="1" s="1"/>
  <c r="U32" i="2"/>
  <c r="BP30" i="1" s="1"/>
  <c r="U54" i="2"/>
  <c r="BN90" i="1"/>
  <c r="BN92" i="1"/>
  <c r="BN98" i="1"/>
  <c r="Z54" i="2"/>
  <c r="Z32" i="2"/>
  <c r="Z27" i="2"/>
  <c r="Z28" i="2" s="1"/>
  <c r="AL32" i="2"/>
  <c r="AL54" i="2"/>
  <c r="AL27" i="2"/>
  <c r="AL28" i="2" s="1"/>
  <c r="BT29" i="1"/>
  <c r="AW321" i="2"/>
  <c r="AW327" i="2" s="1"/>
  <c r="AW32" i="2"/>
  <c r="BT30" i="1" s="1"/>
  <c r="AM93" i="2"/>
  <c r="AM96" i="2" s="1"/>
  <c r="AM95" i="2"/>
  <c r="D32" i="2"/>
  <c r="D27" i="2"/>
  <c r="D321" i="2"/>
  <c r="D327" i="2" s="1"/>
  <c r="D54" i="2"/>
  <c r="AU89" i="2"/>
  <c r="AU96" i="2" s="1"/>
  <c r="AU95" i="2"/>
  <c r="AO89" i="2"/>
  <c r="AO96" i="2" s="1"/>
  <c r="AO95" i="2"/>
  <c r="BK250" i="2"/>
  <c r="BK267" i="2" s="1"/>
  <c r="BD250" i="2"/>
  <c r="BD246" i="2"/>
  <c r="BD76" i="2"/>
  <c r="BD334" i="2"/>
  <c r="R134" i="2"/>
  <c r="R315" i="2"/>
  <c r="AL250" i="2"/>
  <c r="AL267" i="2" s="1"/>
  <c r="AL273" i="2" s="1"/>
  <c r="AL271" i="2" s="1"/>
  <c r="AL246" i="2"/>
  <c r="R251" i="2"/>
  <c r="R268" i="2" s="1"/>
  <c r="R246" i="2"/>
  <c r="BM47" i="1" s="1"/>
  <c r="U250" i="2"/>
  <c r="AN250" i="2"/>
  <c r="AN267" i="2" s="1"/>
  <c r="AM251" i="2"/>
  <c r="AM268" i="2" s="1"/>
  <c r="AM246" i="2"/>
  <c r="BR76" i="1"/>
  <c r="BR92" i="1"/>
  <c r="BR98" i="1"/>
  <c r="K74" i="2"/>
  <c r="K80" i="2" s="1"/>
  <c r="K79" i="2"/>
  <c r="BM99" i="1"/>
  <c r="BM83" i="1"/>
  <c r="T32" i="2"/>
  <c r="BO30" i="1" s="1"/>
  <c r="T321" i="2"/>
  <c r="T327" i="2" s="1"/>
  <c r="T54" i="2"/>
  <c r="BO29" i="1"/>
  <c r="BO89" i="1" s="1"/>
  <c r="P246" i="2"/>
  <c r="P335" i="2" s="1"/>
  <c r="P250" i="2"/>
  <c r="BP90" i="1"/>
  <c r="BP98" i="1"/>
  <c r="AV251" i="2"/>
  <c r="AV268" i="2" s="1"/>
  <c r="AH88" i="2"/>
  <c r="AH248" i="2"/>
  <c r="AH197" i="2"/>
  <c r="AJ89" i="2"/>
  <c r="AJ96" i="2" s="1"/>
  <c r="AJ95" i="2"/>
  <c r="AR95" i="2"/>
  <c r="AR89" i="2"/>
  <c r="AR96" i="2" s="1"/>
  <c r="AK251" i="2"/>
  <c r="AK268" i="2" s="1"/>
  <c r="AK273" i="2" s="1"/>
  <c r="AK271" i="2" s="1"/>
  <c r="AH200" i="2"/>
  <c r="Q95" i="2"/>
  <c r="Q93" i="2"/>
  <c r="Q96" i="2" s="1"/>
  <c r="AU74" i="2"/>
  <c r="AU80" i="2" s="1"/>
  <c r="AU79" i="2"/>
  <c r="AL74" i="2"/>
  <c r="AL80" i="2" s="1"/>
  <c r="AL79" i="2"/>
  <c r="AP76" i="2"/>
  <c r="U76" i="2"/>
  <c r="F54" i="2"/>
  <c r="R334" i="2"/>
  <c r="BM48" i="1" s="1"/>
  <c r="BM49" i="1" s="1"/>
  <c r="S76" i="2"/>
  <c r="BH251" i="2"/>
  <c r="BH268" i="2" s="1"/>
  <c r="AI246" i="2"/>
  <c r="AP251" i="2"/>
  <c r="AP268" i="2" s="1"/>
  <c r="BP92" i="1"/>
  <c r="AY251" i="2"/>
  <c r="AY268" i="2" s="1"/>
  <c r="L334" i="2"/>
  <c r="L76" i="2"/>
  <c r="AI339" i="2"/>
  <c r="BR93" i="1" s="1"/>
  <c r="AI88" i="2"/>
  <c r="BM76" i="1"/>
  <c r="BM98" i="1"/>
  <c r="R343" i="2"/>
  <c r="BM79" i="1" s="1"/>
  <c r="R339" i="2"/>
  <c r="BM93" i="1" s="1"/>
  <c r="BM91" i="1" s="1"/>
  <c r="AP92" i="2"/>
  <c r="BD74" i="2"/>
  <c r="AT89" i="2"/>
  <c r="AT96" i="2" s="1"/>
  <c r="AT95" i="2"/>
  <c r="T251" i="2"/>
  <c r="U251" i="2"/>
  <c r="U268" i="2" s="1"/>
  <c r="AT246" i="2"/>
  <c r="AT54" i="2"/>
  <c r="AT27" i="2"/>
  <c r="AT28" i="2" s="1"/>
  <c r="AT32" i="2"/>
  <c r="AJ246" i="2"/>
  <c r="U246" i="2"/>
  <c r="AZ250" i="2"/>
  <c r="AZ267" i="2" s="1"/>
  <c r="AT250" i="2"/>
  <c r="AT267" i="2" s="1"/>
  <c r="AA80" i="2"/>
  <c r="BB74" i="2"/>
  <c r="BB80" i="2" s="1"/>
  <c r="BB79" i="2"/>
  <c r="H29" i="1"/>
  <c r="H89" i="1" s="1"/>
  <c r="I54" i="2"/>
  <c r="T92" i="2"/>
  <c r="Q250" i="2"/>
  <c r="V246" i="2"/>
  <c r="M76" i="2"/>
  <c r="AB250" i="2"/>
  <c r="AB267" i="2" s="1"/>
  <c r="U334" i="2"/>
  <c r="BP48" i="1" s="1"/>
  <c r="BP49" i="1" s="1"/>
  <c r="Y58" i="2"/>
  <c r="Y56" i="2"/>
  <c r="Y63" i="2"/>
  <c r="BD321" i="2"/>
  <c r="BU29" i="1"/>
  <c r="BU89" i="1" s="1"/>
  <c r="BD32" i="2"/>
  <c r="BU30" i="1" s="1"/>
  <c r="BG251" i="2"/>
  <c r="BG268" i="2" s="1"/>
  <c r="AB251" i="2"/>
  <c r="AO251" i="2"/>
  <c r="AO268" i="2" s="1"/>
  <c r="AI251" i="2"/>
  <c r="BL222" i="2"/>
  <c r="BL36" i="2" s="1"/>
  <c r="BL296" i="2" s="1"/>
  <c r="BL264" i="2" s="1"/>
  <c r="BW51" i="1"/>
  <c r="AB246" i="2"/>
  <c r="BB95" i="2"/>
  <c r="BB89" i="2"/>
  <c r="BB96" i="2" s="1"/>
  <c r="J79" i="2"/>
  <c r="J77" i="2"/>
  <c r="J80" i="2" s="1"/>
  <c r="BB246" i="2"/>
  <c r="BB251" i="2"/>
  <c r="BB268" i="2" s="1"/>
  <c r="AO12" i="2"/>
  <c r="AO31" i="2"/>
  <c r="R352" i="2"/>
  <c r="R29" i="2"/>
  <c r="R27" i="2" s="1"/>
  <c r="AV89" i="2"/>
  <c r="AV96" i="2" s="1"/>
  <c r="O54" i="2"/>
  <c r="AX29" i="1"/>
  <c r="AX89" i="1" s="1"/>
  <c r="O32" i="2"/>
  <c r="AX30" i="1" s="1"/>
  <c r="O321" i="2"/>
  <c r="O327" i="2" s="1"/>
  <c r="E29" i="1"/>
  <c r="E89" i="1" s="1"/>
  <c r="F27" i="2"/>
  <c r="F321" i="2"/>
  <c r="F327" i="2" s="1"/>
  <c r="F32" i="2"/>
  <c r="E30" i="1" s="1"/>
  <c r="N251" i="2"/>
  <c r="N268" i="2" s="1"/>
  <c r="AD32" i="2"/>
  <c r="AD27" i="2"/>
  <c r="AD28" i="2" s="1"/>
  <c r="AZ246" i="2"/>
  <c r="AZ251" i="2"/>
  <c r="AZ268" i="2" s="1"/>
  <c r="BD54" i="2"/>
  <c r="AV12" i="2"/>
  <c r="AV31" i="2"/>
  <c r="AV54" i="2" s="1"/>
  <c r="AN95" i="2"/>
  <c r="AN89" i="2"/>
  <c r="AN96" i="2" s="1"/>
  <c r="AU251" i="2"/>
  <c r="AU268" i="2" s="1"/>
  <c r="Y251" i="2"/>
  <c r="Y268" i="2" s="1"/>
  <c r="Y246" i="2"/>
  <c r="M86" i="1"/>
  <c r="M85" i="1"/>
  <c r="AZ89" i="2"/>
  <c r="AZ96" i="2" s="1"/>
  <c r="AZ95" i="2"/>
  <c r="Q76" i="2"/>
  <c r="P334" i="2"/>
  <c r="AM54" i="2"/>
  <c r="AM27" i="2"/>
  <c r="AM28" i="2" s="1"/>
  <c r="AM32" i="2"/>
  <c r="AF95" i="2"/>
  <c r="AF89" i="2"/>
  <c r="AF96" i="2" s="1"/>
  <c r="M74" i="2"/>
  <c r="AK32" i="2"/>
  <c r="AK27" i="2"/>
  <c r="AK28" i="2" s="1"/>
  <c r="AK54" i="2"/>
  <c r="M250" i="2"/>
  <c r="L250" i="2"/>
  <c r="Y89" i="2"/>
  <c r="Y96" i="2" s="1"/>
  <c r="Y95" i="2"/>
  <c r="H27" i="2"/>
  <c r="H321" i="2"/>
  <c r="H32" i="2"/>
  <c r="G30" i="1" s="1"/>
  <c r="G29" i="1"/>
  <c r="G89" i="1" s="1"/>
  <c r="BA251" i="2"/>
  <c r="BA268" i="2" s="1"/>
  <c r="M29" i="2"/>
  <c r="M352" i="2"/>
  <c r="J246" i="2"/>
  <c r="J335" i="2" s="1"/>
  <c r="K250" i="2"/>
  <c r="Y32" i="2"/>
  <c r="Y27" i="2"/>
  <c r="Y28" i="2" s="1"/>
  <c r="W246" i="2"/>
  <c r="W251" i="2"/>
  <c r="W268" i="2" s="1"/>
  <c r="BM221" i="2"/>
  <c r="BM213" i="2"/>
  <c r="R89" i="2"/>
  <c r="R96" i="2" s="1"/>
  <c r="R95" i="2"/>
  <c r="BO217" i="2"/>
  <c r="BN215" i="2"/>
  <c r="AW343" i="2"/>
  <c r="BT79" i="1" s="1"/>
  <c r="AW134" i="2"/>
  <c r="BD339" i="2"/>
  <c r="AW315" i="2"/>
  <c r="M246" i="2"/>
  <c r="M335" i="2" s="1"/>
  <c r="AR251" i="2"/>
  <c r="AR268" i="2" s="1"/>
  <c r="AR273" i="2" s="1"/>
  <c r="AR271" i="2" s="1"/>
  <c r="O352" i="2"/>
  <c r="O29" i="2"/>
  <c r="O27" i="2" s="1"/>
  <c r="W89" i="2"/>
  <c r="W96" i="2" s="1"/>
  <c r="W95" i="2"/>
  <c r="Q321" i="2"/>
  <c r="Q327" i="2" s="1"/>
  <c r="Q32" i="2"/>
  <c r="BL30" i="1" s="1"/>
  <c r="BL29" i="1"/>
  <c r="AH12" i="2"/>
  <c r="AH31" i="2"/>
  <c r="AG251" i="2"/>
  <c r="AG268" i="2" s="1"/>
  <c r="AG246" i="2"/>
  <c r="AW29" i="2"/>
  <c r="AW352" i="2"/>
  <c r="BM29" i="1"/>
  <c r="BM89" i="1" s="1"/>
  <c r="R321" i="2"/>
  <c r="R327" i="2" s="1"/>
  <c r="R32" i="2"/>
  <c r="BM30" i="1" s="1"/>
  <c r="BT92" i="1"/>
  <c r="BT76" i="1"/>
  <c r="BT98" i="1"/>
  <c r="L246" i="2"/>
  <c r="L335" i="2" s="1"/>
  <c r="N89" i="2"/>
  <c r="BS76" i="1"/>
  <c r="BS98" i="1"/>
  <c r="AR54" i="2"/>
  <c r="AR32" i="2"/>
  <c r="AR27" i="2"/>
  <c r="AR28" i="2" s="1"/>
  <c r="N29" i="2"/>
  <c r="N352" i="2"/>
  <c r="AG89" i="2"/>
  <c r="AG96" i="2" s="1"/>
  <c r="AG95" i="2"/>
  <c r="AK89" i="2"/>
  <c r="AK96" i="2" s="1"/>
  <c r="AK95" i="2"/>
  <c r="AP343" i="2"/>
  <c r="BS79" i="1" s="1"/>
  <c r="AP315" i="2"/>
  <c r="AP134" i="2"/>
  <c r="AP339" i="2"/>
  <c r="BS93" i="1" s="1"/>
  <c r="V89" i="2"/>
  <c r="V96" i="2" s="1"/>
  <c r="V102" i="2" s="1"/>
  <c r="V95" i="2"/>
  <c r="V98" i="2" s="1"/>
  <c r="AB343" i="2"/>
  <c r="BQ79" i="1" s="1"/>
  <c r="AB315" i="2"/>
  <c r="AB134" i="2"/>
  <c r="AA12" i="2"/>
  <c r="AA31" i="2"/>
  <c r="AP321" i="2"/>
  <c r="AP327" i="2" s="1"/>
  <c r="AP54" i="2"/>
  <c r="BS29" i="1"/>
  <c r="BS89" i="1" s="1"/>
  <c r="AP32" i="2"/>
  <c r="BS30" i="1" s="1"/>
  <c r="J250" i="2"/>
  <c r="BC25" i="2"/>
  <c r="BC31" i="2"/>
  <c r="BC54" i="2" s="1"/>
  <c r="P352" i="2"/>
  <c r="P29" i="2"/>
  <c r="H56" i="2"/>
  <c r="H58" i="2"/>
  <c r="G38" i="1" s="1"/>
  <c r="G34" i="1"/>
  <c r="H63" i="2"/>
  <c r="J321" i="2"/>
  <c r="J327" i="2" s="1"/>
  <c r="O29" i="1"/>
  <c r="O89" i="1" s="1"/>
  <c r="J32" i="2"/>
  <c r="O30" i="1" s="1"/>
  <c r="J27" i="2"/>
  <c r="J54" i="2"/>
  <c r="AI343" i="2"/>
  <c r="BR79" i="1" s="1"/>
  <c r="AI134" i="2"/>
  <c r="AI315" i="2"/>
  <c r="BQ76" i="1"/>
  <c r="BQ98" i="1"/>
  <c r="BQ92" i="1"/>
  <c r="AI29" i="2"/>
  <c r="AI352" i="2"/>
  <c r="AD58" i="2"/>
  <c r="AD63" i="2"/>
  <c r="AD56" i="2"/>
  <c r="BN47" i="1"/>
  <c r="S335" i="2"/>
  <c r="G93" i="2"/>
  <c r="G96" i="2" s="1"/>
  <c r="G95" i="2"/>
  <c r="F95" i="2"/>
  <c r="F93" i="2"/>
  <c r="F96" i="2" s="1"/>
  <c r="BV28" i="1"/>
  <c r="BK27" i="2"/>
  <c r="BK263" i="2"/>
  <c r="L27" i="2"/>
  <c r="AC28" i="1"/>
  <c r="AC97" i="1" s="1"/>
  <c r="L263" i="2"/>
  <c r="BQ76" i="2"/>
  <c r="BQ197" i="2"/>
  <c r="BR197" i="2" s="1"/>
  <c r="BR92" i="2" s="1"/>
  <c r="BU40" i="1"/>
  <c r="D5" i="26"/>
  <c r="E66" i="28" s="1"/>
  <c r="BU59" i="1"/>
  <c r="BU73" i="1"/>
  <c r="D6" i="26"/>
  <c r="E67" i="28" s="1"/>
  <c r="H96" i="2" l="1"/>
  <c r="H95" i="2"/>
  <c r="R335" i="2"/>
  <c r="AE98" i="2"/>
  <c r="AE102" i="2"/>
  <c r="BN99" i="1"/>
  <c r="AO98" i="2"/>
  <c r="BN83" i="1"/>
  <c r="S354" i="2"/>
  <c r="BC246" i="2"/>
  <c r="BC251" i="2"/>
  <c r="BC268" i="2" s="1"/>
  <c r="BQ99" i="1"/>
  <c r="AO80" i="2"/>
  <c r="U27" i="2"/>
  <c r="BP28" i="1"/>
  <c r="BP97" i="1" s="1"/>
  <c r="U263" i="2"/>
  <c r="BP83" i="1"/>
  <c r="BP99" i="1"/>
  <c r="U95" i="2"/>
  <c r="BC95" i="2"/>
  <c r="BC89" i="2"/>
  <c r="BC96" i="2" s="1"/>
  <c r="AZ98" i="2"/>
  <c r="P77" i="2"/>
  <c r="P80" i="2" s="1"/>
  <c r="AW267" i="2"/>
  <c r="P79" i="2"/>
  <c r="AM273" i="2"/>
  <c r="AM271" i="2" s="1"/>
  <c r="G77" i="2"/>
  <c r="G80" i="2" s="1"/>
  <c r="G79" i="2"/>
  <c r="U96" i="2"/>
  <c r="N79" i="2"/>
  <c r="N77" i="2"/>
  <c r="N80" i="2" s="1"/>
  <c r="N267" i="2"/>
  <c r="E77" i="2"/>
  <c r="E80" i="2" s="1"/>
  <c r="E79" i="2"/>
  <c r="D77" i="2"/>
  <c r="D80" i="2" s="1"/>
  <c r="D79" i="2"/>
  <c r="F268" i="2"/>
  <c r="S93" i="2"/>
  <c r="S96" i="2" s="1"/>
  <c r="S95" i="2"/>
  <c r="G268" i="2"/>
  <c r="G273" i="2" s="1"/>
  <c r="G354" i="2"/>
  <c r="H77" i="2"/>
  <c r="H80" i="2" s="1"/>
  <c r="H79" i="2"/>
  <c r="O267" i="2"/>
  <c r="AZ102" i="2"/>
  <c r="C7" i="26"/>
  <c r="D68" i="28" s="1"/>
  <c r="C10" i="26"/>
  <c r="D71" i="28" s="1"/>
  <c r="B10" i="26"/>
  <c r="C71" i="28" s="1"/>
  <c r="AG273" i="2"/>
  <c r="AG271" i="2" s="1"/>
  <c r="H98" i="2"/>
  <c r="H100" i="2" s="1"/>
  <c r="AV98" i="2"/>
  <c r="AF98" i="2"/>
  <c r="AF102" i="2"/>
  <c r="Y102" i="2"/>
  <c r="Y98" i="2"/>
  <c r="Y100" i="2" s="1"/>
  <c r="W102" i="2"/>
  <c r="W98" i="2"/>
  <c r="W100" i="2" s="1"/>
  <c r="BT47" i="1"/>
  <c r="AW335" i="2"/>
  <c r="W58" i="2"/>
  <c r="W56" i="2"/>
  <c r="W63" i="2"/>
  <c r="BD77" i="2"/>
  <c r="BD79" i="2"/>
  <c r="BD98" i="2" s="1"/>
  <c r="AY98" i="2"/>
  <c r="AY102" i="2"/>
  <c r="AM98" i="2"/>
  <c r="AN273" i="2"/>
  <c r="AN271" i="2" s="1"/>
  <c r="AG102" i="2"/>
  <c r="AG98" i="2"/>
  <c r="AM102" i="2"/>
  <c r="BT34" i="1"/>
  <c r="AW63" i="2"/>
  <c r="AW58" i="2"/>
  <c r="BT38" i="1" s="1"/>
  <c r="AW56" i="2"/>
  <c r="AU98" i="2"/>
  <c r="AU100" i="2" s="1"/>
  <c r="D28" i="2"/>
  <c r="D322" i="2"/>
  <c r="AJ273" i="2"/>
  <c r="AJ271" i="2" s="1"/>
  <c r="AT273" i="2"/>
  <c r="AT271" i="2" s="1"/>
  <c r="L93" i="2"/>
  <c r="L96" i="2" s="1"/>
  <c r="L95" i="2"/>
  <c r="AQ102" i="2"/>
  <c r="BN91" i="1"/>
  <c r="BG273" i="2"/>
  <c r="BG271" i="2" s="1"/>
  <c r="AO273" i="2"/>
  <c r="AO271" i="2" s="1"/>
  <c r="J93" i="2"/>
  <c r="J96" i="2" s="1"/>
  <c r="J102" i="2" s="1"/>
  <c r="J95" i="2"/>
  <c r="J98" i="2" s="1"/>
  <c r="J100" i="2" s="1"/>
  <c r="T335" i="2"/>
  <c r="BO47" i="1"/>
  <c r="K63" i="2"/>
  <c r="K58" i="2"/>
  <c r="V38" i="1" s="1"/>
  <c r="K56" i="2"/>
  <c r="K323" i="2" s="1"/>
  <c r="V34" i="1"/>
  <c r="AB27" i="2"/>
  <c r="AB263" i="2"/>
  <c r="BQ28" i="1"/>
  <c r="BQ97" i="1" s="1"/>
  <c r="AQ273" i="2"/>
  <c r="AQ271" i="2" s="1"/>
  <c r="AR102" i="2"/>
  <c r="AR98" i="2"/>
  <c r="AU273" i="2"/>
  <c r="AU271" i="2" s="1"/>
  <c r="R63" i="2"/>
  <c r="R58" i="2"/>
  <c r="BM38" i="1" s="1"/>
  <c r="BM34" i="1"/>
  <c r="R56" i="2"/>
  <c r="X98" i="2"/>
  <c r="BA102" i="2"/>
  <c r="BA98" i="2"/>
  <c r="BH273" i="2"/>
  <c r="BH271" i="2" s="1"/>
  <c r="BP91" i="1"/>
  <c r="BR91" i="1"/>
  <c r="BC273" i="2"/>
  <c r="BC271" i="2" s="1"/>
  <c r="AA251" i="2"/>
  <c r="AA268" i="2" s="1"/>
  <c r="AA273" i="2" s="1"/>
  <c r="AA271" i="2" s="1"/>
  <c r="BF251" i="2"/>
  <c r="BF268" i="2" s="1"/>
  <c r="BF273" i="2" s="1"/>
  <c r="BF271" i="2" s="1"/>
  <c r="AA246" i="2"/>
  <c r="AB92" i="2"/>
  <c r="AA92" i="2"/>
  <c r="AP27" i="2"/>
  <c r="AP263" i="2"/>
  <c r="BS28" i="1"/>
  <c r="BS97" i="1" s="1"/>
  <c r="AW93" i="2"/>
  <c r="AW96" i="2" s="1"/>
  <c r="AW95" i="2"/>
  <c r="I28" i="2"/>
  <c r="H27" i="1" s="1"/>
  <c r="H26" i="1"/>
  <c r="I322" i="2"/>
  <c r="AJ98" i="2"/>
  <c r="AJ102" i="2"/>
  <c r="AL102" i="2"/>
  <c r="AL98" i="2"/>
  <c r="AL99" i="2" s="1"/>
  <c r="AT98" i="2"/>
  <c r="AT102" i="2"/>
  <c r="G63" i="2"/>
  <c r="G56" i="2"/>
  <c r="F34" i="1"/>
  <c r="G58" i="2"/>
  <c r="F38" i="1" s="1"/>
  <c r="BE34" i="1"/>
  <c r="P56" i="2"/>
  <c r="P63" i="2"/>
  <c r="P58" i="2"/>
  <c r="BE38" i="1" s="1"/>
  <c r="BS83" i="1"/>
  <c r="BS99" i="1"/>
  <c r="D268" i="2"/>
  <c r="D273" i="2" s="1"/>
  <c r="D354" i="2"/>
  <c r="O93" i="2"/>
  <c r="O96" i="2" s="1"/>
  <c r="O102" i="2" s="1"/>
  <c r="O95" i="2"/>
  <c r="O98" i="2" s="1"/>
  <c r="V99" i="2" s="1"/>
  <c r="G28" i="2"/>
  <c r="F27" i="1" s="1"/>
  <c r="G322" i="2"/>
  <c r="F26" i="1"/>
  <c r="Q263" i="2"/>
  <c r="BL28" i="1"/>
  <c r="BL97" i="1" s="1"/>
  <c r="Q27" i="2"/>
  <c r="AE63" i="2"/>
  <c r="AE58" i="2"/>
  <c r="AE56" i="2"/>
  <c r="V58" i="2"/>
  <c r="V56" i="2"/>
  <c r="AJ34" i="1"/>
  <c r="M63" i="2"/>
  <c r="M56" i="2"/>
  <c r="M58" i="2"/>
  <c r="AJ38" i="1" s="1"/>
  <c r="AY273" i="2"/>
  <c r="AY271" i="2" s="1"/>
  <c r="BA273" i="2"/>
  <c r="BA271" i="2" s="1"/>
  <c r="AQ98" i="2"/>
  <c r="AQ100" i="2" s="1"/>
  <c r="BB273" i="2"/>
  <c r="BB271" i="2" s="1"/>
  <c r="N58" i="2"/>
  <c r="AQ38" i="1" s="1"/>
  <c r="N63" i="2"/>
  <c r="N56" i="2"/>
  <c r="AQ34" i="1"/>
  <c r="AI56" i="2"/>
  <c r="AI323" i="2" s="1"/>
  <c r="BR34" i="1"/>
  <c r="AI63" i="2"/>
  <c r="AI327" i="2"/>
  <c r="AB77" i="2"/>
  <c r="AB80" i="2" s="1"/>
  <c r="AB79" i="2"/>
  <c r="S63" i="2"/>
  <c r="S56" i="2"/>
  <c r="S323" i="2" s="1"/>
  <c r="BN34" i="1"/>
  <c r="S58" i="2"/>
  <c r="BN38" i="1" s="1"/>
  <c r="AS58" i="2"/>
  <c r="AS56" i="2"/>
  <c r="AS63" i="2"/>
  <c r="K322" i="2"/>
  <c r="K28" i="2"/>
  <c r="V27" i="1" s="1"/>
  <c r="V26" i="1"/>
  <c r="AX56" i="2"/>
  <c r="AX58" i="2"/>
  <c r="AC58" i="2"/>
  <c r="AC56" i="2"/>
  <c r="AF58" i="2"/>
  <c r="AF63" i="2"/>
  <c r="AF56" i="2"/>
  <c r="BT89" i="1"/>
  <c r="T79" i="2"/>
  <c r="T77" i="2"/>
  <c r="T80" i="2" s="1"/>
  <c r="AS273" i="2"/>
  <c r="AS271" i="2" s="1"/>
  <c r="AX102" i="2"/>
  <c r="AX98" i="2"/>
  <c r="AC98" i="2"/>
  <c r="AC99" i="2" s="1"/>
  <c r="AC102" i="2"/>
  <c r="BO91" i="1"/>
  <c r="BI273" i="2"/>
  <c r="BI271" i="2" s="1"/>
  <c r="X102" i="2"/>
  <c r="AU102" i="2"/>
  <c r="AO102" i="2"/>
  <c r="AV273" i="2"/>
  <c r="AV271" i="2" s="1"/>
  <c r="AZ273" i="2"/>
  <c r="AZ271" i="2" s="1"/>
  <c r="BQ91" i="1"/>
  <c r="E268" i="2"/>
  <c r="E273" i="2" s="1"/>
  <c r="E354" i="2"/>
  <c r="D93" i="2"/>
  <c r="D96" i="2" s="1"/>
  <c r="D95" i="2"/>
  <c r="E95" i="2"/>
  <c r="E98" i="2" s="1"/>
  <c r="E93" i="2"/>
  <c r="E96" i="2" s="1"/>
  <c r="E102" i="2" s="1"/>
  <c r="K93" i="2"/>
  <c r="K96" i="2" s="1"/>
  <c r="K102" i="2" s="1"/>
  <c r="K95" i="2"/>
  <c r="K98" i="2" s="1"/>
  <c r="I93" i="2"/>
  <c r="I96" i="2" s="1"/>
  <c r="I95" i="2"/>
  <c r="N93" i="2"/>
  <c r="N96" i="2" s="1"/>
  <c r="N95" i="2"/>
  <c r="BK268" i="2"/>
  <c r="BK273" i="2" s="1"/>
  <c r="BK271" i="2" s="1"/>
  <c r="BK354" i="2"/>
  <c r="BK355" i="2" s="1"/>
  <c r="Q63" i="2"/>
  <c r="BL34" i="1"/>
  <c r="Q58" i="2"/>
  <c r="BL38" i="1" s="1"/>
  <c r="Q56" i="2"/>
  <c r="L58" i="2"/>
  <c r="AC38" i="1" s="1"/>
  <c r="L56" i="2"/>
  <c r="AC34" i="1"/>
  <c r="AI77" i="2"/>
  <c r="AI80" i="2" s="1"/>
  <c r="AI79" i="2"/>
  <c r="F77" i="2"/>
  <c r="F80" i="2" s="1"/>
  <c r="F102" i="2" s="1"/>
  <c r="F79" i="2"/>
  <c r="F98" i="2" s="1"/>
  <c r="F267" i="2"/>
  <c r="F273" i="2" s="1"/>
  <c r="F354" i="2"/>
  <c r="R267" i="2"/>
  <c r="R354" i="2"/>
  <c r="O268" i="2"/>
  <c r="O354" i="2"/>
  <c r="AU56" i="2"/>
  <c r="AU58" i="2"/>
  <c r="AU63" i="2"/>
  <c r="AW79" i="2"/>
  <c r="AW77" i="2"/>
  <c r="AW80" i="2" s="1"/>
  <c r="AH92" i="2"/>
  <c r="AI92" i="2"/>
  <c r="AQ56" i="2"/>
  <c r="AQ58" i="2"/>
  <c r="AN98" i="2"/>
  <c r="AN102" i="2"/>
  <c r="BR83" i="1"/>
  <c r="BR99" i="1"/>
  <c r="AG58" i="2"/>
  <c r="AG63" i="2"/>
  <c r="AG56" i="2"/>
  <c r="AP267" i="2"/>
  <c r="AP354" i="2"/>
  <c r="AN63" i="2"/>
  <c r="AN56" i="2"/>
  <c r="AN58" i="2"/>
  <c r="AY56" i="2"/>
  <c r="AY58" i="2"/>
  <c r="AY63" i="2"/>
  <c r="T27" i="2"/>
  <c r="T263" i="2"/>
  <c r="BB56" i="2"/>
  <c r="BB58" i="2"/>
  <c r="BB63" i="2"/>
  <c r="AL63" i="2"/>
  <c r="AL58" i="2"/>
  <c r="AL56" i="2"/>
  <c r="AO100" i="2"/>
  <c r="BD267" i="2"/>
  <c r="BD354" i="2"/>
  <c r="U354" i="2"/>
  <c r="U267" i="2"/>
  <c r="U273" i="2" s="1"/>
  <c r="U271" i="2" s="1"/>
  <c r="M77" i="2"/>
  <c r="M80" i="2" s="1"/>
  <c r="M102" i="2" s="1"/>
  <c r="M79" i="2"/>
  <c r="M98" i="2" s="1"/>
  <c r="BQ47" i="1"/>
  <c r="AB335" i="2"/>
  <c r="BL89" i="1"/>
  <c r="BO99" i="1"/>
  <c r="BO83" i="1"/>
  <c r="BS47" i="1"/>
  <c r="AP335" i="2"/>
  <c r="BQ34" i="1"/>
  <c r="AB56" i="2"/>
  <c r="AB63" i="2"/>
  <c r="AB58" i="2"/>
  <c r="BQ38" i="1" s="1"/>
  <c r="AJ56" i="2"/>
  <c r="AJ58" i="2"/>
  <c r="H354" i="2"/>
  <c r="H267" i="2"/>
  <c r="H273" i="2" s="1"/>
  <c r="R79" i="2"/>
  <c r="R98" i="2" s="1"/>
  <c r="R77" i="2"/>
  <c r="R80" i="2" s="1"/>
  <c r="R102" i="2" s="1"/>
  <c r="AZ63" i="2"/>
  <c r="AZ56" i="2"/>
  <c r="AZ58" i="2"/>
  <c r="AD102" i="2"/>
  <c r="AD98" i="2"/>
  <c r="BB102" i="2"/>
  <c r="AV102" i="2"/>
  <c r="BT91" i="1"/>
  <c r="AK102" i="2"/>
  <c r="AK98" i="2"/>
  <c r="AS100" i="2"/>
  <c r="I77" i="2"/>
  <c r="I80" i="2" s="1"/>
  <c r="I79" i="2"/>
  <c r="I267" i="2"/>
  <c r="I273" i="2" s="1"/>
  <c r="I354" i="2"/>
  <c r="X56" i="2"/>
  <c r="X58" i="2"/>
  <c r="X63" i="2"/>
  <c r="S27" i="2"/>
  <c r="BN28" i="1"/>
  <c r="BN97" i="1" s="1"/>
  <c r="S263" i="2"/>
  <c r="S273" i="2" s="1"/>
  <c r="AW268" i="2"/>
  <c r="AW354" i="2"/>
  <c r="BD27" i="2"/>
  <c r="BD263" i="2"/>
  <c r="BU28" i="1"/>
  <c r="BU97" i="1" s="1"/>
  <c r="E63" i="2"/>
  <c r="E56" i="2"/>
  <c r="E58" i="2"/>
  <c r="E322" i="2"/>
  <c r="E28" i="2"/>
  <c r="U63" i="2"/>
  <c r="U56" i="2"/>
  <c r="U58" i="2"/>
  <c r="BP38" i="1" s="1"/>
  <c r="BP34" i="1"/>
  <c r="Z56" i="2"/>
  <c r="Z58" i="2"/>
  <c r="Z63" i="2"/>
  <c r="D58" i="2"/>
  <c r="D56" i="2"/>
  <c r="D63" i="2"/>
  <c r="BD335" i="2"/>
  <c r="BU47" i="1"/>
  <c r="T58" i="2"/>
  <c r="BO38" i="1" s="1"/>
  <c r="BO34" i="1"/>
  <c r="T63" i="2"/>
  <c r="T56" i="2"/>
  <c r="P267" i="2"/>
  <c r="P354" i="2"/>
  <c r="AP77" i="2"/>
  <c r="AP80" i="2" s="1"/>
  <c r="AP79" i="2"/>
  <c r="F58" i="2"/>
  <c r="E38" i="1" s="1"/>
  <c r="F63" i="2"/>
  <c r="F56" i="2"/>
  <c r="E34" i="1"/>
  <c r="T93" i="2"/>
  <c r="T96" i="2" s="1"/>
  <c r="T95" i="2"/>
  <c r="Q267" i="2"/>
  <c r="Q354" i="2"/>
  <c r="AB268" i="2"/>
  <c r="AB354" i="2"/>
  <c r="M267" i="2"/>
  <c r="M354" i="2"/>
  <c r="L267" i="2"/>
  <c r="L273" i="2" s="1"/>
  <c r="L354" i="2"/>
  <c r="AV56" i="2"/>
  <c r="AV63" i="2"/>
  <c r="AV58" i="2"/>
  <c r="V100" i="2"/>
  <c r="AH251" i="2"/>
  <c r="AH268" i="2" s="1"/>
  <c r="AH273" i="2" s="1"/>
  <c r="AH271" i="2" s="1"/>
  <c r="AH246" i="2"/>
  <c r="AP95" i="2"/>
  <c r="AP93" i="2"/>
  <c r="AP96" i="2" s="1"/>
  <c r="AI335" i="2"/>
  <c r="BR47" i="1"/>
  <c r="I56" i="2"/>
  <c r="I63" i="2"/>
  <c r="I58" i="2"/>
  <c r="H38" i="1" s="1"/>
  <c r="H34" i="1"/>
  <c r="AT56" i="2"/>
  <c r="AT63" i="2"/>
  <c r="AT58" i="2"/>
  <c r="AH89" i="2"/>
  <c r="S77" i="2"/>
  <c r="S80" i="2" s="1"/>
  <c r="S79" i="2"/>
  <c r="BB98" i="2"/>
  <c r="U335" i="2"/>
  <c r="BP47" i="1"/>
  <c r="AI89" i="2"/>
  <c r="U79" i="2"/>
  <c r="U77" i="2"/>
  <c r="U80" i="2" s="1"/>
  <c r="T268" i="2"/>
  <c r="T354" i="2"/>
  <c r="L77" i="2"/>
  <c r="L80" i="2" s="1"/>
  <c r="L79" i="2"/>
  <c r="BM26" i="1"/>
  <c r="R28" i="2"/>
  <c r="BM27" i="1" s="1"/>
  <c r="R322" i="2"/>
  <c r="BC56" i="2"/>
  <c r="BC63" i="2"/>
  <c r="BC58" i="2"/>
  <c r="J267" i="2"/>
  <c r="J273" i="2" s="1"/>
  <c r="J354" i="2"/>
  <c r="Q79" i="2"/>
  <c r="Q98" i="2" s="1"/>
  <c r="Q77" i="2"/>
  <c r="Q80" i="2" s="1"/>
  <c r="Q102" i="2" s="1"/>
  <c r="AV27" i="2"/>
  <c r="AV28" i="2" s="1"/>
  <c r="AV32" i="2"/>
  <c r="BD327" i="2"/>
  <c r="AX34" i="1"/>
  <c r="O56" i="2"/>
  <c r="O63" i="2"/>
  <c r="O58" i="2"/>
  <c r="AX38" i="1" s="1"/>
  <c r="O34" i="1"/>
  <c r="J56" i="2"/>
  <c r="J323" i="2" s="1"/>
  <c r="J63" i="2"/>
  <c r="J58" i="2"/>
  <c r="O38" i="1" s="1"/>
  <c r="AP63" i="2"/>
  <c r="BS34" i="1"/>
  <c r="AP56" i="2"/>
  <c r="AP58" i="2"/>
  <c r="BS38" i="1" s="1"/>
  <c r="K267" i="2"/>
  <c r="K273" i="2" s="1"/>
  <c r="K354" i="2"/>
  <c r="BD56" i="2"/>
  <c r="BD58" i="2"/>
  <c r="BU38" i="1" s="1"/>
  <c r="BD63" i="2"/>
  <c r="AO27" i="2"/>
  <c r="AO28" i="2" s="1"/>
  <c r="AO54" i="2"/>
  <c r="AO32" i="2"/>
  <c r="J28" i="2"/>
  <c r="O27" i="1" s="1"/>
  <c r="J322" i="2"/>
  <c r="O26" i="1"/>
  <c r="AH27" i="2"/>
  <c r="AH28" i="2" s="1"/>
  <c r="AH32" i="2"/>
  <c r="AH54" i="2"/>
  <c r="H327" i="2"/>
  <c r="H323" i="2"/>
  <c r="H28" i="2"/>
  <c r="G27" i="1" s="1"/>
  <c r="H322" i="2"/>
  <c r="G26" i="1"/>
  <c r="N354" i="2"/>
  <c r="AA54" i="2"/>
  <c r="AA32" i="2"/>
  <c r="AA27" i="2"/>
  <c r="AA28" i="2" s="1"/>
  <c r="N27" i="2"/>
  <c r="AQ28" i="1"/>
  <c r="AQ97" i="1" s="1"/>
  <c r="N263" i="2"/>
  <c r="N273" i="2" s="1"/>
  <c r="M27" i="2"/>
  <c r="M263" i="2"/>
  <c r="AJ28" i="1"/>
  <c r="AJ97" i="1" s="1"/>
  <c r="G88" i="1"/>
  <c r="G39" i="1"/>
  <c r="O263" i="2"/>
  <c r="AX28" i="1"/>
  <c r="AX97" i="1" s="1"/>
  <c r="BN221" i="2"/>
  <c r="BN213" i="2"/>
  <c r="AI354" i="2"/>
  <c r="AI268" i="2"/>
  <c r="H121" i="2"/>
  <c r="G36" i="1"/>
  <c r="BP217" i="2"/>
  <c r="BO215" i="2"/>
  <c r="BR28" i="1"/>
  <c r="BR97" i="1" s="1"/>
  <c r="AI263" i="2"/>
  <c r="AI27" i="2"/>
  <c r="P263" i="2"/>
  <c r="P27" i="2"/>
  <c r="BE28" i="1"/>
  <c r="BE97" i="1" s="1"/>
  <c r="AR63" i="2"/>
  <c r="AR58" i="2"/>
  <c r="AR56" i="2"/>
  <c r="AW263" i="2"/>
  <c r="AW27" i="2"/>
  <c r="BT28" i="1"/>
  <c r="BT97" i="1" s="1"/>
  <c r="BX51" i="1"/>
  <c r="BM222" i="2"/>
  <c r="BM36" i="2" s="1"/>
  <c r="BM296" i="2" s="1"/>
  <c r="BM264" i="2" s="1"/>
  <c r="AK63" i="2"/>
  <c r="AK58" i="2"/>
  <c r="AK56" i="2"/>
  <c r="E26" i="1"/>
  <c r="F322" i="2"/>
  <c r="F28" i="2"/>
  <c r="E27" i="1" s="1"/>
  <c r="BC32" i="2"/>
  <c r="BC27" i="2"/>
  <c r="BC28" i="2" s="1"/>
  <c r="B7" i="26"/>
  <c r="C68" i="28" s="1"/>
  <c r="BS91" i="1"/>
  <c r="AM56" i="2"/>
  <c r="AM63" i="2"/>
  <c r="AM58" i="2"/>
  <c r="O28" i="2"/>
  <c r="AX27" i="1" s="1"/>
  <c r="O322" i="2"/>
  <c r="AX26" i="1"/>
  <c r="R263" i="2"/>
  <c r="BM28" i="1"/>
  <c r="BM97" i="1" s="1"/>
  <c r="BK322" i="2"/>
  <c r="BK28" i="2"/>
  <c r="L28" i="2"/>
  <c r="AC27" i="1" s="1"/>
  <c r="L322" i="2"/>
  <c r="AC26" i="1"/>
  <c r="BQ92" i="2"/>
  <c r="BU77" i="1"/>
  <c r="BU80" i="1"/>
  <c r="BU75" i="1"/>
  <c r="D8" i="26"/>
  <c r="E69" i="28" s="1"/>
  <c r="BU78" i="1"/>
  <c r="BU54" i="1"/>
  <c r="AE100" i="2" l="1"/>
  <c r="BG99" i="2"/>
  <c r="AZ100" i="2"/>
  <c r="BD80" i="2"/>
  <c r="BD102" i="2" s="1"/>
  <c r="H102" i="2"/>
  <c r="P98" i="2"/>
  <c r="P102" i="2"/>
  <c r="N102" i="2"/>
  <c r="N98" i="2"/>
  <c r="G98" i="2"/>
  <c r="AZ99" i="2"/>
  <c r="U98" i="2"/>
  <c r="U100" i="2" s="1"/>
  <c r="U102" i="2"/>
  <c r="U322" i="2"/>
  <c r="U28" i="2"/>
  <c r="BP27" i="1" s="1"/>
  <c r="BP26" i="1"/>
  <c r="BC98" i="2"/>
  <c r="BC102" i="2"/>
  <c r="S102" i="2"/>
  <c r="S98" i="2"/>
  <c r="D102" i="2"/>
  <c r="D98" i="2"/>
  <c r="G102" i="2"/>
  <c r="L98" i="2"/>
  <c r="AF100" i="2"/>
  <c r="AF99" i="2"/>
  <c r="AY100" i="2"/>
  <c r="BF99" i="2"/>
  <c r="D9" i="26"/>
  <c r="E70" i="28" s="1"/>
  <c r="AV100" i="2"/>
  <c r="AV99" i="2"/>
  <c r="AM100" i="2"/>
  <c r="AM99" i="2"/>
  <c r="AG100" i="2"/>
  <c r="AG99" i="2"/>
  <c r="AW323" i="2"/>
  <c r="AW121" i="2"/>
  <c r="BT36" i="1"/>
  <c r="BT87" i="1"/>
  <c r="BT88" i="1"/>
  <c r="D328" i="2"/>
  <c r="D346" i="2"/>
  <c r="BR87" i="1"/>
  <c r="BR88" i="1"/>
  <c r="AB273" i="2"/>
  <c r="AB271" i="2" s="1"/>
  <c r="AB28" i="2"/>
  <c r="BQ27" i="1" s="1"/>
  <c r="AB322" i="2"/>
  <c r="BQ26" i="1"/>
  <c r="Q273" i="2"/>
  <c r="V36" i="1"/>
  <c r="K121" i="2"/>
  <c r="V88" i="1"/>
  <c r="V39" i="1"/>
  <c r="AJ88" i="1"/>
  <c r="AJ39" i="1"/>
  <c r="M323" i="2"/>
  <c r="M121" i="2"/>
  <c r="AJ36" i="1"/>
  <c r="K351" i="2"/>
  <c r="K355" i="2" s="1"/>
  <c r="K340" i="2"/>
  <c r="K328" i="2"/>
  <c r="K346" i="2"/>
  <c r="AR100" i="2"/>
  <c r="AY99" i="2"/>
  <c r="BM87" i="1"/>
  <c r="BM88" i="1"/>
  <c r="R121" i="2"/>
  <c r="R323" i="2"/>
  <c r="BM36" i="1"/>
  <c r="AI351" i="2"/>
  <c r="AI355" i="2" s="1"/>
  <c r="BR69" i="1" s="1"/>
  <c r="AI340" i="2"/>
  <c r="BR94" i="1" s="1"/>
  <c r="AW102" i="2"/>
  <c r="AW98" i="2"/>
  <c r="AP273" i="2"/>
  <c r="AP271" i="2" s="1"/>
  <c r="X100" i="2"/>
  <c r="AE99" i="2"/>
  <c r="BA100" i="2"/>
  <c r="BH99" i="2"/>
  <c r="AB93" i="2"/>
  <c r="AB96" i="2" s="1"/>
  <c r="AB102" i="2" s="1"/>
  <c r="AB95" i="2"/>
  <c r="AB98" i="2" s="1"/>
  <c r="AA93" i="2"/>
  <c r="AA96" i="2" s="1"/>
  <c r="AA102" i="2" s="1"/>
  <c r="AA95" i="2"/>
  <c r="AA98" i="2" s="1"/>
  <c r="AA100" i="2" s="1"/>
  <c r="BS26" i="1"/>
  <c r="AP28" i="2"/>
  <c r="BS27" i="1" s="1"/>
  <c r="AP322" i="2"/>
  <c r="H85" i="1"/>
  <c r="H100" i="1"/>
  <c r="H96" i="1"/>
  <c r="I346" i="2"/>
  <c r="I328" i="2"/>
  <c r="AQ99" i="2"/>
  <c r="AJ100" i="2"/>
  <c r="T273" i="2"/>
  <c r="T98" i="2"/>
  <c r="Q99" i="2"/>
  <c r="O273" i="2"/>
  <c r="P273" i="2"/>
  <c r="AW273" i="2"/>
  <c r="AW271" i="2" s="1"/>
  <c r="R273" i="2"/>
  <c r="AL100" i="2"/>
  <c r="AS99" i="2"/>
  <c r="AT99" i="2"/>
  <c r="BA99" i="2"/>
  <c r="AT100" i="2"/>
  <c r="G121" i="2"/>
  <c r="F36" i="1"/>
  <c r="G323" i="2"/>
  <c r="F88" i="1"/>
  <c r="F39" i="1"/>
  <c r="BE39" i="1"/>
  <c r="BE88" i="1"/>
  <c r="P121" i="2"/>
  <c r="P323" i="2"/>
  <c r="BE36" i="1"/>
  <c r="G346" i="2"/>
  <c r="G328" i="2"/>
  <c r="F96" i="1"/>
  <c r="F100" i="1"/>
  <c r="Q322" i="2"/>
  <c r="Q28" i="2"/>
  <c r="BL27" i="1" s="1"/>
  <c r="BL26" i="1"/>
  <c r="V96" i="1"/>
  <c r="V85" i="1"/>
  <c r="V100" i="1"/>
  <c r="E100" i="2"/>
  <c r="AH93" i="2"/>
  <c r="AH96" i="2" s="1"/>
  <c r="AH102" i="2" s="1"/>
  <c r="AH95" i="2"/>
  <c r="AH98" i="2" s="1"/>
  <c r="BD273" i="2"/>
  <c r="BD271" i="2" s="1"/>
  <c r="G100" i="2"/>
  <c r="H99" i="2"/>
  <c r="AI121" i="2"/>
  <c r="BR36" i="1"/>
  <c r="T102" i="2"/>
  <c r="L102" i="2"/>
  <c r="N323" i="2"/>
  <c r="N121" i="2"/>
  <c r="AQ36" i="1"/>
  <c r="AQ39" i="1"/>
  <c r="AQ88" i="1"/>
  <c r="S121" i="2"/>
  <c r="BN36" i="1"/>
  <c r="BN88" i="1"/>
  <c r="BN87" i="1"/>
  <c r="AX100" i="2"/>
  <c r="AX99" i="2"/>
  <c r="BE99" i="2"/>
  <c r="AI93" i="2"/>
  <c r="AI96" i="2" s="1"/>
  <c r="AI102" i="2" s="1"/>
  <c r="AI95" i="2"/>
  <c r="AI98" i="2" s="1"/>
  <c r="I98" i="2"/>
  <c r="I102" i="2"/>
  <c r="AP102" i="2"/>
  <c r="AP98" i="2"/>
  <c r="M273" i="2"/>
  <c r="AC100" i="2"/>
  <c r="AJ99" i="2"/>
  <c r="BK99" i="2"/>
  <c r="BD100" i="2"/>
  <c r="K99" i="2"/>
  <c r="K100" i="2"/>
  <c r="BL39" i="1"/>
  <c r="BL88" i="1"/>
  <c r="BL36" i="1"/>
  <c r="Q121" i="2"/>
  <c r="Q323" i="2"/>
  <c r="L323" i="2"/>
  <c r="AC36" i="1"/>
  <c r="L121" i="2"/>
  <c r="AC39" i="1"/>
  <c r="AC88" i="1"/>
  <c r="F100" i="2"/>
  <c r="F99" i="2"/>
  <c r="O100" i="2"/>
  <c r="BO26" i="1"/>
  <c r="T322" i="2"/>
  <c r="T28" i="2"/>
  <c r="BO27" i="1" s="1"/>
  <c r="AN100" i="2"/>
  <c r="AU99" i="2"/>
  <c r="AN99" i="2"/>
  <c r="M100" i="2"/>
  <c r="S322" i="2"/>
  <c r="S28" i="2"/>
  <c r="BN27" i="1" s="1"/>
  <c r="BN26" i="1"/>
  <c r="E39" i="1"/>
  <c r="E88" i="1"/>
  <c r="BI99" i="2"/>
  <c r="BB99" i="2"/>
  <c r="BB100" i="2"/>
  <c r="BD323" i="2"/>
  <c r="BQ88" i="1"/>
  <c r="BQ87" i="1"/>
  <c r="BQ36" i="1"/>
  <c r="AB121" i="2"/>
  <c r="AB323" i="2"/>
  <c r="F323" i="2"/>
  <c r="E36" i="1"/>
  <c r="F121" i="2"/>
  <c r="R99" i="2"/>
  <c r="R100" i="2"/>
  <c r="Y99" i="2"/>
  <c r="AD100" i="2"/>
  <c r="AD99" i="2"/>
  <c r="AR99" i="2"/>
  <c r="AK100" i="2"/>
  <c r="AK99" i="2"/>
  <c r="BD322" i="2"/>
  <c r="BU26" i="1"/>
  <c r="BU96" i="1" s="1"/>
  <c r="BD28" i="2"/>
  <c r="BU27" i="1" s="1"/>
  <c r="E121" i="2"/>
  <c r="E323" i="2"/>
  <c r="E346" i="2"/>
  <c r="E328" i="2"/>
  <c r="U323" i="2"/>
  <c r="BP36" i="1"/>
  <c r="U121" i="2"/>
  <c r="BP88" i="1"/>
  <c r="BP87" i="1"/>
  <c r="D121" i="2"/>
  <c r="D323" i="2"/>
  <c r="BO88" i="1"/>
  <c r="BO87" i="1"/>
  <c r="T323" i="2"/>
  <c r="BO36" i="1"/>
  <c r="T121" i="2"/>
  <c r="J340" i="2"/>
  <c r="J351" i="2"/>
  <c r="J355" i="2" s="1"/>
  <c r="H39" i="1"/>
  <c r="H88" i="1"/>
  <c r="AI273" i="2"/>
  <c r="AI271" i="2" s="1"/>
  <c r="I121" i="2"/>
  <c r="I323" i="2"/>
  <c r="H36" i="1"/>
  <c r="BQ217" i="2"/>
  <c r="BP215" i="2"/>
  <c r="AW322" i="2"/>
  <c r="BT26" i="1"/>
  <c r="AW28" i="2"/>
  <c r="BT27" i="1" s="1"/>
  <c r="BD121" i="2"/>
  <c r="BU36" i="1"/>
  <c r="O121" i="2"/>
  <c r="AX36" i="1"/>
  <c r="O323" i="2"/>
  <c r="AH63" i="2"/>
  <c r="AH56" i="2"/>
  <c r="AH58" i="2"/>
  <c r="AA58" i="2"/>
  <c r="AA63" i="2"/>
  <c r="AA56" i="2"/>
  <c r="BS36" i="1"/>
  <c r="AP121" i="2"/>
  <c r="AP323" i="2"/>
  <c r="AX88" i="1"/>
  <c r="AX39" i="1"/>
  <c r="O85" i="1"/>
  <c r="O100" i="1"/>
  <c r="O96" i="1"/>
  <c r="BS87" i="1"/>
  <c r="BS88" i="1"/>
  <c r="F328" i="2"/>
  <c r="F346" i="2"/>
  <c r="AO56" i="2"/>
  <c r="AO63" i="2"/>
  <c r="AO58" i="2"/>
  <c r="BE26" i="1"/>
  <c r="P28" i="2"/>
  <c r="BE27" i="1" s="1"/>
  <c r="P322" i="2"/>
  <c r="BY51" i="1"/>
  <c r="BN222" i="2"/>
  <c r="BN36" i="2" s="1"/>
  <c r="BN296" i="2" s="1"/>
  <c r="BN264" i="2" s="1"/>
  <c r="J328" i="2"/>
  <c r="J346" i="2"/>
  <c r="E100" i="1"/>
  <c r="E85" i="1"/>
  <c r="E96" i="1"/>
  <c r="R328" i="2"/>
  <c r="R346" i="2"/>
  <c r="BM85" i="1" s="1"/>
  <c r="AI28" i="2"/>
  <c r="BR27" i="1" s="1"/>
  <c r="BR26" i="1"/>
  <c r="AI322" i="2"/>
  <c r="G96" i="1"/>
  <c r="G100" i="1"/>
  <c r="G93" i="1"/>
  <c r="G87" i="1"/>
  <c r="G91" i="1"/>
  <c r="G94" i="1"/>
  <c r="H328" i="2"/>
  <c r="H346" i="2"/>
  <c r="J121" i="2"/>
  <c r="O36" i="1"/>
  <c r="BM100" i="1"/>
  <c r="BM96" i="1"/>
  <c r="AQ26" i="1"/>
  <c r="N28" i="2"/>
  <c r="AQ27" i="1" s="1"/>
  <c r="N322" i="2"/>
  <c r="O88" i="1"/>
  <c r="O39" i="1"/>
  <c r="AX100" i="1"/>
  <c r="AX96" i="1"/>
  <c r="AX85" i="1"/>
  <c r="X99" i="2"/>
  <c r="Q100" i="2"/>
  <c r="O346" i="2"/>
  <c r="O328" i="2"/>
  <c r="BO213" i="2"/>
  <c r="BO221" i="2"/>
  <c r="H340" i="2"/>
  <c r="H351" i="2"/>
  <c r="H355" i="2" s="1"/>
  <c r="AJ26" i="1"/>
  <c r="M28" i="2"/>
  <c r="AJ27" i="1" s="1"/>
  <c r="M322" i="2"/>
  <c r="S351" i="2"/>
  <c r="S355" i="2" s="1"/>
  <c r="BN69" i="1" s="1"/>
  <c r="S340" i="2"/>
  <c r="BN94" i="1" s="1"/>
  <c r="BK328" i="2"/>
  <c r="BK346" i="2"/>
  <c r="AC100" i="1"/>
  <c r="AC96" i="1"/>
  <c r="AC85" i="1"/>
  <c r="L328" i="2"/>
  <c r="L346" i="2"/>
  <c r="BU64" i="1"/>
  <c r="BU66" i="1"/>
  <c r="BU67" i="1" s="1"/>
  <c r="BU76" i="1"/>
  <c r="BU93" i="1"/>
  <c r="BU79" i="1"/>
  <c r="P100" i="2" l="1"/>
  <c r="W99" i="2"/>
  <c r="N100" i="2"/>
  <c r="O99" i="2"/>
  <c r="G99" i="2"/>
  <c r="P99" i="2"/>
  <c r="N99" i="2"/>
  <c r="BP96" i="1"/>
  <c r="BP100" i="1"/>
  <c r="U328" i="2"/>
  <c r="U346" i="2"/>
  <c r="BP85" i="1" s="1"/>
  <c r="L99" i="2"/>
  <c r="BC100" i="2"/>
  <c r="BC99" i="2"/>
  <c r="BJ99" i="2"/>
  <c r="E99" i="2"/>
  <c r="D100" i="2"/>
  <c r="D99" i="2"/>
  <c r="S99" i="2"/>
  <c r="Z99" i="2"/>
  <c r="S100" i="2"/>
  <c r="M99" i="2"/>
  <c r="L100" i="2"/>
  <c r="BO222" i="2"/>
  <c r="BO36" i="2" s="1"/>
  <c r="BO296" i="2" s="1"/>
  <c r="BO264" i="2" s="1"/>
  <c r="BZ51" i="1"/>
  <c r="D10" i="26"/>
  <c r="E71" i="28" s="1"/>
  <c r="AW340" i="2"/>
  <c r="BT94" i="1" s="1"/>
  <c r="AW351" i="2"/>
  <c r="AW355" i="2" s="1"/>
  <c r="BT69" i="1" s="1"/>
  <c r="AB346" i="2"/>
  <c r="BQ85" i="1" s="1"/>
  <c r="AB328" i="2"/>
  <c r="BQ100" i="1"/>
  <c r="BQ96" i="1"/>
  <c r="M340" i="2"/>
  <c r="M351" i="2"/>
  <c r="M355" i="2" s="1"/>
  <c r="V94" i="1"/>
  <c r="V91" i="1"/>
  <c r="V93" i="1"/>
  <c r="V87" i="1"/>
  <c r="AJ93" i="1"/>
  <c r="AJ91" i="1"/>
  <c r="AJ94" i="1"/>
  <c r="AJ87" i="1"/>
  <c r="R351" i="2"/>
  <c r="R355" i="2" s="1"/>
  <c r="BM69" i="1" s="1"/>
  <c r="R340" i="2"/>
  <c r="BM94" i="1" s="1"/>
  <c r="AW100" i="2"/>
  <c r="BD99" i="2"/>
  <c r="BS100" i="1"/>
  <c r="BS96" i="1"/>
  <c r="AP328" i="2"/>
  <c r="AP346" i="2"/>
  <c r="BS85" i="1" s="1"/>
  <c r="U99" i="2"/>
  <c r="T100" i="2"/>
  <c r="AA99" i="2"/>
  <c r="T99" i="2"/>
  <c r="G340" i="2"/>
  <c r="G351" i="2"/>
  <c r="G355" i="2" s="1"/>
  <c r="F94" i="1"/>
  <c r="F93" i="1"/>
  <c r="F91" i="1"/>
  <c r="F87" i="1"/>
  <c r="BE91" i="1"/>
  <c r="BE93" i="1"/>
  <c r="BE87" i="1"/>
  <c r="BE94" i="1"/>
  <c r="P351" i="2"/>
  <c r="P355" i="2" s="1"/>
  <c r="P340" i="2"/>
  <c r="Q328" i="2"/>
  <c r="Q346" i="2"/>
  <c r="BL96" i="1"/>
  <c r="BL100" i="1"/>
  <c r="BL85" i="1"/>
  <c r="AH99" i="2"/>
  <c r="AH100" i="2"/>
  <c r="AO99" i="2"/>
  <c r="AW99" i="2"/>
  <c r="AP99" i="2"/>
  <c r="AP100" i="2"/>
  <c r="BD351" i="2"/>
  <c r="BD355" i="2" s="1"/>
  <c r="BU69" i="1" s="1"/>
  <c r="BD340" i="2"/>
  <c r="AB100" i="2"/>
  <c r="AB99" i="2"/>
  <c r="N351" i="2"/>
  <c r="N355" i="2" s="1"/>
  <c r="N340" i="2"/>
  <c r="AQ93" i="1"/>
  <c r="AQ87" i="1"/>
  <c r="AQ94" i="1"/>
  <c r="AQ91" i="1"/>
  <c r="Q351" i="2"/>
  <c r="Q355" i="2" s="1"/>
  <c r="Q340" i="2"/>
  <c r="L351" i="2"/>
  <c r="L355" i="2" s="1"/>
  <c r="L340" i="2"/>
  <c r="AC87" i="1"/>
  <c r="AC93" i="1"/>
  <c r="J99" i="2"/>
  <c r="I99" i="2"/>
  <c r="I100" i="2"/>
  <c r="BL87" i="1"/>
  <c r="BL93" i="1"/>
  <c r="AI99" i="2"/>
  <c r="AI100" i="2"/>
  <c r="BL91" i="1"/>
  <c r="BL94" i="1"/>
  <c r="AC91" i="1"/>
  <c r="AC94" i="1"/>
  <c r="BO96" i="1"/>
  <c r="BO100" i="1"/>
  <c r="T328" i="2"/>
  <c r="T346" i="2"/>
  <c r="BO85" i="1" s="1"/>
  <c r="S328" i="2"/>
  <c r="S346" i="2"/>
  <c r="BN85" i="1" s="1"/>
  <c r="BN100" i="1"/>
  <c r="BN96" i="1"/>
  <c r="E93" i="1"/>
  <c r="E87" i="1"/>
  <c r="AB340" i="2"/>
  <c r="BQ94" i="1" s="1"/>
  <c r="AB351" i="2"/>
  <c r="AB355" i="2" s="1"/>
  <c r="BQ69" i="1" s="1"/>
  <c r="F340" i="2"/>
  <c r="F351" i="2"/>
  <c r="F355" i="2" s="1"/>
  <c r="E91" i="1"/>
  <c r="E94" i="1"/>
  <c r="BD328" i="2"/>
  <c r="BD346" i="2"/>
  <c r="E340" i="2"/>
  <c r="E351" i="2"/>
  <c r="E355" i="2" s="1"/>
  <c r="U340" i="2"/>
  <c r="BP94" i="1" s="1"/>
  <c r="U351" i="2"/>
  <c r="U355" i="2" s="1"/>
  <c r="BP69" i="1" s="1"/>
  <c r="D340" i="2"/>
  <c r="D351" i="2"/>
  <c r="D355" i="2" s="1"/>
  <c r="T351" i="2"/>
  <c r="T355" i="2" s="1"/>
  <c r="BO69" i="1" s="1"/>
  <c r="T340" i="2"/>
  <c r="BO94" i="1" s="1"/>
  <c r="I340" i="2"/>
  <c r="I351" i="2"/>
  <c r="I355" i="2" s="1"/>
  <c r="H93" i="1"/>
  <c r="H91" i="1"/>
  <c r="H94" i="1"/>
  <c r="H87" i="1"/>
  <c r="P328" i="2"/>
  <c r="P346" i="2"/>
  <c r="N346" i="2"/>
  <c r="N328" i="2"/>
  <c r="BR100" i="1"/>
  <c r="BR96" i="1"/>
  <c r="BR217" i="2"/>
  <c r="BR215" i="2" s="1"/>
  <c r="BQ215" i="2"/>
  <c r="BE100" i="1"/>
  <c r="BE96" i="1"/>
  <c r="BE85" i="1"/>
  <c r="AQ100" i="1"/>
  <c r="AQ96" i="1"/>
  <c r="AQ85" i="1"/>
  <c r="AP351" i="2"/>
  <c r="AP355" i="2" s="1"/>
  <c r="BS69" i="1" s="1"/>
  <c r="AP340" i="2"/>
  <c r="BS94" i="1" s="1"/>
  <c r="O340" i="2"/>
  <c r="O351" i="2"/>
  <c r="O355" i="2" s="1"/>
  <c r="BP213" i="2"/>
  <c r="BP221" i="2"/>
  <c r="BP222" i="2" s="1"/>
  <c r="BP36" i="2" s="1"/>
  <c r="BP296" i="2" s="1"/>
  <c r="BP264" i="2" s="1"/>
  <c r="M328" i="2"/>
  <c r="M346" i="2"/>
  <c r="AI346" i="2"/>
  <c r="BR85" i="1" s="1"/>
  <c r="AI328" i="2"/>
  <c r="O93" i="1"/>
  <c r="O87" i="1"/>
  <c r="O94" i="1"/>
  <c r="O91" i="1"/>
  <c r="AX87" i="1"/>
  <c r="AX91" i="1"/>
  <c r="AX94" i="1"/>
  <c r="AX93" i="1"/>
  <c r="AJ100" i="1"/>
  <c r="AJ85" i="1"/>
  <c r="AJ96" i="1"/>
  <c r="BT96" i="1"/>
  <c r="BT100" i="1"/>
  <c r="AW346" i="2"/>
  <c r="BT85" i="1" s="1"/>
  <c r="AW328" i="2"/>
  <c r="D7" i="26"/>
  <c r="E68" i="28" s="1"/>
  <c r="B11" i="26" l="1"/>
  <c r="C72" i="28" s="1"/>
  <c r="C11" i="26"/>
  <c r="D72" i="28" s="1"/>
  <c r="BQ221" i="2"/>
  <c r="BQ222" i="2" s="1"/>
  <c r="BQ36" i="2" s="1"/>
  <c r="BQ296" i="2" s="1"/>
  <c r="BQ264" i="2" s="1"/>
  <c r="BQ213" i="2"/>
  <c r="BR213" i="2"/>
  <c r="BR221" i="2"/>
  <c r="BR222" i="2" s="1"/>
  <c r="BR36" i="2" s="1"/>
  <c r="BR296" i="2" s="1"/>
  <c r="BR264" i="2" s="1"/>
  <c r="BU50" i="1"/>
  <c r="BU52" i="1" s="1"/>
  <c r="BU83" i="1" l="1"/>
  <c r="BU99" i="1"/>
  <c r="BU84" i="1"/>
  <c r="BU85" i="1"/>
  <c r="BU31" i="1"/>
  <c r="BU100" i="1" s="1"/>
  <c r="BU55" i="1"/>
  <c r="BU86" i="1" l="1"/>
  <c r="D11" i="26"/>
  <c r="E72" i="28" s="1"/>
  <c r="BU92" i="1"/>
  <c r="BU91" i="1" s="1"/>
  <c r="BU90" i="1"/>
  <c r="BU98" i="1"/>
  <c r="BU34" i="1"/>
  <c r="BU94" i="1"/>
  <c r="BU48" i="1"/>
  <c r="BU49" i="1" s="1"/>
  <c r="BU87" i="1" l="1"/>
  <c r="BU88" i="1"/>
  <c r="H17" i="28" l="1"/>
  <c r="O46" i="28" l="1"/>
  <c r="P46" i="28"/>
  <c r="Q46" i="28"/>
  <c r="I17" i="28"/>
  <c r="O45" i="28"/>
  <c r="P45" i="28"/>
  <c r="Q45" i="28"/>
  <c r="BV36" i="1"/>
  <c r="BX36" i="1" l="1"/>
  <c r="BW36" i="1"/>
  <c r="J17" i="28" l="1"/>
  <c r="O41" i="28" l="1"/>
  <c r="P41" i="28"/>
  <c r="Q41" i="28"/>
  <c r="D78" i="28" l="1"/>
  <c r="T80" i="28" l="1"/>
  <c r="U80" i="28"/>
  <c r="V80" i="28"/>
  <c r="W80" i="28"/>
  <c r="E80" i="28" l="1"/>
  <c r="D80" i="28" l="1"/>
  <c r="N31" i="28"/>
  <c r="N33" i="28" l="1"/>
  <c r="BV18" i="1"/>
  <c r="BV19" i="1"/>
  <c r="N44" i="28"/>
  <c r="N32" i="28"/>
  <c r="BV23" i="1"/>
  <c r="BV10" i="1"/>
  <c r="BV11" i="1"/>
  <c r="E3" i="26" l="1"/>
  <c r="F64" i="28" s="1"/>
  <c r="E2" i="26"/>
  <c r="F63" i="28" s="1"/>
  <c r="BV15" i="1"/>
  <c r="BV14" i="1"/>
  <c r="N41" i="28"/>
  <c r="N43" i="28"/>
  <c r="BL174" i="2"/>
  <c r="BV20" i="1"/>
  <c r="BV21" i="1" s="1"/>
  <c r="BL187" i="2" l="1"/>
  <c r="BL182" i="2" s="1"/>
  <c r="R44" i="28"/>
  <c r="BL169" i="2"/>
  <c r="BV24" i="1"/>
  <c r="BV25" i="1" s="1"/>
  <c r="BL190" i="2" l="1"/>
  <c r="BL352" i="2" s="1"/>
  <c r="BV44" i="1"/>
  <c r="R43" i="28"/>
  <c r="BV47" i="1"/>
  <c r="R41" i="28"/>
  <c r="BV60" i="1"/>
  <c r="BV62" i="1"/>
  <c r="BL29" i="2" l="1"/>
  <c r="BL263" i="2" s="1"/>
  <c r="BV97" i="1"/>
  <c r="BV95" i="1"/>
  <c r="BW28" i="1" l="1"/>
  <c r="G12" i="28" l="1"/>
  <c r="G14" i="28" s="1"/>
  <c r="BV16" i="1"/>
  <c r="N40" i="28"/>
  <c r="N42" i="28" s="1"/>
  <c r="BV13" i="1"/>
  <c r="BV17" i="1"/>
  <c r="BV12" i="1"/>
  <c r="N34" i="28"/>
  <c r="E4" i="26" l="1"/>
  <c r="F65" i="28" s="1"/>
  <c r="BV29" i="1"/>
  <c r="BV89" i="1" s="1"/>
  <c r="BV30" i="1"/>
  <c r="BV26" i="1" l="1"/>
  <c r="BV27" i="1"/>
  <c r="BV69" i="1" l="1"/>
  <c r="BV96" i="1"/>
  <c r="X46" i="28" l="1"/>
  <c r="BV50" i="1" l="1"/>
  <c r="BV52" i="1" s="1"/>
  <c r="BV66" i="1"/>
  <c r="BV67" i="1" s="1"/>
  <c r="BV80" i="1"/>
  <c r="BV94" i="1"/>
  <c r="BV85" i="1"/>
  <c r="BV79" i="1"/>
  <c r="BV35" i="1"/>
  <c r="BV39" i="1"/>
  <c r="BV77" i="1"/>
  <c r="BV41" i="1"/>
  <c r="BV64" i="1"/>
  <c r="BV55" i="1"/>
  <c r="BV90" i="1" s="1"/>
  <c r="BV54" i="1"/>
  <c r="BV76" i="1" s="1"/>
  <c r="BV93" i="1"/>
  <c r="BV84" i="1"/>
  <c r="BV78" i="1"/>
  <c r="BV73" i="1"/>
  <c r="BV34" i="1"/>
  <c r="BV88" i="1" s="1"/>
  <c r="BV48" i="1"/>
  <c r="BV49" i="1" s="1"/>
  <c r="BV37" i="1"/>
  <c r="BV53" i="1"/>
  <c r="BV82" i="1" s="1"/>
  <c r="BL311" i="2"/>
  <c r="BV31" i="1"/>
  <c r="BV100" i="1" s="1"/>
  <c r="BL306" i="2"/>
  <c r="BV59" i="1"/>
  <c r="E6" i="26" l="1"/>
  <c r="F67" i="28" s="1"/>
  <c r="E8" i="26"/>
  <c r="F69" i="28" s="1"/>
  <c r="BV86" i="1"/>
  <c r="E11" i="26"/>
  <c r="F72" i="28" s="1"/>
  <c r="E10" i="26"/>
  <c r="F71" i="28" s="1"/>
  <c r="E9" i="26"/>
  <c r="F70" i="28" s="1"/>
  <c r="BV40" i="1"/>
  <c r="E5" i="26"/>
  <c r="F66" i="28" s="1"/>
  <c r="BV87" i="1"/>
  <c r="BV92" i="1"/>
  <c r="BV91" i="1" s="1"/>
  <c r="BV75" i="1"/>
  <c r="E7" i="26"/>
  <c r="F68" i="28" s="1"/>
  <c r="BV99" i="1"/>
  <c r="BV83" i="1"/>
  <c r="BV98" i="1"/>
  <c r="N45" i="28" l="1"/>
  <c r="G8" i="28" l="1"/>
  <c r="N46" i="28"/>
  <c r="G10" i="28"/>
  <c r="G21" i="28" l="1"/>
  <c r="G11" i="28"/>
  <c r="F80" i="28"/>
  <c r="G20" i="28"/>
  <c r="G9" i="28" l="1"/>
  <c r="G80" i="28" s="1"/>
  <c r="N35" i="28"/>
  <c r="L80" i="28"/>
  <c r="N37" i="28"/>
  <c r="N38" i="28" l="1"/>
  <c r="N49" i="28"/>
  <c r="N36" i="28"/>
  <c r="N48" i="28"/>
  <c r="BL7" i="2" l="1"/>
  <c r="H6" i="28"/>
  <c r="H7" i="28" s="1"/>
  <c r="BL5" i="2"/>
  <c r="H4" i="28"/>
  <c r="H80" i="28" s="1"/>
  <c r="H12" i="28"/>
  <c r="H14" i="28" s="1"/>
  <c r="BL18" i="2" l="1"/>
  <c r="BL19" i="2" s="1"/>
  <c r="H5" i="28"/>
  <c r="I80" i="28" s="1"/>
  <c r="BL16" i="2"/>
  <c r="BM7" i="2"/>
  <c r="I6" i="28"/>
  <c r="BL146" i="2"/>
  <c r="BL21" i="2"/>
  <c r="BW23" i="1" s="1"/>
  <c r="BL172" i="2"/>
  <c r="BL168" i="2" s="1"/>
  <c r="BW10" i="1"/>
  <c r="BL185" i="2"/>
  <c r="BL199" i="2"/>
  <c r="BL6" i="2"/>
  <c r="BW11" i="1" s="1"/>
  <c r="BL93" i="2"/>
  <c r="BL144" i="2"/>
  <c r="BM5" i="2"/>
  <c r="I4" i="28"/>
  <c r="I12" i="28"/>
  <c r="I14" i="28" s="1"/>
  <c r="BL14" i="2"/>
  <c r="BL9" i="2"/>
  <c r="BL326" i="2"/>
  <c r="BW17" i="1" s="1"/>
  <c r="BL77" i="2"/>
  <c r="BL8" i="2"/>
  <c r="BW13" i="1" s="1"/>
  <c r="BW12" i="1"/>
  <c r="F3" i="26" l="1"/>
  <c r="G64" i="28" s="1"/>
  <c r="F4" i="26"/>
  <c r="G65" i="28" s="1"/>
  <c r="O34" i="28"/>
  <c r="BM326" i="2"/>
  <c r="BX17" i="1" s="1"/>
  <c r="BM77" i="2"/>
  <c r="BM8" i="2"/>
  <c r="BX13" i="1" s="1"/>
  <c r="BX12" i="1"/>
  <c r="BW14" i="1"/>
  <c r="BL10" i="2"/>
  <c r="BW15" i="1" s="1"/>
  <c r="BL248" i="2"/>
  <c r="BL251" i="2" s="1"/>
  <c r="BL268" i="2" s="1"/>
  <c r="BL193" i="2"/>
  <c r="BL88" i="2"/>
  <c r="BL17" i="2"/>
  <c r="BW20" i="1"/>
  <c r="BW21" i="1" s="1"/>
  <c r="BL181" i="2"/>
  <c r="BL191" i="2"/>
  <c r="Q32" i="28"/>
  <c r="F2" i="26"/>
  <c r="G63" i="28" s="1"/>
  <c r="P32" i="28"/>
  <c r="BL15" i="2"/>
  <c r="BW19" i="1" s="1"/>
  <c r="BL24" i="2"/>
  <c r="BL25" i="2" s="1"/>
  <c r="BW18" i="1"/>
  <c r="BL166" i="2"/>
  <c r="BM174" i="2"/>
  <c r="O32" i="28"/>
  <c r="P34" i="28"/>
  <c r="BM16" i="2"/>
  <c r="I5" i="28"/>
  <c r="BN5" i="2"/>
  <c r="J4" i="28"/>
  <c r="BN14" i="2"/>
  <c r="J12" i="28"/>
  <c r="J14" i="28" s="1"/>
  <c r="J5" i="28"/>
  <c r="BN16" i="2"/>
  <c r="BN18" i="2"/>
  <c r="BN9" i="2"/>
  <c r="BM14" i="2"/>
  <c r="BL73" i="2"/>
  <c r="BL74" i="2" s="1"/>
  <c r="I7" i="28"/>
  <c r="BL11" i="2"/>
  <c r="BM146" i="2"/>
  <c r="BM73" i="2" s="1"/>
  <c r="BM74" i="2" s="1"/>
  <c r="BM21" i="2"/>
  <c r="BX23" i="1" s="1"/>
  <c r="BM172" i="2"/>
  <c r="BM168" i="2" s="1"/>
  <c r="BX10" i="1"/>
  <c r="BM185" i="2"/>
  <c r="BM199" i="2"/>
  <c r="BM6" i="2"/>
  <c r="BX11" i="1" s="1"/>
  <c r="BM93" i="2"/>
  <c r="BM144" i="2"/>
  <c r="BM70" i="2" s="1"/>
  <c r="BM9" i="2"/>
  <c r="BN7" i="2"/>
  <c r="J6" i="28"/>
  <c r="J7" i="28"/>
  <c r="Q34" i="28"/>
  <c r="BM18" i="2"/>
  <c r="BM19" i="2" s="1"/>
  <c r="BL247" i="2"/>
  <c r="BL70" i="2"/>
  <c r="G4" i="26" l="1"/>
  <c r="H65" i="28" s="1"/>
  <c r="G3" i="26"/>
  <c r="H64" i="28" s="1"/>
  <c r="BN19" i="2"/>
  <c r="BN174" i="2"/>
  <c r="BX14" i="1"/>
  <c r="BM10" i="2"/>
  <c r="BX15" i="1" s="1"/>
  <c r="BN11" i="2"/>
  <c r="BN144" i="2"/>
  <c r="BN70" i="2" s="1"/>
  <c r="BN71" i="2" s="1"/>
  <c r="BN146" i="2"/>
  <c r="BN73" i="2" s="1"/>
  <c r="BN74" i="2" s="1"/>
  <c r="BN21" i="2"/>
  <c r="BY23" i="1" s="1"/>
  <c r="BN172" i="2"/>
  <c r="BN168" i="2" s="1"/>
  <c r="BY10" i="1"/>
  <c r="BN185" i="2"/>
  <c r="BN199" i="2"/>
  <c r="BN88" i="2" s="1"/>
  <c r="BN95" i="2" s="1"/>
  <c r="BN6" i="2"/>
  <c r="BY11" i="1" s="1"/>
  <c r="BN93" i="2"/>
  <c r="BL131" i="2"/>
  <c r="P31" i="28"/>
  <c r="BO5" i="2"/>
  <c r="BZ10" i="1" s="1"/>
  <c r="I2" i="26" s="1"/>
  <c r="BO18" i="2"/>
  <c r="BO14" i="2"/>
  <c r="BZ18" i="1" s="1"/>
  <c r="BO9" i="2"/>
  <c r="BZ14" i="1" s="1"/>
  <c r="BO16" i="2"/>
  <c r="BZ20" i="1" s="1"/>
  <c r="BX18" i="1"/>
  <c r="BM15" i="2"/>
  <c r="BX19" i="1" s="1"/>
  <c r="BM24" i="2"/>
  <c r="BM25" i="2" s="1"/>
  <c r="BN326" i="2"/>
  <c r="BY17" i="1" s="1"/>
  <c r="BN77" i="2"/>
  <c r="BN8" i="2"/>
  <c r="BY13" i="1" s="1"/>
  <c r="BY12" i="1"/>
  <c r="BL12" i="2"/>
  <c r="BW16" i="1"/>
  <c r="BL31" i="2"/>
  <c r="BY14" i="1"/>
  <c r="BN10" i="2"/>
  <c r="BY15" i="1" s="1"/>
  <c r="BM17" i="2"/>
  <c r="BX20" i="1"/>
  <c r="BX21" i="1" s="1"/>
  <c r="P33" i="28"/>
  <c r="BM79" i="2"/>
  <c r="BL79" i="2"/>
  <c r="BL71" i="2"/>
  <c r="BL80" i="2" s="1"/>
  <c r="BM247" i="2"/>
  <c r="BM11" i="2"/>
  <c r="BL277" i="2"/>
  <c r="BL353" i="2"/>
  <c r="BL179" i="2"/>
  <c r="BW44" i="1" s="1"/>
  <c r="BM181" i="2"/>
  <c r="BM187" i="2"/>
  <c r="BM182" i="2" s="1"/>
  <c r="BN17" i="2"/>
  <c r="BY20" i="1"/>
  <c r="Q31" i="28"/>
  <c r="BL246" i="2"/>
  <c r="BL250" i="2"/>
  <c r="BO7" i="2"/>
  <c r="BZ12" i="1" s="1"/>
  <c r="BY18" i="1"/>
  <c r="BN15" i="2"/>
  <c r="BY19" i="1" s="1"/>
  <c r="BN24" i="2"/>
  <c r="BN25" i="2" s="1"/>
  <c r="BM71" i="2"/>
  <c r="BM80" i="2" s="1"/>
  <c r="BM248" i="2"/>
  <c r="BM251" i="2" s="1"/>
  <c r="BM268" i="2" s="1"/>
  <c r="BM193" i="2"/>
  <c r="BL105" i="2"/>
  <c r="BL107" i="2" s="1"/>
  <c r="O31" i="28"/>
  <c r="BM169" i="2"/>
  <c r="Q33" i="28"/>
  <c r="BM191" i="2"/>
  <c r="BW24" i="1"/>
  <c r="BW25" i="1" s="1"/>
  <c r="BM88" i="2"/>
  <c r="O33" i="28"/>
  <c r="G2" i="26"/>
  <c r="H63" i="28" s="1"/>
  <c r="BL95" i="2"/>
  <c r="BL89" i="2"/>
  <c r="BL96" i="2" s="1"/>
  <c r="BZ21" i="1" l="1"/>
  <c r="BZ24" i="1"/>
  <c r="BZ25" i="1" s="1"/>
  <c r="H3" i="26"/>
  <c r="I64" i="28" s="1"/>
  <c r="H4" i="26"/>
  <c r="I65" i="28" s="1"/>
  <c r="BN169" i="2"/>
  <c r="BN166" i="2" s="1"/>
  <c r="BO17" i="2"/>
  <c r="BO10" i="2"/>
  <c r="BZ15" i="1" s="1"/>
  <c r="BO19" i="2"/>
  <c r="BL159" i="2"/>
  <c r="BY21" i="1"/>
  <c r="BN191" i="2"/>
  <c r="BN353" i="2" s="1"/>
  <c r="BL98" i="2"/>
  <c r="BL99" i="2" s="1"/>
  <c r="BY24" i="1"/>
  <c r="BY25" i="1" s="1"/>
  <c r="BO174" i="2"/>
  <c r="BN79" i="2"/>
  <c r="BN98" i="2" s="1"/>
  <c r="BN248" i="2"/>
  <c r="BN251" i="2" s="1"/>
  <c r="BN268" i="2" s="1"/>
  <c r="BN193" i="2"/>
  <c r="BM246" i="2"/>
  <c r="BM277" i="2"/>
  <c r="BM353" i="2"/>
  <c r="BM131" i="2"/>
  <c r="H2" i="26"/>
  <c r="I63" i="28" s="1"/>
  <c r="BP7" i="2"/>
  <c r="BL102" i="2"/>
  <c r="BO24" i="2"/>
  <c r="BO25" i="2" s="1"/>
  <c r="BO15" i="2"/>
  <c r="BZ19" i="1" s="1"/>
  <c r="BN187" i="2"/>
  <c r="BN182" i="2" s="1"/>
  <c r="BM179" i="2"/>
  <c r="BN181" i="2"/>
  <c r="BN80" i="2"/>
  <c r="BN89" i="2"/>
  <c r="BN96" i="2" s="1"/>
  <c r="BM190" i="2"/>
  <c r="BN247" i="2"/>
  <c r="BO11" i="2"/>
  <c r="BZ16" i="1" s="1"/>
  <c r="BO144" i="2"/>
  <c r="BO146" i="2"/>
  <c r="BO73" i="2" s="1"/>
  <c r="BO74" i="2" s="1"/>
  <c r="BO21" i="2"/>
  <c r="BZ23" i="1" s="1"/>
  <c r="BO172" i="2"/>
  <c r="BO168" i="2" s="1"/>
  <c r="BO185" i="2"/>
  <c r="BO199" i="2"/>
  <c r="BO88" i="2" s="1"/>
  <c r="BO6" i="2"/>
  <c r="BZ11" i="1" s="1"/>
  <c r="I3" i="26" s="1"/>
  <c r="BO93" i="2"/>
  <c r="R33" i="28"/>
  <c r="R34" i="28"/>
  <c r="BW60" i="1"/>
  <c r="BL284" i="2"/>
  <c r="BW62" i="1" s="1"/>
  <c r="BX24" i="1"/>
  <c r="BX25" i="1" s="1"/>
  <c r="P40" i="28"/>
  <c r="P42" i="28" s="1"/>
  <c r="BN31" i="2"/>
  <c r="BN12" i="2"/>
  <c r="BY16" i="1"/>
  <c r="R31" i="28"/>
  <c r="R32" i="28"/>
  <c r="BM250" i="2"/>
  <c r="BO326" i="2"/>
  <c r="BZ17" i="1" s="1"/>
  <c r="I4" i="26" s="1"/>
  <c r="BO77" i="2"/>
  <c r="BO8" i="2"/>
  <c r="BZ13" i="1" s="1"/>
  <c r="BL354" i="2"/>
  <c r="BL267" i="2"/>
  <c r="BM31" i="2"/>
  <c r="BM12" i="2"/>
  <c r="BX16" i="1"/>
  <c r="O40" i="28"/>
  <c r="O42" i="28" s="1"/>
  <c r="BM95" i="2"/>
  <c r="BM98" i="2" s="1"/>
  <c r="BM89" i="2"/>
  <c r="BM96" i="2" s="1"/>
  <c r="BM102" i="2" s="1"/>
  <c r="BW47" i="1"/>
  <c r="BL335" i="2"/>
  <c r="BL32" i="2"/>
  <c r="BW30" i="1" s="1"/>
  <c r="BL321" i="2"/>
  <c r="BL27" i="2"/>
  <c r="BW29" i="1"/>
  <c r="BW89" i="1" s="1"/>
  <c r="Q40" i="28"/>
  <c r="Q42" i="28" s="1"/>
  <c r="BM166" i="2"/>
  <c r="BO169" i="2" l="1"/>
  <c r="BO166" i="2" s="1"/>
  <c r="BL100" i="2"/>
  <c r="BN277" i="2"/>
  <c r="BY60" i="1" s="1"/>
  <c r="BN190" i="2"/>
  <c r="BN352" i="2" s="1"/>
  <c r="BP174" i="2"/>
  <c r="BO95" i="2"/>
  <c r="BO89" i="2"/>
  <c r="BO96" i="2" s="1"/>
  <c r="BX47" i="1"/>
  <c r="BM335" i="2"/>
  <c r="BW95" i="1"/>
  <c r="BW97" i="1"/>
  <c r="BO31" i="2"/>
  <c r="BZ29" i="1" s="1"/>
  <c r="BZ89" i="1" s="1"/>
  <c r="BO12" i="2"/>
  <c r="BN131" i="2"/>
  <c r="BP77" i="2"/>
  <c r="BM354" i="2"/>
  <c r="BM267" i="2"/>
  <c r="BN102" i="2"/>
  <c r="BN99" i="2"/>
  <c r="BN100" i="2"/>
  <c r="BM99" i="2"/>
  <c r="BM100" i="2"/>
  <c r="BO187" i="2"/>
  <c r="BO182" i="2" s="1"/>
  <c r="BN179" i="2"/>
  <c r="BY44" i="1" s="1"/>
  <c r="BO181" i="2"/>
  <c r="BL323" i="2"/>
  <c r="BL327" i="2"/>
  <c r="BN32" i="2"/>
  <c r="BY30" i="1" s="1"/>
  <c r="BN321" i="2"/>
  <c r="BY29" i="1"/>
  <c r="BY89" i="1" s="1"/>
  <c r="BX44" i="1"/>
  <c r="BM105" i="2"/>
  <c r="BM107" i="2" s="1"/>
  <c r="BM159" i="2"/>
  <c r="BX60" i="1"/>
  <c r="BM284" i="2"/>
  <c r="BX62" i="1" s="1"/>
  <c r="BL28" i="2"/>
  <c r="BW27" i="1" s="1"/>
  <c r="BW26" i="1"/>
  <c r="BW96" i="1" s="1"/>
  <c r="BL322" i="2"/>
  <c r="BL328" i="2" s="1"/>
  <c r="BO248" i="2"/>
  <c r="BO251" i="2" s="1"/>
  <c r="BO268" i="2" s="1"/>
  <c r="BO193" i="2"/>
  <c r="BO191" i="2"/>
  <c r="BQ7" i="2"/>
  <c r="BO247" i="2"/>
  <c r="BO250" i="2" s="1"/>
  <c r="BM32" i="2"/>
  <c r="BX30" i="1" s="1"/>
  <c r="BM321" i="2"/>
  <c r="BX29" i="1"/>
  <c r="BX89" i="1" s="1"/>
  <c r="R40" i="28"/>
  <c r="R42" i="28" s="1"/>
  <c r="BO70" i="2"/>
  <c r="BN246" i="2"/>
  <c r="BN105" i="2"/>
  <c r="BN107" i="2" s="1"/>
  <c r="BM352" i="2"/>
  <c r="BM29" i="2"/>
  <c r="BN250" i="2"/>
  <c r="BP169" i="2" l="1"/>
  <c r="BN284" i="2"/>
  <c r="BY62" i="1" s="1"/>
  <c r="BN29" i="2"/>
  <c r="BN27" i="2" s="1"/>
  <c r="BO190" i="2"/>
  <c r="BO29" i="2" s="1"/>
  <c r="BN159" i="2"/>
  <c r="BM263" i="2"/>
  <c r="BX28" i="1"/>
  <c r="BX97" i="1" s="1"/>
  <c r="BR7" i="2"/>
  <c r="BO32" i="2"/>
  <c r="BZ30" i="1" s="1"/>
  <c r="BO321" i="2"/>
  <c r="BO131" i="2"/>
  <c r="BN335" i="2"/>
  <c r="BY47" i="1"/>
  <c r="BL351" i="2"/>
  <c r="BL355" i="2" s="1"/>
  <c r="BW69" i="1" s="1"/>
  <c r="BN323" i="2"/>
  <c r="BN327" i="2"/>
  <c r="BP187" i="2"/>
  <c r="BP182" i="2" s="1"/>
  <c r="BO179" i="2"/>
  <c r="BO79" i="2"/>
  <c r="BO98" i="2" s="1"/>
  <c r="BO71" i="2"/>
  <c r="BO80" i="2" s="1"/>
  <c r="BO102" i="2" s="1"/>
  <c r="BM323" i="2"/>
  <c r="BM327" i="2"/>
  <c r="BO105" i="2"/>
  <c r="BO107" i="2" s="1"/>
  <c r="BQ77" i="2"/>
  <c r="BO277" i="2"/>
  <c r="BO353" i="2"/>
  <c r="BO354" i="2"/>
  <c r="BO267" i="2"/>
  <c r="BM27" i="2"/>
  <c r="BX95" i="1"/>
  <c r="BO246" i="2"/>
  <c r="BN354" i="2"/>
  <c r="BN267" i="2"/>
  <c r="BY95" i="1"/>
  <c r="BO263" i="2" l="1"/>
  <c r="BZ28" i="1"/>
  <c r="BO159" i="2"/>
  <c r="BZ44" i="1"/>
  <c r="BO284" i="2"/>
  <c r="BZ62" i="1" s="1"/>
  <c r="BZ60" i="1"/>
  <c r="BO335" i="2"/>
  <c r="BZ47" i="1"/>
  <c r="BO352" i="2"/>
  <c r="BN263" i="2"/>
  <c r="BY28" i="1"/>
  <c r="BY97" i="1" s="1"/>
  <c r="BP190" i="2"/>
  <c r="BO27" i="2"/>
  <c r="BO323" i="2"/>
  <c r="BO327" i="2"/>
  <c r="BM351" i="2"/>
  <c r="BM355" i="2" s="1"/>
  <c r="BX69" i="1" s="1"/>
  <c r="BN322" i="2"/>
  <c r="BN328" i="2" s="1"/>
  <c r="BN28" i="2"/>
  <c r="BY27" i="1" s="1"/>
  <c r="BY26" i="1"/>
  <c r="BO99" i="2"/>
  <c r="BO100" i="2"/>
  <c r="BN351" i="2"/>
  <c r="BN355" i="2" s="1"/>
  <c r="BY69" i="1" s="1"/>
  <c r="BR77" i="2"/>
  <c r="BM322" i="2"/>
  <c r="BM328" i="2" s="1"/>
  <c r="BM28" i="2"/>
  <c r="BX27" i="1" s="1"/>
  <c r="BX26" i="1"/>
  <c r="BZ97" i="1" l="1"/>
  <c r="BZ95" i="1"/>
  <c r="BO28" i="2"/>
  <c r="BZ27" i="1" s="1"/>
  <c r="BZ26" i="1"/>
  <c r="BZ96" i="1" s="1"/>
  <c r="BO322" i="2"/>
  <c r="BO328" i="2" s="1"/>
  <c r="BP29" i="2"/>
  <c r="BP263" i="2" s="1"/>
  <c r="BP352" i="2"/>
  <c r="BY96" i="1"/>
  <c r="BX96" i="1"/>
  <c r="BO351" i="2"/>
  <c r="BO355" i="2" s="1"/>
  <c r="BZ69" i="1" s="1"/>
  <c r="Q38" i="28" l="1"/>
  <c r="Q37" i="28"/>
  <c r="Q49" i="28"/>
  <c r="Q35" i="28"/>
  <c r="Q36" i="28"/>
  <c r="Q48" i="28"/>
  <c r="O35" i="28"/>
  <c r="O48" i="28"/>
  <c r="O36" i="28"/>
  <c r="O37" i="28"/>
  <c r="O49" i="28"/>
  <c r="O38" i="28"/>
  <c r="P35" i="28"/>
  <c r="P48" i="28"/>
  <c r="P36" i="28"/>
  <c r="P37" i="28"/>
  <c r="P49" i="28"/>
  <c r="P38" i="28"/>
  <c r="BL55" i="2" l="1"/>
  <c r="BW35" i="1" s="1"/>
  <c r="BL57" i="2"/>
  <c r="BL59" i="2"/>
  <c r="BL324" i="2" s="1"/>
  <c r="H8" i="28"/>
  <c r="J80" i="28" s="1"/>
  <c r="M80" i="28" s="1"/>
  <c r="H9" i="28"/>
  <c r="K80" i="28" s="1"/>
  <c r="H10" i="28"/>
  <c r="H11" i="28"/>
  <c r="H20" i="28"/>
  <c r="H21" i="28"/>
  <c r="D82" i="28" l="1"/>
  <c r="BL240" i="2"/>
  <c r="BL260" i="2"/>
  <c r="BW37" i="1"/>
  <c r="BL60" i="2"/>
  <c r="BL61" i="2"/>
  <c r="BW41" i="1" s="1"/>
  <c r="BL120" i="2"/>
  <c r="BL347" i="2" s="1"/>
  <c r="BW73" i="1" s="1"/>
  <c r="BL121" i="2"/>
  <c r="BL124" i="2"/>
  <c r="BL237" i="2" s="1"/>
  <c r="BL259" i="2"/>
  <c r="BW39" i="1"/>
  <c r="BL329" i="2"/>
  <c r="BL345" i="2"/>
  <c r="R45" i="28"/>
  <c r="F6" i="26" l="1"/>
  <c r="G67" i="28" s="1"/>
  <c r="BW53" i="1"/>
  <c r="BW82" i="1" s="1"/>
  <c r="F8" i="26"/>
  <c r="G69" i="28" s="1"/>
  <c r="BW75" i="1"/>
  <c r="BL122" i="2"/>
  <c r="BW77" i="1" s="1"/>
  <c r="BL344" i="2"/>
  <c r="BW80" i="1" s="1"/>
  <c r="BL297" i="2"/>
  <c r="BL295" i="2" s="1"/>
  <c r="BL299" i="2" s="1"/>
  <c r="BW64" i="1" s="1"/>
  <c r="BL229" i="2"/>
  <c r="BV3" i="1"/>
  <c r="F5" i="26"/>
  <c r="G66" i="28" s="1"/>
  <c r="BW40" i="1"/>
  <c r="BW78" i="1"/>
  <c r="BL273" i="2"/>
  <c r="BL275" i="2" s="1"/>
  <c r="F9" i="26" l="1"/>
  <c r="G70" i="28" s="1"/>
  <c r="BL132" i="2"/>
  <c r="BW54" i="1"/>
  <c r="BV5" i="1"/>
  <c r="BV4" i="1"/>
  <c r="BL303" i="2"/>
  <c r="BW59" i="1"/>
  <c r="BL339" i="2" l="1"/>
  <c r="BW93" i="1" s="1"/>
  <c r="BL343" i="2"/>
  <c r="BW79" i="1" s="1"/>
  <c r="BW76" i="1"/>
  <c r="R46" i="28"/>
  <c r="BW66" i="1"/>
  <c r="BW67" i="1" s="1"/>
  <c r="BL312" i="2"/>
  <c r="F7" i="26" l="1"/>
  <c r="G68" i="28" s="1"/>
  <c r="F10" i="26"/>
  <c r="G71" i="28" s="1"/>
  <c r="BM311" i="2"/>
  <c r="BL307" i="2"/>
  <c r="BL140" i="2" s="1"/>
  <c r="BL313" i="2"/>
  <c r="R48" i="28" l="1"/>
  <c r="R36" i="28"/>
  <c r="R35" i="28"/>
  <c r="BL138" i="2"/>
  <c r="BL130" i="2" s="1"/>
  <c r="BW50" i="1"/>
  <c r="BW52" i="1" s="1"/>
  <c r="BL333" i="2"/>
  <c r="BM306" i="2"/>
  <c r="BL225" i="2"/>
  <c r="BL226" i="2" s="1"/>
  <c r="BL35" i="2" s="1"/>
  <c r="BL34" i="2" s="1"/>
  <c r="R37" i="28" l="1"/>
  <c r="R38" i="28"/>
  <c r="R49" i="28"/>
  <c r="BL338" i="2"/>
  <c r="BL106" i="2"/>
  <c r="BL108" i="2" s="1"/>
  <c r="BW55" i="1"/>
  <c r="BL334" i="2"/>
  <c r="BL315" i="2"/>
  <c r="BL134" i="2"/>
  <c r="BW99" i="1"/>
  <c r="BW83" i="1"/>
  <c r="BW84" i="1"/>
  <c r="BL346" i="2"/>
  <c r="BW85" i="1" s="1"/>
  <c r="BW31" i="1"/>
  <c r="BL54" i="2"/>
  <c r="BW86" i="1" l="1"/>
  <c r="F11" i="26"/>
  <c r="G72" i="28" s="1"/>
  <c r="BW98" i="1"/>
  <c r="BW92" i="1"/>
  <c r="BW90" i="1"/>
  <c r="BW48" i="1"/>
  <c r="BW49" i="1" s="1"/>
  <c r="BL340" i="2"/>
  <c r="BW94" i="1" s="1"/>
  <c r="BW91" i="1"/>
  <c r="BW100" i="1"/>
  <c r="BW34" i="1"/>
  <c r="BL63" i="2"/>
  <c r="BW87" i="1" l="1"/>
  <c r="BW88" i="1"/>
  <c r="BP70" i="2" l="1"/>
  <c r="BP73" i="2"/>
  <c r="BP88" i="2"/>
  <c r="BM333" i="2"/>
  <c r="BN333" i="2"/>
  <c r="BO333" i="2"/>
  <c r="BP333" i="2"/>
  <c r="BQ333" i="2"/>
  <c r="BR333" i="2"/>
  <c r="BP71" i="2" l="1"/>
  <c r="BP79" i="2"/>
  <c r="BP95" i="2"/>
  <c r="BM346" i="2"/>
  <c r="BX85" i="1" s="1"/>
  <c r="G11" i="26" s="1"/>
  <c r="BN346" i="2"/>
  <c r="BY85" i="1" s="1"/>
  <c r="H11" i="26" s="1"/>
  <c r="BO346" i="2"/>
  <c r="BZ85" i="1" s="1"/>
  <c r="BX84" i="1"/>
  <c r="BX86" i="1" s="1"/>
  <c r="BY84" i="1"/>
  <c r="BY86" i="1" s="1"/>
  <c r="BZ84" i="1"/>
  <c r="BZ86" i="1" s="1"/>
  <c r="BP74" i="2"/>
  <c r="BP80" i="2" l="1"/>
  <c r="BP98" i="2"/>
  <c r="I72" i="28"/>
  <c r="H72" i="28"/>
  <c r="BP99" i="2" l="1"/>
  <c r="BM34" i="2"/>
  <c r="BN34" i="2"/>
  <c r="BO34" i="2"/>
  <c r="BP34" i="2"/>
  <c r="BQ34" i="2"/>
  <c r="BR34" i="2"/>
  <c r="BM54" i="2" l="1"/>
  <c r="BX31" i="1"/>
  <c r="BN54" i="2"/>
  <c r="BO54" i="2"/>
  <c r="BY31" i="1"/>
  <c r="BZ31" i="1"/>
  <c r="BZ100" i="1" s="1"/>
  <c r="BY100" i="1" l="1"/>
  <c r="BX100" i="1"/>
  <c r="BX34" i="1"/>
  <c r="BX88" i="1" s="1"/>
  <c r="BZ34" i="1"/>
  <c r="BZ88" i="1" s="1"/>
  <c r="BY34" i="1"/>
  <c r="BY88" i="1" s="1"/>
  <c r="BN55" i="2" l="1"/>
  <c r="BO55" i="2"/>
  <c r="BM55" i="2" l="1"/>
  <c r="BY35" i="1"/>
  <c r="BZ35" i="1"/>
  <c r="BM57" i="2" l="1"/>
  <c r="I10" i="28"/>
  <c r="I11" i="28"/>
  <c r="I21" i="28"/>
  <c r="BX35" i="1"/>
  <c r="J10" i="28"/>
  <c r="J11" i="28"/>
  <c r="J21" i="28"/>
  <c r="BN57" i="2"/>
  <c r="BO57" i="2"/>
  <c r="BX37" i="1" l="1"/>
  <c r="BM260" i="2"/>
  <c r="BM240" i="2"/>
  <c r="BY37" i="1"/>
  <c r="BN260" i="2"/>
  <c r="BO59" i="2"/>
  <c r="BZ37" i="1"/>
  <c r="BO260" i="2"/>
  <c r="I8" i="28"/>
  <c r="BM59" i="2"/>
  <c r="I9" i="28" l="1"/>
  <c r="BN240" i="2"/>
  <c r="BX53" i="1"/>
  <c r="BX82" i="1" s="1"/>
  <c r="BO60" i="2"/>
  <c r="BZ39" i="1"/>
  <c r="BO324" i="2"/>
  <c r="BO259" i="2"/>
  <c r="BO273" i="2" s="1"/>
  <c r="BO275" i="2" s="1"/>
  <c r="BO124" i="2"/>
  <c r="BO121" i="2"/>
  <c r="BO120" i="2"/>
  <c r="BO347" i="2" s="1"/>
  <c r="BZ73" i="1" s="1"/>
  <c r="I20" i="28"/>
  <c r="BM61" i="2"/>
  <c r="BX41" i="1" s="1"/>
  <c r="G6" i="26" s="1"/>
  <c r="H67" i="28" s="1"/>
  <c r="BM60" i="2"/>
  <c r="BM324" i="2"/>
  <c r="BM259" i="2"/>
  <c r="BM273" i="2" s="1"/>
  <c r="BM275" i="2" s="1"/>
  <c r="BX39" i="1"/>
  <c r="BM124" i="2"/>
  <c r="BM121" i="2"/>
  <c r="BM120" i="2"/>
  <c r="BM347" i="2" s="1"/>
  <c r="BX73" i="1" s="1"/>
  <c r="J9" i="28"/>
  <c r="BN59" i="2"/>
  <c r="J8" i="28"/>
  <c r="BM63" i="2"/>
  <c r="BO63" i="2"/>
  <c r="BY53" i="1" l="1"/>
  <c r="BY82" i="1" s="1"/>
  <c r="BO240" i="2"/>
  <c r="I5" i="26"/>
  <c r="BZ87" i="1"/>
  <c r="BZ40" i="1"/>
  <c r="BO345" i="2"/>
  <c r="BZ78" i="1" s="1"/>
  <c r="I9" i="26" s="1"/>
  <c r="BO329" i="2"/>
  <c r="BZ59" i="1"/>
  <c r="BO122" i="2"/>
  <c r="BZ77" i="1" s="1"/>
  <c r="BO344" i="2"/>
  <c r="BZ80" i="1" s="1"/>
  <c r="BO297" i="2"/>
  <c r="BO295" i="2" s="1"/>
  <c r="BO299" i="2" s="1"/>
  <c r="BZ64" i="1" s="1"/>
  <c r="I8" i="26"/>
  <c r="BZ75" i="1"/>
  <c r="BM345" i="2"/>
  <c r="BX78" i="1" s="1"/>
  <c r="G9" i="26" s="1"/>
  <c r="H70" i="28" s="1"/>
  <c r="BM329" i="2"/>
  <c r="BX59" i="1"/>
  <c r="G5" i="26"/>
  <c r="H66" i="28" s="1"/>
  <c r="BX87" i="1"/>
  <c r="BX40" i="1"/>
  <c r="BM122" i="2"/>
  <c r="BX77" i="1" s="1"/>
  <c r="BM344" i="2"/>
  <c r="BX80" i="1" s="1"/>
  <c r="BM297" i="2"/>
  <c r="BM295" i="2" s="1"/>
  <c r="BM299" i="2" s="1"/>
  <c r="BX64" i="1" s="1"/>
  <c r="G8" i="26"/>
  <c r="H69" i="28" s="1"/>
  <c r="BX75" i="1"/>
  <c r="BN63" i="2"/>
  <c r="BN61" i="2"/>
  <c r="BY41" i="1" s="1"/>
  <c r="H6" i="26" s="1"/>
  <c r="I67" i="28" s="1"/>
  <c r="BN60" i="2"/>
  <c r="BN324" i="2"/>
  <c r="BY39" i="1"/>
  <c r="BN259" i="2"/>
  <c r="BN273" i="2" s="1"/>
  <c r="BN275" i="2" s="1"/>
  <c r="BN124" i="2"/>
  <c r="BN121" i="2"/>
  <c r="BN120" i="2"/>
  <c r="BN347" i="2" s="1"/>
  <c r="BY73" i="1" s="1"/>
  <c r="J20" i="28"/>
  <c r="BM237" i="2"/>
  <c r="BO61" i="2"/>
  <c r="BZ41" i="1" s="1"/>
  <c r="I6" i="26" s="1"/>
  <c r="BZ53" i="1" l="1"/>
  <c r="BZ82" i="1" s="1"/>
  <c r="BN345" i="2"/>
  <c r="BY78" i="1" s="1"/>
  <c r="H9" i="26" s="1"/>
  <c r="I70" i="28" s="1"/>
  <c r="BN329" i="2"/>
  <c r="BY87" i="1"/>
  <c r="H5" i="26"/>
  <c r="I66" i="28" s="1"/>
  <c r="BY40" i="1"/>
  <c r="BY59" i="1"/>
  <c r="BN122" i="2"/>
  <c r="BY77" i="1" s="1"/>
  <c r="BN344" i="2"/>
  <c r="BY80" i="1" s="1"/>
  <c r="BN297" i="2"/>
  <c r="BN295" i="2" s="1"/>
  <c r="BN299" i="2" s="1"/>
  <c r="BY64" i="1" s="1"/>
  <c r="H8" i="26"/>
  <c r="I69" i="28" s="1"/>
  <c r="BY75" i="1"/>
  <c r="BN237" i="2"/>
  <c r="BM229" i="2"/>
  <c r="BO303" i="2"/>
  <c r="BZ66" i="1" s="1"/>
  <c r="BZ67" i="1" s="1"/>
  <c r="BM303" i="2"/>
  <c r="BN303" i="2" l="1"/>
  <c r="BY66" i="1" s="1"/>
  <c r="BY67" i="1" s="1"/>
  <c r="BN229" i="2"/>
  <c r="BO237" i="2"/>
  <c r="BX54" i="1"/>
  <c r="BM132" i="2"/>
  <c r="BM312" i="2"/>
  <c r="BX66" i="1"/>
  <c r="BX67" i="1" s="1"/>
  <c r="BN132" i="2" l="1"/>
  <c r="BY54" i="1"/>
  <c r="BO229" i="2"/>
  <c r="BX76" i="1"/>
  <c r="BM339" i="2"/>
  <c r="BX93" i="1" s="1"/>
  <c r="BM343" i="2"/>
  <c r="BX79" i="1" s="1"/>
  <c r="G10" i="26" s="1"/>
  <c r="H71" i="28" s="1"/>
  <c r="BN311" i="2"/>
  <c r="BM307" i="2"/>
  <c r="BM140" i="2" s="1"/>
  <c r="BM313" i="2"/>
  <c r="BN312" i="2"/>
  <c r="BN339" i="2" l="1"/>
  <c r="BY93" i="1" s="1"/>
  <c r="BN343" i="2"/>
  <c r="BY79" i="1" s="1"/>
  <c r="H10" i="26" s="1"/>
  <c r="I71" i="28" s="1"/>
  <c r="BY76" i="1"/>
  <c r="BO132" i="2"/>
  <c r="BZ54" i="1"/>
  <c r="G7" i="26"/>
  <c r="H68" i="28" s="1"/>
  <c r="BM138" i="2"/>
  <c r="BM130" i="2" s="1"/>
  <c r="BX50" i="1"/>
  <c r="BX52" i="1" s="1"/>
  <c r="BN306" i="2"/>
  <c r="BM225" i="2"/>
  <c r="BM226" i="2" s="1"/>
  <c r="BM35" i="2" s="1"/>
  <c r="BO311" i="2"/>
  <c r="BN307" i="2"/>
  <c r="BN140" i="2" s="1"/>
  <c r="BN313" i="2"/>
  <c r="BO312" i="2"/>
  <c r="H7" i="26" l="1"/>
  <c r="I68" i="28" s="1"/>
  <c r="BO339" i="2"/>
  <c r="BZ93" i="1" s="1"/>
  <c r="I7" i="26" s="1"/>
  <c r="BO343" i="2"/>
  <c r="BZ79" i="1" s="1"/>
  <c r="I10" i="26" s="1"/>
  <c r="BZ76" i="1"/>
  <c r="BM338" i="2"/>
  <c r="BM106" i="2"/>
  <c r="BM108" i="2" s="1"/>
  <c r="BX55" i="1"/>
  <c r="BM334" i="2"/>
  <c r="BM315" i="2"/>
  <c r="BM134" i="2"/>
  <c r="BX99" i="1"/>
  <c r="BX83" i="1"/>
  <c r="BN138" i="2"/>
  <c r="BN130" i="2" s="1"/>
  <c r="BY50" i="1"/>
  <c r="BY52" i="1" s="1"/>
  <c r="BN225" i="2"/>
  <c r="BN226" i="2" s="1"/>
  <c r="BN35" i="2" s="1"/>
  <c r="BO306" i="2"/>
  <c r="BP311" i="2"/>
  <c r="BO307" i="2"/>
  <c r="BO140" i="2" s="1"/>
  <c r="BO313" i="2"/>
  <c r="BX98" i="1" l="1"/>
  <c r="BX92" i="1"/>
  <c r="BX91" i="1" s="1"/>
  <c r="BX90" i="1"/>
  <c r="BX48" i="1"/>
  <c r="BX49" i="1" s="1"/>
  <c r="BM340" i="2"/>
  <c r="BX94" i="1" s="1"/>
  <c r="BN338" i="2"/>
  <c r="BN106" i="2"/>
  <c r="BN108" i="2" s="1"/>
  <c r="BN334" i="2"/>
  <c r="BN315" i="2"/>
  <c r="BY55" i="1"/>
  <c r="BN134" i="2"/>
  <c r="BY99" i="1"/>
  <c r="BY83" i="1"/>
  <c r="BO138" i="2"/>
  <c r="BO130" i="2" s="1"/>
  <c r="BZ50" i="1"/>
  <c r="BZ52" i="1" s="1"/>
  <c r="BO225" i="2"/>
  <c r="BO226" i="2" s="1"/>
  <c r="BO35" i="2" s="1"/>
  <c r="BP306" i="2"/>
  <c r="BY48" i="1" l="1"/>
  <c r="BY49" i="1" s="1"/>
  <c r="BN340" i="2"/>
  <c r="BY94" i="1" s="1"/>
  <c r="BY98" i="1"/>
  <c r="BY92" i="1"/>
  <c r="BY91" i="1" s="1"/>
  <c r="BY90" i="1"/>
  <c r="BO338" i="2"/>
  <c r="BO106" i="2"/>
  <c r="BO108" i="2" s="1"/>
  <c r="BZ55" i="1"/>
  <c r="BO334" i="2"/>
  <c r="BO315" i="2"/>
  <c r="BO134" i="2"/>
  <c r="BZ99" i="1"/>
  <c r="BZ83" i="1"/>
  <c r="BZ98" i="1" l="1"/>
  <c r="BZ91" i="1"/>
  <c r="BZ92" i="1"/>
  <c r="BZ90" i="1"/>
  <c r="BZ48" i="1"/>
  <c r="BZ49" i="1" s="1"/>
  <c r="BO340" i="2"/>
  <c r="BZ94" i="1" s="1"/>
  <c r="BP229" i="2" l="1"/>
  <c r="BQ229" i="2"/>
  <c r="BR229" i="2"/>
  <c r="BP132" i="2" l="1"/>
  <c r="BR132" i="2"/>
  <c r="BQ132" i="2"/>
  <c r="X80" i="28"/>
  <c r="BP343" i="2" l="1"/>
  <c r="BQ343" i="2"/>
  <c r="BR343" i="2"/>
  <c r="Y80" i="28"/>
  <c r="BP5" i="2" l="1"/>
  <c r="BQ5" i="2"/>
  <c r="BR5" i="2"/>
  <c r="BP6" i="2"/>
  <c r="BQ6" i="2"/>
  <c r="BR6" i="2"/>
  <c r="BP8" i="2"/>
  <c r="BQ8" i="2"/>
  <c r="BP9" i="2"/>
  <c r="BQ9" i="2"/>
  <c r="BR9" i="2"/>
  <c r="BP14" i="2"/>
  <c r="BQ14" i="2"/>
  <c r="BR14" i="2"/>
  <c r="BP16" i="2"/>
  <c r="BQ16" i="2"/>
  <c r="BR16" i="2"/>
  <c r="BP18" i="2"/>
  <c r="BQ18" i="2"/>
  <c r="BR18" i="2"/>
  <c r="BP24" i="2"/>
  <c r="BQ24" i="2"/>
  <c r="BR24" i="2"/>
  <c r="BP55" i="2"/>
  <c r="BQ55" i="2"/>
  <c r="BR55" i="2"/>
  <c r="BP57" i="2"/>
  <c r="BQ57" i="2"/>
  <c r="BR57" i="2"/>
  <c r="BP59" i="2"/>
  <c r="BQ59" i="2"/>
  <c r="BR59" i="2"/>
  <c r="BP61" i="2"/>
  <c r="BQ61" i="2"/>
  <c r="BR61" i="2"/>
  <c r="BR8" i="2" l="1"/>
  <c r="BP10" i="2"/>
  <c r="BQ10" i="2"/>
  <c r="BR10" i="2"/>
  <c r="BP11" i="2"/>
  <c r="BQ11" i="2"/>
  <c r="BR11" i="2"/>
  <c r="BP15" i="2"/>
  <c r="BQ15" i="2"/>
  <c r="BR15" i="2"/>
  <c r="BP17" i="2"/>
  <c r="BQ17" i="2"/>
  <c r="BR17" i="2"/>
  <c r="BP19" i="2"/>
  <c r="BQ19" i="2"/>
  <c r="BR19" i="2"/>
  <c r="BP21" i="2"/>
  <c r="BQ21" i="2"/>
  <c r="BR21" i="2"/>
  <c r="BP25" i="2"/>
  <c r="BQ25" i="2"/>
  <c r="BR25" i="2"/>
  <c r="BP60" i="2"/>
  <c r="BQ60" i="2"/>
  <c r="BR60" i="2"/>
  <c r="BP89" i="2"/>
  <c r="BP93" i="2"/>
  <c r="BP96" i="2" s="1"/>
  <c r="BP102" i="2" s="1"/>
  <c r="BQ93" i="2"/>
  <c r="BR93" i="2"/>
  <c r="BP100" i="2"/>
  <c r="BP120" i="2"/>
  <c r="BP347" i="2" s="1"/>
  <c r="BQ120" i="2"/>
  <c r="BQ347" i="2" s="1"/>
  <c r="BR120" i="2"/>
  <c r="BR347" i="2" s="1"/>
  <c r="BP121" i="2"/>
  <c r="BQ121" i="2"/>
  <c r="BR121" i="2"/>
  <c r="BP124" i="2"/>
  <c r="BQ124" i="2"/>
  <c r="BR124" i="2"/>
  <c r="BP144" i="2"/>
  <c r="BQ144" i="2"/>
  <c r="BR144" i="2"/>
  <c r="BP146" i="2"/>
  <c r="BQ73" i="2" s="1"/>
  <c r="BQ74" i="2" s="1"/>
  <c r="BQ146" i="2"/>
  <c r="BR73" i="2" s="1"/>
  <c r="BR74" i="2" s="1"/>
  <c r="BR146" i="2"/>
  <c r="BP172" i="2"/>
  <c r="BP168" i="2" s="1"/>
  <c r="BQ172" i="2"/>
  <c r="BR172" i="2"/>
  <c r="BP185" i="2"/>
  <c r="BQ185" i="2"/>
  <c r="BQ191" i="2" s="1"/>
  <c r="BR185" i="2"/>
  <c r="BR191" i="2" s="1"/>
  <c r="BP199" i="2"/>
  <c r="BQ199" i="2"/>
  <c r="BR199" i="2"/>
  <c r="BP240" i="2"/>
  <c r="BQ240" i="2" s="1"/>
  <c r="BR240" i="2" s="1"/>
  <c r="BP259" i="2"/>
  <c r="BP273" i="2" s="1"/>
  <c r="BP275" i="2" s="1"/>
  <c r="BQ259" i="2"/>
  <c r="BQ273" i="2" s="1"/>
  <c r="BQ275" i="2" s="1"/>
  <c r="BR259" i="2"/>
  <c r="BR273" i="2" s="1"/>
  <c r="BR275" i="2" s="1"/>
  <c r="BP260" i="2"/>
  <c r="BQ260" i="2"/>
  <c r="BR260" i="2"/>
  <c r="BP324" i="2"/>
  <c r="BQ324" i="2"/>
  <c r="BR324" i="2"/>
  <c r="BP326" i="2"/>
  <c r="BQ326" i="2"/>
  <c r="BR326" i="2"/>
  <c r="BP31" i="2" l="1"/>
  <c r="BP12" i="2"/>
  <c r="BQ31" i="2"/>
  <c r="BQ12" i="2"/>
  <c r="BR31" i="2"/>
  <c r="BR12" i="2"/>
  <c r="BP122" i="2"/>
  <c r="BP344" i="2"/>
  <c r="BP297" i="2"/>
  <c r="BP295" i="2" s="1"/>
  <c r="BP299" i="2" s="1"/>
  <c r="BQ122" i="2"/>
  <c r="BQ344" i="2"/>
  <c r="BQ297" i="2"/>
  <c r="BQ295" i="2" s="1"/>
  <c r="BQ299" i="2" s="1"/>
  <c r="BR122" i="2"/>
  <c r="BR344" i="2"/>
  <c r="BR297" i="2"/>
  <c r="BR295" i="2" s="1"/>
  <c r="BR299" i="2" s="1"/>
  <c r="BQ70" i="2"/>
  <c r="BP247" i="2"/>
  <c r="BR70" i="2"/>
  <c r="BQ247" i="2"/>
  <c r="BR247" i="2"/>
  <c r="BR246" i="2" s="1"/>
  <c r="BR335" i="2" s="1"/>
  <c r="BP166" i="2"/>
  <c r="BQ174" i="2"/>
  <c r="BQ168" i="2"/>
  <c r="BP181" i="2"/>
  <c r="BP191" i="2"/>
  <c r="BQ353" i="2"/>
  <c r="BQ277" i="2"/>
  <c r="BQ284" i="2" s="1"/>
  <c r="BR353" i="2"/>
  <c r="BR277" i="2"/>
  <c r="BR284" i="2" s="1"/>
  <c r="BP193" i="2"/>
  <c r="BP131" i="2" s="1"/>
  <c r="BQ88" i="2"/>
  <c r="BP248" i="2"/>
  <c r="BP251" i="2" s="1"/>
  <c r="BP268" i="2" s="1"/>
  <c r="BQ193" i="2"/>
  <c r="BQ131" i="2" s="1"/>
  <c r="BR88" i="2"/>
  <c r="BQ248" i="2"/>
  <c r="BQ251" i="2" s="1"/>
  <c r="BQ268" i="2" s="1"/>
  <c r="BR193" i="2"/>
  <c r="BR131" i="2" s="1"/>
  <c r="BR248" i="2"/>
  <c r="BR251" i="2" s="1"/>
  <c r="BR268" i="2" s="1"/>
  <c r="BP345" i="2"/>
  <c r="BP339" i="2"/>
  <c r="BP329" i="2"/>
  <c r="BQ345" i="2"/>
  <c r="BQ339" i="2"/>
  <c r="BQ329" i="2"/>
  <c r="BR345" i="2"/>
  <c r="BR339" i="2"/>
  <c r="BR329" i="2"/>
  <c r="BP237" i="2"/>
  <c r="BQ237" i="2" s="1"/>
  <c r="BR237" i="2" s="1"/>
  <c r="BP27" i="2" l="1"/>
  <c r="BP321" i="2"/>
  <c r="BP54" i="2"/>
  <c r="BP63" i="2" s="1"/>
  <c r="BP32" i="2"/>
  <c r="BQ321" i="2"/>
  <c r="BQ54" i="2"/>
  <c r="BQ63" i="2" s="1"/>
  <c r="BQ32" i="2"/>
  <c r="BR321" i="2"/>
  <c r="BR54" i="2"/>
  <c r="BR63" i="2" s="1"/>
  <c r="BR32" i="2"/>
  <c r="BQ79" i="2"/>
  <c r="BQ98" i="2" s="1"/>
  <c r="BQ71" i="2"/>
  <c r="BQ80" i="2" s="1"/>
  <c r="BQ102" i="2" s="1"/>
  <c r="BP246" i="2"/>
  <c r="BP335" i="2" s="1"/>
  <c r="BQ250" i="2"/>
  <c r="BP250" i="2"/>
  <c r="BR79" i="2"/>
  <c r="BR98" i="2" s="1"/>
  <c r="BR71" i="2"/>
  <c r="BR80" i="2" s="1"/>
  <c r="BR102" i="2" s="1"/>
  <c r="BQ246" i="2"/>
  <c r="BQ335" i="2" s="1"/>
  <c r="BR250" i="2"/>
  <c r="BP159" i="2"/>
  <c r="BP105" i="2"/>
  <c r="BP107" i="2" s="1"/>
  <c r="BQ169" i="2"/>
  <c r="BQ166" i="2"/>
  <c r="BR174" i="2"/>
  <c r="BR168" i="2"/>
  <c r="BP179" i="2"/>
  <c r="BQ187" i="2"/>
  <c r="BQ182" i="2" s="1"/>
  <c r="BQ181" i="2"/>
  <c r="BP353" i="2"/>
  <c r="BP277" i="2"/>
  <c r="BP284" i="2" s="1"/>
  <c r="BP303" i="2" s="1"/>
  <c r="BP312" i="2" s="1"/>
  <c r="BQ89" i="2"/>
  <c r="BQ96" i="2" s="1"/>
  <c r="BQ95" i="2"/>
  <c r="BR89" i="2"/>
  <c r="BR96" i="2" s="1"/>
  <c r="BR95" i="2"/>
  <c r="BQ303" i="2"/>
  <c r="BR303" i="2"/>
  <c r="BP322" i="2" l="1"/>
  <c r="BP28" i="2"/>
  <c r="BP327" i="2"/>
  <c r="BP323" i="2"/>
  <c r="BQ327" i="2"/>
  <c r="BQ323" i="2"/>
  <c r="BR327" i="2"/>
  <c r="BR323" i="2"/>
  <c r="BQ100" i="2"/>
  <c r="BQ99" i="2"/>
  <c r="BQ354" i="2"/>
  <c r="BQ267" i="2"/>
  <c r="BP354" i="2"/>
  <c r="BP267" i="2"/>
  <c r="BR100" i="2"/>
  <c r="BR99" i="2"/>
  <c r="BR354" i="2"/>
  <c r="BR267" i="2"/>
  <c r="BQ159" i="2"/>
  <c r="BQ105" i="2"/>
  <c r="BQ107" i="2" s="1"/>
  <c r="BQ179" i="2"/>
  <c r="BR187" i="2"/>
  <c r="BR181" i="2"/>
  <c r="BQ312" i="2"/>
  <c r="BP313" i="2"/>
  <c r="BQ311" i="2"/>
  <c r="BP307" i="2"/>
  <c r="BP140" i="2" s="1"/>
  <c r="BR169" i="2"/>
  <c r="BR166" i="2" s="1"/>
  <c r="BQ190" i="2"/>
  <c r="BP346" i="2" l="1"/>
  <c r="BP328" i="2"/>
  <c r="BP351" i="2"/>
  <c r="BP355" i="2" s="1"/>
  <c r="BQ351" i="2"/>
  <c r="BR351" i="2"/>
  <c r="BR182" i="2"/>
  <c r="BR179" i="2" s="1"/>
  <c r="BR190" i="2"/>
  <c r="BR311" i="2"/>
  <c r="BQ307" i="2"/>
  <c r="BQ140" i="2" s="1"/>
  <c r="BQ313" i="2"/>
  <c r="BR312" i="2"/>
  <c r="BP138" i="2"/>
  <c r="BP130" i="2" s="1"/>
  <c r="BP225" i="2"/>
  <c r="BP226" i="2" s="1"/>
  <c r="BP35" i="2" s="1"/>
  <c r="BQ306" i="2"/>
  <c r="BR105" i="2"/>
  <c r="BR107" i="2" s="1"/>
  <c r="BR159" i="2"/>
  <c r="BQ352" i="2"/>
  <c r="BQ29" i="2"/>
  <c r="BR352" i="2" l="1"/>
  <c r="BR355" i="2" s="1"/>
  <c r="BR29" i="2"/>
  <c r="BQ138" i="2"/>
  <c r="BQ130" i="2" s="1"/>
  <c r="BR306" i="2"/>
  <c r="BQ225" i="2"/>
  <c r="BQ226" i="2" s="1"/>
  <c r="BQ35" i="2" s="1"/>
  <c r="BR307" i="2"/>
  <c r="BR140" i="2" s="1"/>
  <c r="BR313" i="2"/>
  <c r="BP338" i="2"/>
  <c r="BP134" i="2"/>
  <c r="BP315" i="2"/>
  <c r="BP334" i="2"/>
  <c r="BP340" i="2" s="1"/>
  <c r="BP106" i="2"/>
  <c r="BP108" i="2" s="1"/>
  <c r="BQ27" i="2"/>
  <c r="BQ263" i="2"/>
  <c r="BQ355" i="2"/>
  <c r="BR27" i="2" l="1"/>
  <c r="BR263" i="2"/>
  <c r="BQ134" i="2"/>
  <c r="BQ315" i="2"/>
  <c r="BQ334" i="2"/>
  <c r="BQ340" i="2" s="1"/>
  <c r="BQ106" i="2"/>
  <c r="BQ108" i="2" s="1"/>
  <c r="BQ338" i="2"/>
  <c r="BR138" i="2"/>
  <c r="BR130" i="2" s="1"/>
  <c r="BR225" i="2"/>
  <c r="BR226" i="2" s="1"/>
  <c r="BR35" i="2" s="1"/>
  <c r="BQ28" i="2"/>
  <c r="BQ322" i="2"/>
  <c r="BR28" i="2" l="1"/>
  <c r="BR322" i="2"/>
  <c r="BR134" i="2"/>
  <c r="BR315" i="2"/>
  <c r="BR334" i="2"/>
  <c r="BR340" i="2" s="1"/>
  <c r="BR106" i="2"/>
  <c r="BR108" i="2" s="1"/>
  <c r="BR338" i="2"/>
  <c r="BQ346" i="2"/>
  <c r="BQ328" i="2"/>
  <c r="BR346" i="2" l="1"/>
  <c r="BR328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wenyf</author>
  </authors>
  <commentList>
    <comment ref="B2" authorId="0" shapeId="0" xr:uid="{1F9009A7-E1BC-4400-87BC-759C7E9D7966}">
      <text>
        <r>
          <rPr>
            <b/>
            <sz val="9"/>
            <rFont val="Tahoma"/>
            <family val="2"/>
          </rPr>
          <t>wenyf:</t>
        </r>
        <r>
          <rPr>
            <sz val="9"/>
            <rFont val="Tahoma"/>
            <family val="2"/>
          </rPr>
          <t xml:space="preserve">
</t>
        </r>
        <r>
          <rPr>
            <sz val="9"/>
            <rFont val="宋体"/>
            <family val="3"/>
            <charset val="134"/>
          </rPr>
          <t>请更新公司名称</t>
        </r>
      </text>
    </comment>
    <comment ref="BE3" authorId="0" shapeId="0" xr:uid="{5629510F-1E75-427B-BAFC-991E43E92ECD}">
      <text>
        <r>
          <rPr>
            <b/>
            <sz val="9"/>
            <rFont val="Tahoma"/>
            <family val="2"/>
          </rPr>
          <t>wenyf:</t>
        </r>
        <r>
          <rPr>
            <sz val="9"/>
            <rFont val="Tahoma"/>
            <family val="2"/>
          </rPr>
          <t xml:space="preserve">
</t>
        </r>
        <r>
          <rPr>
            <sz val="9"/>
            <rFont val="宋体"/>
            <family val="3"/>
            <charset val="134"/>
          </rPr>
          <t>请填写你的姓名</t>
        </r>
      </text>
    </comment>
    <comment ref="BE4" authorId="0" shapeId="0" xr:uid="{7A1B9D4F-54A8-459C-A4D5-531492E645DF}">
      <text>
        <r>
          <rPr>
            <b/>
            <sz val="9"/>
            <rFont val="Tahoma"/>
            <family val="2"/>
          </rPr>
          <t>wenyf:</t>
        </r>
        <r>
          <rPr>
            <sz val="9"/>
            <rFont val="Tahoma"/>
            <family val="2"/>
          </rPr>
          <t xml:space="preserve">
</t>
        </r>
        <r>
          <rPr>
            <sz val="9"/>
            <rFont val="宋体"/>
            <family val="3"/>
            <charset val="134"/>
          </rPr>
          <t>请填写你的分机号码</t>
        </r>
      </text>
    </comment>
    <comment ref="BE5" authorId="0" shapeId="0" xr:uid="{5056979D-9BA4-475F-8ECF-1EB739F720DF}">
      <text>
        <r>
          <rPr>
            <b/>
            <sz val="9"/>
            <rFont val="Tahoma"/>
            <family val="2"/>
          </rPr>
          <t>wenyf:</t>
        </r>
        <r>
          <rPr>
            <sz val="9"/>
            <rFont val="Tahoma"/>
            <family val="2"/>
          </rPr>
          <t xml:space="preserve">
</t>
        </r>
        <r>
          <rPr>
            <sz val="9"/>
            <rFont val="宋体"/>
            <family val="3"/>
            <charset val="134"/>
          </rPr>
          <t>请填写评级</t>
        </r>
        <r>
          <rPr>
            <sz val="9"/>
            <rFont val="Tahoma"/>
            <family val="2"/>
          </rPr>
          <t>(1,2,3,4,5)</t>
        </r>
      </text>
    </comment>
    <comment ref="B87" authorId="0" shapeId="0" xr:uid="{F6E93D48-4BBA-4914-A2D3-3E7F3C91A133}">
      <text>
        <r>
          <rPr>
            <b/>
            <sz val="9"/>
            <rFont val="Tahoma"/>
            <family val="2"/>
          </rPr>
          <t>wenyf:</t>
        </r>
        <r>
          <rPr>
            <sz val="9"/>
            <rFont val="Tahoma"/>
            <family val="2"/>
          </rPr>
          <t xml:space="preserve">
=</t>
        </r>
        <r>
          <rPr>
            <sz val="9"/>
            <rFont val="宋体"/>
            <family val="3"/>
            <charset val="134"/>
          </rPr>
          <t>税后利润</t>
        </r>
        <r>
          <rPr>
            <sz val="9"/>
            <rFont val="Tahoma"/>
            <family val="2"/>
          </rPr>
          <t>/</t>
        </r>
        <r>
          <rPr>
            <sz val="9"/>
            <rFont val="宋体"/>
            <family val="3"/>
            <charset val="134"/>
          </rPr>
          <t>税前利润</t>
        </r>
      </text>
    </comment>
    <comment ref="B88" authorId="0" shapeId="0" xr:uid="{5CFF03D1-60A3-4ADE-9FF9-F18439C2095C}">
      <text>
        <r>
          <rPr>
            <b/>
            <sz val="9"/>
            <rFont val="Tahoma"/>
            <family val="2"/>
          </rPr>
          <t>wenyf:</t>
        </r>
        <r>
          <rPr>
            <sz val="9"/>
            <rFont val="Tahoma"/>
            <family val="2"/>
          </rPr>
          <t xml:space="preserve">
=</t>
        </r>
        <r>
          <rPr>
            <sz val="9"/>
            <rFont val="宋体"/>
            <family val="3"/>
            <charset val="134"/>
          </rPr>
          <t>税前利润</t>
        </r>
        <r>
          <rPr>
            <sz val="9"/>
            <rFont val="Tahoma"/>
            <family val="2"/>
          </rPr>
          <t>/EBIT</t>
        </r>
      </text>
    </comment>
    <comment ref="B89" authorId="0" shapeId="0" xr:uid="{590735C1-79FF-4D06-BEAD-46BFC3D44BA2}">
      <text>
        <r>
          <rPr>
            <b/>
            <sz val="9"/>
            <rFont val="Tahoma"/>
            <family val="2"/>
          </rPr>
          <t>wenyf:</t>
        </r>
        <r>
          <rPr>
            <sz val="9"/>
            <rFont val="Tahoma"/>
            <family val="2"/>
          </rPr>
          <t xml:space="preserve">
=EBIT/</t>
        </r>
        <r>
          <rPr>
            <sz val="9"/>
            <rFont val="宋体"/>
            <family val="3"/>
            <charset val="134"/>
          </rPr>
          <t>销售收入</t>
        </r>
      </text>
    </comment>
    <comment ref="B90" authorId="0" shapeId="0" xr:uid="{D5488722-9F28-49B2-98A9-E65B9A5D35BC}">
      <text>
        <r>
          <rPr>
            <b/>
            <sz val="9"/>
            <rFont val="Tahoma"/>
            <family val="2"/>
          </rPr>
          <t>wenyf:</t>
        </r>
        <r>
          <rPr>
            <sz val="9"/>
            <rFont val="Tahoma"/>
            <family val="2"/>
          </rPr>
          <t xml:space="preserve">
=</t>
        </r>
        <r>
          <rPr>
            <sz val="9"/>
            <rFont val="宋体"/>
            <family val="3"/>
            <charset val="134"/>
          </rPr>
          <t>销售收入</t>
        </r>
        <r>
          <rPr>
            <sz val="9"/>
            <rFont val="Tahoma"/>
            <family val="2"/>
          </rPr>
          <t>/</t>
        </r>
        <r>
          <rPr>
            <sz val="9"/>
            <rFont val="宋体"/>
            <family val="3"/>
            <charset val="134"/>
          </rPr>
          <t>资产总额</t>
        </r>
      </text>
    </comment>
    <comment ref="B92" authorId="0" shapeId="0" xr:uid="{E86677EE-B79F-48B5-9F0C-7259F0171224}">
      <text>
        <r>
          <rPr>
            <b/>
            <sz val="9"/>
            <rFont val="Tahoma"/>
            <family val="2"/>
          </rPr>
          <t>wenyf:</t>
        </r>
        <r>
          <rPr>
            <sz val="9"/>
            <rFont val="Tahoma"/>
            <family val="2"/>
          </rPr>
          <t xml:space="preserve">
=</t>
        </r>
        <r>
          <rPr>
            <sz val="9"/>
            <rFont val="宋体"/>
            <family val="3"/>
            <charset val="134"/>
          </rPr>
          <t>资产总额</t>
        </r>
        <r>
          <rPr>
            <sz val="9"/>
            <rFont val="Tahoma"/>
            <family val="2"/>
          </rPr>
          <t>/</t>
        </r>
        <r>
          <rPr>
            <sz val="9"/>
            <rFont val="宋体"/>
            <family val="3"/>
            <charset val="134"/>
          </rPr>
          <t>股东权益</t>
        </r>
      </text>
    </comment>
  </commentList>
</comments>
</file>

<file path=xl/sharedStrings.xml><?xml version="1.0" encoding="utf-8"?>
<sst xmlns="http://schemas.openxmlformats.org/spreadsheetml/2006/main" count="647" uniqueCount="481">
  <si>
    <t>博时基金</t>
  </si>
  <si>
    <t>股价</t>
  </si>
  <si>
    <t>分析员</t>
  </si>
  <si>
    <t>柴文超</t>
  </si>
  <si>
    <t>市值 (百万元)</t>
  </si>
  <si>
    <t>电话</t>
  </si>
  <si>
    <t>股票评级</t>
  </si>
  <si>
    <t>预期收益</t>
  </si>
  <si>
    <t>主要假定</t>
  </si>
  <si>
    <t>2023E</t>
  </si>
  <si>
    <t>2024E</t>
  </si>
  <si>
    <t>2025E</t>
  </si>
  <si>
    <t>利润表</t>
  </si>
  <si>
    <t>销售收入</t>
  </si>
  <si>
    <t>yoy</t>
  </si>
  <si>
    <r>
      <rPr>
        <sz val="9"/>
        <rFont val="Arial Unicode MS"/>
        <family val="2"/>
      </rPr>
      <t>销售成本</t>
    </r>
  </si>
  <si>
    <t>Gross Margin</t>
  </si>
  <si>
    <r>
      <rPr>
        <sz val="9"/>
        <rFont val="Arial Unicode MS"/>
        <family val="2"/>
      </rPr>
      <t>营业税</t>
    </r>
  </si>
  <si>
    <t>% of 销售收入</t>
  </si>
  <si>
    <r>
      <rPr>
        <b/>
        <sz val="9"/>
        <rFont val="Arial Unicode MS"/>
        <family val="2"/>
      </rPr>
      <t>销售利润</t>
    </r>
  </si>
  <si>
    <t>毛利率</t>
  </si>
  <si>
    <r>
      <rPr>
        <sz val="9"/>
        <rFont val="Arial Unicode MS"/>
        <family val="2"/>
      </rPr>
      <t>营业费用</t>
    </r>
  </si>
  <si>
    <t>/销售收入</t>
  </si>
  <si>
    <r>
      <rPr>
        <sz val="9"/>
        <rFont val="Arial Unicode MS"/>
        <family val="2"/>
      </rPr>
      <t>管理费用</t>
    </r>
  </si>
  <si>
    <r>
      <rPr>
        <sz val="9"/>
        <rFont val="Arial Unicode MS"/>
        <family val="2"/>
      </rPr>
      <t>减值准备</t>
    </r>
  </si>
  <si>
    <t>SG&amp;A</t>
  </si>
  <si>
    <t>EBITDA</t>
  </si>
  <si>
    <t>折旧摊销</t>
  </si>
  <si>
    <t>EBIT</t>
  </si>
  <si>
    <r>
      <rPr>
        <sz val="9"/>
        <rFont val="Arial Unicode MS"/>
        <family val="2"/>
      </rPr>
      <t>财务费用, net</t>
    </r>
  </si>
  <si>
    <t>投资收益/公允价值变化</t>
  </si>
  <si>
    <r>
      <rPr>
        <sz val="9"/>
        <rFont val="Arial Unicode MS"/>
        <family val="2"/>
      </rPr>
      <t>营业外收/(支)</t>
    </r>
  </si>
  <si>
    <t>税前利润</t>
  </si>
  <si>
    <r>
      <rPr>
        <sz val="9"/>
        <rFont val="Arial Unicode MS"/>
        <family val="2"/>
      </rPr>
      <t>所得税</t>
    </r>
  </si>
  <si>
    <t>有效税率</t>
  </si>
  <si>
    <r>
      <rPr>
        <sz val="9"/>
        <rFont val="Arial Unicode MS"/>
        <family val="2"/>
      </rPr>
      <t>少数股东损益</t>
    </r>
  </si>
  <si>
    <t>% of 税前利润</t>
  </si>
  <si>
    <t>税后利润</t>
  </si>
  <si>
    <t>净利率</t>
  </si>
  <si>
    <t>资产负债表</t>
  </si>
  <si>
    <t>固定资产/无形资产/长期待摊</t>
  </si>
  <si>
    <t>营运资金：资产方</t>
  </si>
  <si>
    <t>营运资金：负债方</t>
  </si>
  <si>
    <t>营运资金：净额</t>
  </si>
  <si>
    <t>投入资本(Invested Capital)</t>
  </si>
  <si>
    <t>投入资本周转率</t>
  </si>
  <si>
    <t>现金</t>
  </si>
  <si>
    <t>带息负债</t>
  </si>
  <si>
    <t>净现金/(净负债)</t>
  </si>
  <si>
    <t>少数股东权益</t>
  </si>
  <si>
    <t>净资产</t>
  </si>
  <si>
    <t>资产总额</t>
  </si>
  <si>
    <t>现金流量表</t>
  </si>
  <si>
    <t>经营活动</t>
  </si>
  <si>
    <t>资产性开支</t>
  </si>
  <si>
    <t>投资/收购</t>
  </si>
  <si>
    <t>投资活动</t>
  </si>
  <si>
    <t>股本融资</t>
  </si>
  <si>
    <t>融资活动</t>
  </si>
  <si>
    <t>债务融资</t>
  </si>
  <si>
    <t>现金净变动</t>
  </si>
  <si>
    <t>净现金/(净债务)的变化</t>
  </si>
  <si>
    <t>FCF</t>
  </si>
  <si>
    <t>估值和每股数据</t>
  </si>
  <si>
    <r>
      <rPr>
        <sz val="9"/>
        <rFont val="Arial Unicode MS"/>
        <family val="2"/>
      </rPr>
      <t>股本总额</t>
    </r>
  </si>
  <si>
    <t>EPS: 博时</t>
  </si>
  <si>
    <t>EPS: 一致预期</t>
  </si>
  <si>
    <t>博时/一致预期</t>
  </si>
  <si>
    <t>BVPS</t>
  </si>
  <si>
    <t>DPS</t>
  </si>
  <si>
    <t>PE</t>
  </si>
  <si>
    <t>P/B</t>
  </si>
  <si>
    <t>Dividend Yield</t>
  </si>
  <si>
    <t>股票市值</t>
  </si>
  <si>
    <t>少数股东权益: 平均</t>
  </si>
  <si>
    <t>净负债/(净现金): 平均</t>
  </si>
  <si>
    <t>EV：年均/当前</t>
  </si>
  <si>
    <t>EV/EBITDA</t>
  </si>
  <si>
    <t>EV/Sales</t>
  </si>
  <si>
    <r>
      <rPr>
        <sz val="9"/>
        <color theme="1"/>
        <rFont val="Arial Unicode MS"/>
        <family val="2"/>
      </rPr>
      <t>税收负担</t>
    </r>
  </si>
  <si>
    <r>
      <rPr>
        <sz val="9"/>
        <color theme="1"/>
        <rFont val="Arial Unicode MS"/>
        <family val="2"/>
      </rPr>
      <t>利息负担</t>
    </r>
  </si>
  <si>
    <r>
      <rPr>
        <sz val="9"/>
        <color theme="1"/>
        <rFont val="Arial Unicode MS"/>
        <family val="2"/>
      </rPr>
      <t>销售利润率</t>
    </r>
  </si>
  <si>
    <t>资产周转率</t>
  </si>
  <si>
    <t>ROA</t>
  </si>
  <si>
    <r>
      <rPr>
        <sz val="9"/>
        <color theme="1"/>
        <rFont val="Arial Unicode MS"/>
        <family val="2"/>
      </rPr>
      <t>杠杆比例</t>
    </r>
  </si>
  <si>
    <t>ROE</t>
  </si>
  <si>
    <t>ROIC</t>
  </si>
  <si>
    <t>资本性支出/销售收入</t>
  </si>
  <si>
    <t>资本性支出/EBITDA</t>
  </si>
  <si>
    <t>资本性支出/折旧摊销</t>
  </si>
  <si>
    <t>资产负债率</t>
  </si>
  <si>
    <t>净负债率</t>
  </si>
  <si>
    <t>EBITDA/利息</t>
  </si>
  <si>
    <t>销售成本</t>
  </si>
  <si>
    <t>营业税金</t>
  </si>
  <si>
    <t>销售利润</t>
  </si>
  <si>
    <t>管理费用</t>
  </si>
  <si>
    <t>研发费用</t>
  </si>
  <si>
    <t>减值准备</t>
  </si>
  <si>
    <t>D&amp;A</t>
  </si>
  <si>
    <t>Ebit margin</t>
  </si>
  <si>
    <t>汇兑收益</t>
  </si>
  <si>
    <t>利息收入</t>
  </si>
  <si>
    <t>利息支出</t>
  </si>
  <si>
    <t>财务费用</t>
  </si>
  <si>
    <t>营业外收支(净额)</t>
  </si>
  <si>
    <t>其他</t>
  </si>
  <si>
    <t>所得税</t>
  </si>
  <si>
    <t>实际税率</t>
  </si>
  <si>
    <t>少数股东损益</t>
  </si>
  <si>
    <t>/税前利润</t>
  </si>
  <si>
    <t>check</t>
  </si>
  <si>
    <t>期初面值</t>
  </si>
  <si>
    <t>转股面值</t>
  </si>
  <si>
    <t>期末面值</t>
  </si>
  <si>
    <t>转股价</t>
  </si>
  <si>
    <t>票面利率</t>
  </si>
  <si>
    <t>摊薄股本</t>
  </si>
  <si>
    <t>EPS, Basic</t>
  </si>
  <si>
    <t>EPS, Diluted</t>
  </si>
  <si>
    <t>PO%</t>
  </si>
  <si>
    <t>商誉</t>
  </si>
  <si>
    <t>在建工程</t>
  </si>
  <si>
    <t>存货</t>
  </si>
  <si>
    <t>短期借款</t>
  </si>
  <si>
    <t>长期借款</t>
  </si>
  <si>
    <t>递延所得税资产</t>
  </si>
  <si>
    <t>递延所得税负债</t>
  </si>
  <si>
    <t>经营活动现金流净额</t>
  </si>
  <si>
    <t>资本性支出</t>
  </si>
  <si>
    <t>投资/收购支出</t>
  </si>
  <si>
    <r>
      <rPr>
        <sz val="10"/>
        <rFont val="Arial Unicode MS"/>
        <family val="2"/>
      </rPr>
      <t>其他流出</t>
    </r>
  </si>
  <si>
    <t>收回投资现金</t>
  </si>
  <si>
    <t>取得投资收益</t>
  </si>
  <si>
    <t>处置资产</t>
  </si>
  <si>
    <t>其它流入</t>
  </si>
  <si>
    <t>投资活动现金流净额</t>
  </si>
  <si>
    <t>股权</t>
  </si>
  <si>
    <t>发行股数</t>
  </si>
  <si>
    <t>发行价格</t>
  </si>
  <si>
    <t>融资费用</t>
  </si>
  <si>
    <t>债券</t>
  </si>
  <si>
    <t>借款</t>
  </si>
  <si>
    <t>还债</t>
  </si>
  <si>
    <t>分红+利息</t>
  </si>
  <si>
    <t>利息</t>
  </si>
  <si>
    <t>分红</t>
  </si>
  <si>
    <t>融资活动现金流净额</t>
  </si>
  <si>
    <t>汇率变动的影响</t>
  </si>
  <si>
    <t>现金的增加/(减少）</t>
  </si>
  <si>
    <t>一般企业－利润表 (单位：百万元)</t>
  </si>
  <si>
    <t>1Q2022</t>
  </si>
  <si>
    <t>2Q2022</t>
  </si>
  <si>
    <t>3Q2022</t>
  </si>
  <si>
    <t>1Q2023</t>
  </si>
  <si>
    <t>2Q2023</t>
  </si>
  <si>
    <t>3Q2023</t>
  </si>
  <si>
    <t>4Q2023</t>
  </si>
  <si>
    <t xml:space="preserve">                营业收入</t>
  </si>
  <si>
    <t xml:space="preserve">                营业成本</t>
  </si>
  <si>
    <t xml:space="preserve">                营业税金及附加</t>
  </si>
  <si>
    <t xml:space="preserve">                销售费用</t>
  </si>
  <si>
    <t xml:space="preserve">                管理费用</t>
  </si>
  <si>
    <t xml:space="preserve">                财务费用</t>
  </si>
  <si>
    <t xml:space="preserve">                资产减值损失</t>
  </si>
  <si>
    <t xml:space="preserve">                投资净收益</t>
  </si>
  <si>
    <t xml:space="preserve">                公允价值变动净收益</t>
  </si>
  <si>
    <t xml:space="preserve">                加：营业外收入</t>
  </si>
  <si>
    <t xml:space="preserve">                减：营业外支出</t>
  </si>
  <si>
    <t xml:space="preserve">                减：所得税</t>
  </si>
  <si>
    <t xml:space="preserve">                减：少数股东损益</t>
  </si>
  <si>
    <t xml:space="preserve">                归属于母公司所有者的净利润</t>
  </si>
  <si>
    <t xml:space="preserve">                货币资金</t>
  </si>
  <si>
    <t xml:space="preserve">                预付款项</t>
  </si>
  <si>
    <t xml:space="preserve">                存货</t>
  </si>
  <si>
    <t xml:space="preserve">                流动资产合计</t>
  </si>
  <si>
    <t xml:space="preserve">                无形资产</t>
  </si>
  <si>
    <t xml:space="preserve">                商誉</t>
  </si>
  <si>
    <t xml:space="preserve">                递延所得税资产</t>
  </si>
  <si>
    <t xml:space="preserve">                非流动资产合计</t>
  </si>
  <si>
    <t xml:space="preserve">                短期借款</t>
  </si>
  <si>
    <t xml:space="preserve">                预收款项</t>
  </si>
  <si>
    <t xml:space="preserve">                应付手续费及佣金</t>
  </si>
  <si>
    <t xml:space="preserve">                应付职工薪酬</t>
  </si>
  <si>
    <t xml:space="preserve">                应交税费</t>
  </si>
  <si>
    <t xml:space="preserve">                流动负债合计</t>
  </si>
  <si>
    <t xml:space="preserve">                长期借款</t>
  </si>
  <si>
    <t xml:space="preserve">                应付债券</t>
  </si>
  <si>
    <t xml:space="preserve">                递延所得税负债</t>
  </si>
  <si>
    <t xml:space="preserve">                非流动负债合计</t>
  </si>
  <si>
    <t xml:space="preserve">                实收资本(或股本)</t>
  </si>
  <si>
    <t xml:space="preserve">                资本公积金</t>
  </si>
  <si>
    <t xml:space="preserve">                减：库存股</t>
  </si>
  <si>
    <t xml:space="preserve">                盈余公积金</t>
  </si>
  <si>
    <t xml:space="preserve">                一般风险准备</t>
  </si>
  <si>
    <t xml:space="preserve">                未分配利润</t>
  </si>
  <si>
    <t xml:space="preserve">                外币报表折算差额</t>
  </si>
  <si>
    <t xml:space="preserve">                未确认的投资损失</t>
  </si>
  <si>
    <t xml:space="preserve">                股东权益差额(特殊报表科目)</t>
  </si>
  <si>
    <t xml:space="preserve">                股权权益差额(合计平衡项目)</t>
  </si>
  <si>
    <t xml:space="preserve">                少数股东权益</t>
  </si>
  <si>
    <t xml:space="preserve">                所有者权益合计</t>
  </si>
  <si>
    <t xml:space="preserve">                销售商品、提供劳务收到的现金</t>
  </si>
  <si>
    <t xml:space="preserve">                经营活动产生的现金流量净额</t>
  </si>
  <si>
    <t xml:space="preserve">                收回投资收到的现金</t>
  </si>
  <si>
    <t xml:space="preserve">                取得投资收益收到的现金</t>
  </si>
  <si>
    <t xml:space="preserve">                处置固定资产、无形资产和其他长期资产收回的现金净额</t>
  </si>
  <si>
    <t xml:space="preserve">                购建固定资产、无形资产和其他长期资产支付的现金</t>
  </si>
  <si>
    <t xml:space="preserve">                投资活动产生的现金流量净额</t>
  </si>
  <si>
    <t xml:space="preserve">                吸收投资收到的现金</t>
  </si>
  <si>
    <t xml:space="preserve">                取得借款收到的现金</t>
  </si>
  <si>
    <t xml:space="preserve">                发行债券收到的现金</t>
  </si>
  <si>
    <t xml:space="preserve">                偿还债务支付的现金</t>
  </si>
  <si>
    <t xml:space="preserve">                分配股利、利润或偿付利息支付的现金</t>
  </si>
  <si>
    <t xml:space="preserve">                筹资活动产生的现金流量净额</t>
  </si>
  <si>
    <t xml:space="preserve">                汇率变动对现金的影响</t>
  </si>
  <si>
    <t xml:space="preserve">                期初现金及现金等价物余额</t>
  </si>
  <si>
    <t xml:space="preserve">                期末现金及现金等价物余额</t>
  </si>
  <si>
    <t>营业收入</t>
  </si>
  <si>
    <t>营业成本</t>
  </si>
  <si>
    <t>归属于母公司所有者的净利润</t>
  </si>
  <si>
    <t>季度</t>
  </si>
  <si>
    <t>1Q2024</t>
  </si>
  <si>
    <t>2Q2024</t>
  </si>
  <si>
    <t>3Q2024</t>
  </si>
  <si>
    <t>4Q2024</t>
  </si>
  <si>
    <t>4Q2022</t>
  </si>
  <si>
    <t>Tax Rate</t>
  </si>
  <si>
    <t>Minor Rate</t>
  </si>
  <si>
    <t>Check</t>
    <phoneticPr fontId="25" type="noConversion"/>
  </si>
  <si>
    <r>
      <t xml:space="preserve">                </t>
    </r>
    <r>
      <rPr>
        <sz val="9"/>
        <color theme="0"/>
        <rFont val="宋体"/>
        <family val="3"/>
        <charset val="134"/>
      </rPr>
      <t>研发费用</t>
    </r>
  </si>
  <si>
    <t xml:space="preserve">                应收票据</t>
  </si>
  <si>
    <t xml:space="preserve">                应收账款</t>
  </si>
  <si>
    <t xml:space="preserve">                应收保费</t>
  </si>
  <si>
    <t xml:space="preserve">                应收分保账款</t>
  </si>
  <si>
    <t xml:space="preserve">                应收分保合同准备金</t>
  </si>
  <si>
    <t xml:space="preserve">                固定资产</t>
  </si>
  <si>
    <t xml:space="preserve">                在建工程</t>
  </si>
  <si>
    <t xml:space="preserve">                应付票据</t>
  </si>
  <si>
    <t xml:space="preserve">                应付账款</t>
  </si>
  <si>
    <r>
      <t xml:space="preserve">                </t>
    </r>
    <r>
      <rPr>
        <sz val="9"/>
        <color theme="0"/>
        <rFont val="宋体"/>
        <family val="3"/>
        <charset val="134"/>
      </rPr>
      <t>资产处置收益</t>
    </r>
  </si>
  <si>
    <r>
      <t xml:space="preserve">                </t>
    </r>
    <r>
      <rPr>
        <sz val="9"/>
        <color theme="0"/>
        <rFont val="宋体"/>
        <family val="3"/>
        <charset val="134"/>
      </rPr>
      <t>信用减值损失</t>
    </r>
  </si>
  <si>
    <r>
      <t xml:space="preserve">                </t>
    </r>
    <r>
      <rPr>
        <sz val="9"/>
        <color theme="0"/>
        <rFont val="宋体"/>
        <family val="3"/>
        <charset val="134"/>
      </rPr>
      <t>其他收益</t>
    </r>
  </si>
  <si>
    <r>
      <t xml:space="preserve">                </t>
    </r>
    <r>
      <rPr>
        <sz val="9"/>
        <color theme="0"/>
        <rFont val="宋体"/>
        <family val="3"/>
        <charset val="134"/>
      </rPr>
      <t>汇兑净收益</t>
    </r>
  </si>
  <si>
    <t>销售费用</t>
    <phoneticPr fontId="25" type="noConversion"/>
  </si>
  <si>
    <t>资产减值损失</t>
    <phoneticPr fontId="25" type="noConversion"/>
  </si>
  <si>
    <t>信用减值损失</t>
    <phoneticPr fontId="25" type="noConversion"/>
  </si>
  <si>
    <t>其他收益</t>
    <phoneticPr fontId="25" type="noConversion"/>
  </si>
  <si>
    <r>
      <rPr>
        <i/>
        <sz val="10"/>
        <color theme="7"/>
        <rFont val="Arial Unicode MS"/>
        <family val="2"/>
      </rPr>
      <t>权益法长投</t>
    </r>
    <r>
      <rPr>
        <i/>
        <sz val="10"/>
        <color theme="7"/>
        <rFont val="Arial"/>
        <family val="2"/>
      </rPr>
      <t>-</t>
    </r>
    <r>
      <rPr>
        <i/>
        <sz val="10"/>
        <color theme="7"/>
        <rFont val="Arial Unicode MS"/>
        <family val="2"/>
      </rPr>
      <t>联营合营</t>
    </r>
  </si>
  <si>
    <r>
      <rPr>
        <i/>
        <sz val="10"/>
        <color theme="7"/>
        <rFont val="Arial Unicode MS"/>
        <family val="2"/>
      </rPr>
      <t>理财</t>
    </r>
  </si>
  <si>
    <t>资产处置收益</t>
    <phoneticPr fontId="25" type="noConversion"/>
  </si>
  <si>
    <r>
      <rPr>
        <b/>
        <sz val="10"/>
        <rFont val="微软雅黑"/>
        <family val="2"/>
        <charset val="134"/>
      </rPr>
      <t>股本总额</t>
    </r>
    <r>
      <rPr>
        <b/>
        <sz val="10"/>
        <rFont val="Arial Unicode MS"/>
        <family val="2"/>
      </rPr>
      <t>（万股）</t>
    </r>
    <phoneticPr fontId="25" type="noConversion"/>
  </si>
  <si>
    <r>
      <t xml:space="preserve">                </t>
    </r>
    <r>
      <rPr>
        <sz val="10"/>
        <color theme="0"/>
        <rFont val="宋体"/>
        <family val="2"/>
        <charset val="134"/>
      </rPr>
      <t>营业收入</t>
    </r>
    <phoneticPr fontId="25" type="noConversion"/>
  </si>
  <si>
    <r>
      <rPr>
        <sz val="10"/>
        <rFont val="微软雅黑"/>
        <family val="2"/>
        <charset val="134"/>
      </rPr>
      <t>股利总额</t>
    </r>
    <r>
      <rPr>
        <sz val="10"/>
        <rFont val="Arial Unicode MS"/>
        <family val="2"/>
      </rPr>
      <t>（百万元）</t>
    </r>
    <phoneticPr fontId="25" type="noConversion"/>
  </si>
  <si>
    <t>合同负债</t>
  </si>
  <si>
    <t>资产减值准备</t>
    <phoneticPr fontId="25" type="noConversion"/>
  </si>
  <si>
    <t>投资支付合计</t>
    <phoneticPr fontId="25" type="noConversion"/>
  </si>
  <si>
    <t>其他流出</t>
    <phoneticPr fontId="25" type="noConversion"/>
  </si>
  <si>
    <t>其他流入</t>
    <phoneticPr fontId="25" type="noConversion"/>
  </si>
  <si>
    <t>其他筹资</t>
    <phoneticPr fontId="25" type="noConversion"/>
  </si>
  <si>
    <t>辅助列，不要动</t>
    <phoneticPr fontId="25" type="noConversion"/>
  </si>
  <si>
    <t>公允价值变动净收益</t>
    <phoneticPr fontId="25" type="noConversion"/>
  </si>
  <si>
    <t>投资净收益</t>
    <phoneticPr fontId="25" type="noConversion"/>
  </si>
  <si>
    <t>损益项细则</t>
    <phoneticPr fontId="25" type="noConversion"/>
  </si>
  <si>
    <t>合同资产</t>
    <phoneticPr fontId="25" type="noConversion"/>
  </si>
  <si>
    <t>其他权益工具</t>
    <phoneticPr fontId="25" type="noConversion"/>
  </si>
  <si>
    <t>损益项合计</t>
    <phoneticPr fontId="25" type="noConversion"/>
  </si>
  <si>
    <t>CAPEX</t>
    <phoneticPr fontId="25" type="noConversion"/>
  </si>
  <si>
    <r>
      <rPr>
        <b/>
        <sz val="9"/>
        <rFont val="微软雅黑"/>
        <family val="2"/>
        <charset val="134"/>
      </rPr>
      <t>货币资金</t>
    </r>
    <phoneticPr fontId="25" type="noConversion"/>
  </si>
  <si>
    <t>非经营流动资产</t>
    <phoneticPr fontId="25" type="noConversion"/>
  </si>
  <si>
    <t>流动资产：</t>
    <phoneticPr fontId="25" type="noConversion"/>
  </si>
  <si>
    <t>经营性流动资产</t>
    <phoneticPr fontId="25" type="noConversion"/>
  </si>
  <si>
    <t>总应收项</t>
    <phoneticPr fontId="25" type="noConversion"/>
  </si>
  <si>
    <t>非流动资产：</t>
    <phoneticPr fontId="25" type="noConversion"/>
  </si>
  <si>
    <t>非经营性非流动资产</t>
    <phoneticPr fontId="25" type="noConversion"/>
  </si>
  <si>
    <r>
      <rPr>
        <sz val="9"/>
        <rFont val="微软雅黑"/>
        <family val="2"/>
        <charset val="134"/>
      </rPr>
      <t>国定资产原值</t>
    </r>
    <phoneticPr fontId="25" type="noConversion"/>
  </si>
  <si>
    <r>
      <rPr>
        <sz val="9"/>
        <rFont val="微软雅黑"/>
        <family val="2"/>
        <charset val="134"/>
      </rPr>
      <t>固定资产</t>
    </r>
    <r>
      <rPr>
        <sz val="9"/>
        <rFont val="Arial Unicode MS"/>
        <family val="2"/>
      </rPr>
      <t>-累计折旧</t>
    </r>
    <phoneticPr fontId="25" type="noConversion"/>
  </si>
  <si>
    <t>无形资产原值</t>
    <phoneticPr fontId="25" type="noConversion"/>
  </si>
  <si>
    <t>无形资产-累计摊销</t>
    <phoneticPr fontId="25" type="noConversion"/>
  </si>
  <si>
    <r>
      <rPr>
        <b/>
        <sz val="9"/>
        <rFont val="微软雅黑"/>
        <family val="2"/>
        <charset val="134"/>
      </rPr>
      <t>固形资产</t>
    </r>
    <r>
      <rPr>
        <b/>
        <sz val="9"/>
        <rFont val="Arial Unicode MS"/>
        <family val="2"/>
      </rPr>
      <t>-</t>
    </r>
    <r>
      <rPr>
        <b/>
        <sz val="9"/>
        <rFont val="微软雅黑"/>
        <family val="2"/>
        <charset val="134"/>
      </rPr>
      <t>合计</t>
    </r>
    <phoneticPr fontId="25" type="noConversion"/>
  </si>
  <si>
    <r>
      <rPr>
        <b/>
        <sz val="9"/>
        <rFont val="微软雅黑"/>
        <family val="2"/>
        <charset val="134"/>
      </rPr>
      <t>无形资产</t>
    </r>
    <r>
      <rPr>
        <b/>
        <sz val="9"/>
        <rFont val="Arial Unicode MS"/>
        <family val="2"/>
      </rPr>
      <t>-</t>
    </r>
    <r>
      <rPr>
        <b/>
        <sz val="9"/>
        <rFont val="微软雅黑"/>
        <family val="2"/>
        <charset val="134"/>
      </rPr>
      <t>合计</t>
    </r>
    <phoneticPr fontId="25" type="noConversion"/>
  </si>
  <si>
    <t>%Rev</t>
    <phoneticPr fontId="25" type="noConversion"/>
  </si>
  <si>
    <t>固定资产-其他</t>
    <phoneticPr fontId="25" type="noConversion"/>
  </si>
  <si>
    <r>
      <rPr>
        <i/>
        <sz val="9"/>
        <rFont val="微软雅黑"/>
        <family val="2"/>
        <charset val="134"/>
      </rPr>
      <t>固定资产增加</t>
    </r>
    <r>
      <rPr>
        <i/>
        <sz val="9"/>
        <rFont val="Arial Unicode MS"/>
        <family val="2"/>
        <charset val="134"/>
      </rPr>
      <t>（此处省略转入在建工程再从在建工程转出）</t>
    </r>
    <phoneticPr fontId="25" type="noConversion"/>
  </si>
  <si>
    <t>当期折旧</t>
    <phoneticPr fontId="25" type="noConversion"/>
  </si>
  <si>
    <t>DepreciationRate</t>
    <phoneticPr fontId="25" type="noConversion"/>
  </si>
  <si>
    <t>无形资产增加（此处省略转入开发支出再从开发支出转出）</t>
    <phoneticPr fontId="25" type="noConversion"/>
  </si>
  <si>
    <t>当期Amo</t>
    <phoneticPr fontId="25" type="noConversion"/>
  </si>
  <si>
    <t>AmortizationRate</t>
    <phoneticPr fontId="25" type="noConversion"/>
  </si>
  <si>
    <t>流动负债：</t>
    <phoneticPr fontId="25" type="noConversion"/>
  </si>
  <si>
    <t>非经营性流动负债</t>
    <phoneticPr fontId="25" type="noConversion"/>
  </si>
  <si>
    <t>经营性流动负债</t>
    <phoneticPr fontId="25" type="noConversion"/>
  </si>
  <si>
    <r>
      <rPr>
        <b/>
        <sz val="9"/>
        <rFont val="微软雅黑"/>
        <family val="2"/>
        <charset val="134"/>
      </rPr>
      <t>经营性流动负债</t>
    </r>
    <phoneticPr fontId="25" type="noConversion"/>
  </si>
  <si>
    <r>
      <rPr>
        <b/>
        <sz val="9"/>
        <rFont val="微软雅黑"/>
        <family val="2"/>
        <charset val="134"/>
      </rPr>
      <t>总折旧摊销</t>
    </r>
    <phoneticPr fontId="25" type="noConversion"/>
  </si>
  <si>
    <t>非流动负债：</t>
    <phoneticPr fontId="25" type="noConversion"/>
  </si>
  <si>
    <t>应付债券</t>
    <phoneticPr fontId="25" type="noConversion"/>
  </si>
  <si>
    <t>生息非流动负债</t>
    <phoneticPr fontId="25" type="noConversion"/>
  </si>
  <si>
    <r>
      <rPr>
        <b/>
        <sz val="9"/>
        <rFont val="微软雅黑"/>
        <family val="2"/>
        <charset val="134"/>
      </rPr>
      <t>非生息非流动负债</t>
    </r>
    <phoneticPr fontId="25" type="noConversion"/>
  </si>
  <si>
    <t>总资产</t>
    <phoneticPr fontId="25" type="noConversion"/>
  </si>
  <si>
    <t>总负债</t>
    <phoneticPr fontId="25" type="noConversion"/>
  </si>
  <si>
    <t>总所有者权益</t>
    <phoneticPr fontId="25" type="noConversion"/>
  </si>
  <si>
    <r>
      <rPr>
        <b/>
        <sz val="9"/>
        <rFont val="微软雅黑"/>
        <family val="2"/>
        <charset val="134"/>
      </rPr>
      <t>利息支出</t>
    </r>
    <phoneticPr fontId="25" type="noConversion"/>
  </si>
  <si>
    <t>利率：负债端</t>
    <phoneticPr fontId="25" type="noConversion"/>
  </si>
  <si>
    <t>所有者权益</t>
    <phoneticPr fontId="25" type="noConversion"/>
  </si>
  <si>
    <t>经营性流动资产的减少</t>
    <phoneticPr fontId="25" type="noConversion"/>
  </si>
  <si>
    <t>经营性流动负债的增加</t>
    <phoneticPr fontId="25" type="noConversion"/>
  </si>
  <si>
    <t>递延所得税资产的减少</t>
    <phoneticPr fontId="25" type="noConversion"/>
  </si>
  <si>
    <t>递延所得税负债的增加</t>
    <phoneticPr fontId="25" type="noConversion"/>
  </si>
  <si>
    <t>公允价值变动损失</t>
    <phoneticPr fontId="25" type="noConversion"/>
  </si>
  <si>
    <t>直接法-参考</t>
    <phoneticPr fontId="25" type="noConversion"/>
  </si>
  <si>
    <t>投资收益（扣除项）</t>
    <phoneticPr fontId="25" type="noConversion"/>
  </si>
  <si>
    <t>其他</t>
    <phoneticPr fontId="25" type="noConversion"/>
  </si>
  <si>
    <t>间接法-测算</t>
    <phoneticPr fontId="25" type="noConversion"/>
  </si>
  <si>
    <t>总CAPEX</t>
    <phoneticPr fontId="25" type="noConversion"/>
  </si>
  <si>
    <t>其他筹资流出</t>
    <phoneticPr fontId="25" type="noConversion"/>
  </si>
  <si>
    <t>资产负债表：</t>
    <phoneticPr fontId="25" type="noConversion"/>
  </si>
  <si>
    <t>期初现金</t>
    <phoneticPr fontId="25" type="noConversion"/>
  </si>
  <si>
    <t>期末现金</t>
    <phoneticPr fontId="25" type="noConversion"/>
  </si>
  <si>
    <t>现金流量表：</t>
    <phoneticPr fontId="25" type="noConversion"/>
  </si>
  <si>
    <t>受限资金</t>
    <phoneticPr fontId="25" type="noConversion"/>
  </si>
  <si>
    <t>利息收入</t>
    <phoneticPr fontId="25" type="noConversion"/>
  </si>
  <si>
    <t>利率：资产端</t>
    <phoneticPr fontId="25" type="noConversion"/>
  </si>
  <si>
    <t>总生息资产</t>
    <phoneticPr fontId="25" type="noConversion"/>
  </si>
  <si>
    <t>现金变动</t>
    <phoneticPr fontId="25" type="noConversion"/>
  </si>
  <si>
    <t>Model Balance Check</t>
    <phoneticPr fontId="25" type="noConversion"/>
  </si>
  <si>
    <r>
      <rPr>
        <b/>
        <sz val="9"/>
        <rFont val="宋体"/>
        <family val="2"/>
        <charset val="134"/>
      </rPr>
      <t>没有使用辅助项，现金流量表和资产负债表进行基础但严密的勾稽</t>
    </r>
    <r>
      <rPr>
        <b/>
        <sz val="9"/>
        <rFont val="Arial Unicode MS"/>
        <family val="2"/>
      </rPr>
      <t>；资产减值项单独加回导致货币资金增加；需要同时在资产项后抵减；综合下来不影响资产负债表大小，数额不大进行简化考虑，在DCF中再考虑</t>
    </r>
    <phoneticPr fontId="25" type="noConversion"/>
  </si>
  <si>
    <t>EBIT</t>
    <phoneticPr fontId="25" type="noConversion"/>
  </si>
  <si>
    <t>NOPAT</t>
    <phoneticPr fontId="25" type="noConversion"/>
  </si>
  <si>
    <t>DA</t>
    <phoneticPr fontId="25" type="noConversion"/>
  </si>
  <si>
    <t>CWC</t>
    <phoneticPr fontId="25" type="noConversion"/>
  </si>
  <si>
    <t>FCFF</t>
    <phoneticPr fontId="25" type="noConversion"/>
  </si>
  <si>
    <t>总生息负债</t>
    <phoneticPr fontId="25" type="noConversion"/>
  </si>
  <si>
    <t>其他财务费用</t>
    <phoneticPr fontId="25" type="noConversion"/>
  </si>
  <si>
    <r>
      <t xml:space="preserve">                        </t>
    </r>
    <r>
      <rPr>
        <sz val="9"/>
        <color theme="0"/>
        <rFont val="宋体"/>
        <family val="3"/>
        <charset val="134"/>
      </rPr>
      <t>应收利息</t>
    </r>
  </si>
  <si>
    <r>
      <t xml:space="preserve">                        </t>
    </r>
    <r>
      <rPr>
        <sz val="9"/>
        <color theme="0"/>
        <rFont val="宋体"/>
        <family val="3"/>
        <charset val="134"/>
      </rPr>
      <t>其他应收款</t>
    </r>
  </si>
  <si>
    <r>
      <t xml:space="preserve">                        </t>
    </r>
    <r>
      <rPr>
        <sz val="9"/>
        <color theme="0"/>
        <rFont val="宋体"/>
        <family val="3"/>
        <charset val="134"/>
      </rPr>
      <t>应收股利</t>
    </r>
  </si>
  <si>
    <r>
      <t xml:space="preserve">                </t>
    </r>
    <r>
      <rPr>
        <sz val="9"/>
        <color theme="0"/>
        <rFont val="宋体"/>
        <family val="3"/>
        <charset val="134"/>
      </rPr>
      <t>固定资产原价</t>
    </r>
    <r>
      <rPr>
        <sz val="9"/>
        <color theme="0"/>
        <rFont val="Arial"/>
        <family val="2"/>
      </rPr>
      <t>(</t>
    </r>
    <r>
      <rPr>
        <sz val="9"/>
        <color theme="0"/>
        <rFont val="宋体"/>
        <family val="3"/>
        <charset val="134"/>
      </rPr>
      <t>百万元</t>
    </r>
    <r>
      <rPr>
        <sz val="9"/>
        <color theme="0"/>
        <rFont val="Arial"/>
        <family val="2"/>
      </rPr>
      <t>)</t>
    </r>
  </si>
  <si>
    <r>
      <t xml:space="preserve">                </t>
    </r>
    <r>
      <rPr>
        <sz val="9"/>
        <color theme="0"/>
        <rFont val="宋体"/>
        <family val="3"/>
        <charset val="134"/>
      </rPr>
      <t>减：累计折旧</t>
    </r>
    <r>
      <rPr>
        <sz val="9"/>
        <color theme="0"/>
        <rFont val="Arial"/>
        <family val="2"/>
      </rPr>
      <t>(</t>
    </r>
    <r>
      <rPr>
        <sz val="9"/>
        <color theme="0"/>
        <rFont val="宋体"/>
        <family val="3"/>
        <charset val="134"/>
      </rPr>
      <t>百万元</t>
    </r>
    <r>
      <rPr>
        <sz val="9"/>
        <color theme="0"/>
        <rFont val="Arial"/>
        <family val="2"/>
      </rPr>
      <t>)</t>
    </r>
  </si>
  <si>
    <r>
      <t xml:space="preserve">                </t>
    </r>
    <r>
      <rPr>
        <sz val="9"/>
        <color theme="0"/>
        <rFont val="宋体"/>
        <family val="3"/>
        <charset val="134"/>
      </rPr>
      <t>无形资产原价</t>
    </r>
    <r>
      <rPr>
        <sz val="9"/>
        <color theme="0"/>
        <rFont val="Arial"/>
        <family val="2"/>
      </rPr>
      <t>(</t>
    </r>
    <r>
      <rPr>
        <sz val="9"/>
        <color theme="0"/>
        <rFont val="宋体"/>
        <family val="3"/>
        <charset val="134"/>
      </rPr>
      <t>百万元</t>
    </r>
    <r>
      <rPr>
        <sz val="9"/>
        <color theme="0"/>
        <rFont val="Arial"/>
        <family val="2"/>
      </rPr>
      <t>)</t>
    </r>
  </si>
  <si>
    <r>
      <t xml:space="preserve">                </t>
    </r>
    <r>
      <rPr>
        <sz val="9"/>
        <color theme="0"/>
        <rFont val="宋体"/>
        <family val="3"/>
        <charset val="134"/>
      </rPr>
      <t>减：累计摊销</t>
    </r>
    <r>
      <rPr>
        <sz val="9"/>
        <color theme="0"/>
        <rFont val="Arial"/>
        <family val="2"/>
      </rPr>
      <t>(</t>
    </r>
    <r>
      <rPr>
        <sz val="9"/>
        <color theme="0"/>
        <rFont val="宋体"/>
        <family val="3"/>
        <charset val="134"/>
      </rPr>
      <t>百万元</t>
    </r>
    <r>
      <rPr>
        <sz val="9"/>
        <color theme="0"/>
        <rFont val="Arial"/>
        <family val="2"/>
      </rPr>
      <t>)</t>
    </r>
  </si>
  <si>
    <r>
      <t xml:space="preserve">                        </t>
    </r>
    <r>
      <rPr>
        <sz val="9"/>
        <color theme="0"/>
        <rFont val="宋体"/>
        <family val="3"/>
        <charset val="134"/>
      </rPr>
      <t>应付利息</t>
    </r>
  </si>
  <si>
    <r>
      <t xml:space="preserve">                        </t>
    </r>
    <r>
      <rPr>
        <sz val="9"/>
        <color theme="0"/>
        <rFont val="宋体"/>
        <family val="3"/>
        <charset val="134"/>
      </rPr>
      <t>应付股利</t>
    </r>
  </si>
  <si>
    <r>
      <t xml:space="preserve">                       </t>
    </r>
    <r>
      <rPr>
        <sz val="9"/>
        <color theme="0"/>
        <rFont val="宋体"/>
        <family val="3"/>
        <charset val="134"/>
      </rPr>
      <t>其他应付款</t>
    </r>
  </si>
  <si>
    <r>
      <t xml:space="preserve">                </t>
    </r>
    <r>
      <rPr>
        <sz val="9"/>
        <color theme="0"/>
        <rFont val="宋体"/>
        <family val="3"/>
        <charset val="134"/>
      </rPr>
      <t>其他综合收益</t>
    </r>
  </si>
  <si>
    <t>ROA</t>
    <phoneticPr fontId="25" type="noConversion"/>
  </si>
  <si>
    <t>ROE</t>
    <phoneticPr fontId="25" type="noConversion"/>
  </si>
  <si>
    <t>ROIC</t>
    <phoneticPr fontId="25" type="noConversion"/>
  </si>
  <si>
    <t>EBITDA</t>
    <phoneticPr fontId="25" type="noConversion"/>
  </si>
  <si>
    <t>EV</t>
    <phoneticPr fontId="25" type="noConversion"/>
  </si>
  <si>
    <t>Invested Capital</t>
    <phoneticPr fontId="25" type="noConversion"/>
  </si>
  <si>
    <t>EV/EBITDA</t>
    <phoneticPr fontId="25" type="noConversion"/>
  </si>
  <si>
    <t>目标市值</t>
    <phoneticPr fontId="25" type="noConversion"/>
  </si>
  <si>
    <t>归母净利润</t>
    <phoneticPr fontId="25" type="noConversion"/>
  </si>
  <si>
    <t>PE</t>
    <phoneticPr fontId="25" type="noConversion"/>
  </si>
  <si>
    <t>Operating Capital</t>
    <phoneticPr fontId="25" type="noConversion"/>
  </si>
  <si>
    <t>GPM</t>
    <phoneticPr fontId="25" type="noConversion"/>
  </si>
  <si>
    <t>NPM</t>
    <phoneticPr fontId="25" type="noConversion"/>
  </si>
  <si>
    <t>EBITM</t>
    <phoneticPr fontId="25" type="noConversion"/>
  </si>
  <si>
    <t>EBITDAM</t>
    <phoneticPr fontId="25" type="noConversion"/>
  </si>
  <si>
    <t>EPS-MODEL</t>
    <phoneticPr fontId="25" type="noConversion"/>
  </si>
  <si>
    <t>EPS-Wind</t>
    <phoneticPr fontId="25" type="noConversion"/>
  </si>
  <si>
    <t>PB</t>
    <phoneticPr fontId="25" type="noConversion"/>
  </si>
  <si>
    <t>Dividend Yield</t>
    <phoneticPr fontId="25" type="noConversion"/>
  </si>
  <si>
    <t>营业收入</t>
    <phoneticPr fontId="20" type="noConversion"/>
  </si>
  <si>
    <t>毛利率</t>
    <phoneticPr fontId="20" type="noConversion"/>
  </si>
  <si>
    <t>归母净利润</t>
    <phoneticPr fontId="20" type="noConversion"/>
  </si>
  <si>
    <t>ROE</t>
    <phoneticPr fontId="20" type="noConversion"/>
  </si>
  <si>
    <t>EPS</t>
    <phoneticPr fontId="20" type="noConversion"/>
  </si>
  <si>
    <t>PE</t>
    <phoneticPr fontId="20" type="noConversion"/>
  </si>
  <si>
    <t>PB</t>
    <phoneticPr fontId="20" type="noConversion"/>
  </si>
  <si>
    <t>EV/EBITDA</t>
    <phoneticPr fontId="20" type="noConversion"/>
  </si>
  <si>
    <t>2024E</t>
    <phoneticPr fontId="20" type="noConversion"/>
  </si>
  <si>
    <t>2025E</t>
    <phoneticPr fontId="20" type="noConversion"/>
  </si>
  <si>
    <t>2026E</t>
  </si>
  <si>
    <t>2026E</t>
    <phoneticPr fontId="20" type="noConversion"/>
  </si>
  <si>
    <t>营收YOY</t>
    <phoneticPr fontId="20" type="noConversion"/>
  </si>
  <si>
    <t>归母净利润YOY</t>
    <phoneticPr fontId="20" type="noConversion"/>
  </si>
  <si>
    <t>1Q2025</t>
  </si>
  <si>
    <t>2Q2025</t>
  </si>
  <si>
    <t>3Q2025</t>
  </si>
  <si>
    <t>4Q2025</t>
  </si>
  <si>
    <t>使用前请激活财务费用循环：右侧按钮，先重置为0再公式化</t>
    <phoneticPr fontId="25" type="noConversion"/>
  </si>
  <si>
    <t>NP</t>
    <phoneticPr fontId="25" type="noConversion"/>
  </si>
  <si>
    <t>yoy</t>
    <phoneticPr fontId="25" type="noConversion"/>
  </si>
  <si>
    <t>25利润</t>
    <phoneticPr fontId="25" type="noConversion"/>
  </si>
  <si>
    <t>25PE</t>
    <phoneticPr fontId="25" type="noConversion"/>
  </si>
  <si>
    <r>
      <rPr>
        <b/>
        <sz val="9"/>
        <color theme="1"/>
        <rFont val="微软雅黑"/>
        <family val="2"/>
        <charset val="134"/>
      </rPr>
      <t>目标</t>
    </r>
    <r>
      <rPr>
        <b/>
        <sz val="9"/>
        <color theme="1"/>
        <rFont val="Arial Unicode MS"/>
        <family val="2"/>
      </rPr>
      <t>25PE</t>
    </r>
    <phoneticPr fontId="25" type="noConversion"/>
  </si>
  <si>
    <t>周转计算</t>
    <phoneticPr fontId="25" type="noConversion"/>
  </si>
  <si>
    <t>存货</t>
    <phoneticPr fontId="25" type="noConversion"/>
  </si>
  <si>
    <t>其他流动资产</t>
  </si>
  <si>
    <t>营运资金，资产方</t>
  </si>
  <si>
    <t>应付帐款</t>
  </si>
  <si>
    <t>预收帐款</t>
  </si>
  <si>
    <t>其他应付款</t>
  </si>
  <si>
    <t>其他流动负债</t>
  </si>
  <si>
    <t>营运资金，负债方</t>
  </si>
  <si>
    <t>营运资金净额</t>
  </si>
  <si>
    <t>W.C.  Chg</t>
  </si>
  <si>
    <t>固定资产周转率</t>
  </si>
  <si>
    <t>总资产周转率</t>
  </si>
  <si>
    <t>总应收项（应收账款等）</t>
    <phoneticPr fontId="25" type="noConversion"/>
  </si>
  <si>
    <t>毛利越高，两种算法差距越大</t>
    <phoneticPr fontId="25" type="noConversion"/>
  </si>
  <si>
    <t>现金转换周期（天，按营运资金计算）</t>
    <phoneticPr fontId="25" type="noConversion"/>
  </si>
  <si>
    <t>现金转换周期（天，按资产项对成本，负债项对收入计算）</t>
    <phoneticPr fontId="25" type="noConversion"/>
  </si>
  <si>
    <t>新准则科目变动后，统一归属到其他应付中</t>
    <phoneticPr fontId="25" type="noConversion"/>
  </si>
  <si>
    <t>固定资产周转天数，相对于销售收入</t>
    <phoneticPr fontId="25" type="noConversion"/>
  </si>
  <si>
    <t>总资产周转天数，相对于销售收入</t>
    <phoneticPr fontId="25" type="noConversion"/>
  </si>
  <si>
    <r>
      <rPr>
        <b/>
        <sz val="10"/>
        <rFont val="微软雅黑"/>
        <family val="2"/>
        <charset val="134"/>
      </rPr>
      <t>可转债项目</t>
    </r>
    <r>
      <rPr>
        <b/>
        <sz val="10"/>
        <rFont val="Arial Unicode MS"/>
        <family val="2"/>
        <charset val="134"/>
      </rPr>
      <t>计算器</t>
    </r>
    <phoneticPr fontId="25" type="noConversion"/>
  </si>
  <si>
    <t>周转天数,相对于销售成本</t>
    <phoneticPr fontId="25" type="noConversion"/>
  </si>
  <si>
    <t>资产方周转天数, 销售成本</t>
    <phoneticPr fontId="25" type="noConversion"/>
  </si>
  <si>
    <t>周转天数,相对于销售收入</t>
  </si>
  <si>
    <t>周转天数, 相对于销售收入</t>
  </si>
  <si>
    <t>比率计算</t>
    <phoneticPr fontId="25" type="noConversion"/>
  </si>
  <si>
    <t>盈利能力</t>
    <phoneticPr fontId="25" type="noConversion"/>
  </si>
  <si>
    <t>资产指标</t>
    <phoneticPr fontId="25" type="noConversion"/>
  </si>
  <si>
    <t>周转指标</t>
    <phoneticPr fontId="25" type="noConversion"/>
  </si>
  <si>
    <t>估值倍数</t>
    <phoneticPr fontId="25" type="noConversion"/>
  </si>
  <si>
    <t>现金项目</t>
    <phoneticPr fontId="25" type="noConversion"/>
  </si>
  <si>
    <t>CAPEX假设</t>
    <phoneticPr fontId="25" type="noConversion"/>
  </si>
  <si>
    <t>营运资产计算</t>
    <phoneticPr fontId="25" type="noConversion"/>
  </si>
  <si>
    <t>yoy</t>
    <phoneticPr fontId="20" type="noConversion"/>
  </si>
  <si>
    <t>归母净利润率</t>
    <phoneticPr fontId="25" type="noConversion"/>
  </si>
  <si>
    <t>销售费用率</t>
    <phoneticPr fontId="20" type="noConversion"/>
  </si>
  <si>
    <t>管理费用率</t>
    <phoneticPr fontId="20" type="noConversion"/>
  </si>
  <si>
    <t>毛销差</t>
    <phoneticPr fontId="20" type="noConversion"/>
  </si>
  <si>
    <t>研发费用率</t>
    <phoneticPr fontId="20" type="noConversion"/>
  </si>
  <si>
    <t>财务费用率</t>
    <phoneticPr fontId="20" type="noConversion"/>
  </si>
  <si>
    <t>有效税率</t>
    <phoneticPr fontId="20" type="noConversion"/>
  </si>
  <si>
    <r>
      <rPr>
        <sz val="10"/>
        <color theme="0"/>
        <rFont val="宋体"/>
        <family val="2"/>
        <charset val="134"/>
      </rPr>
      <t>营业收入</t>
    </r>
    <r>
      <rPr>
        <sz val="10"/>
        <color theme="0"/>
        <rFont val="Arial"/>
        <family val="2"/>
      </rPr>
      <t>yoy</t>
    </r>
    <phoneticPr fontId="25" type="noConversion"/>
  </si>
  <si>
    <r>
      <rPr>
        <sz val="9"/>
        <color theme="0"/>
        <rFont val="宋体"/>
        <family val="2"/>
        <charset val="134"/>
      </rPr>
      <t>营业成本</t>
    </r>
    <r>
      <rPr>
        <sz val="9"/>
        <color theme="0"/>
        <rFont val="Arial"/>
        <family val="2"/>
      </rPr>
      <t>yoy</t>
    </r>
    <phoneticPr fontId="25" type="noConversion"/>
  </si>
  <si>
    <r>
      <rPr>
        <sz val="10"/>
        <color theme="0"/>
        <rFont val="宋体"/>
        <family val="2"/>
        <charset val="134"/>
      </rPr>
      <t>归母净利润</t>
    </r>
    <r>
      <rPr>
        <sz val="10"/>
        <color theme="0"/>
        <rFont val="Arial"/>
        <family val="2"/>
      </rPr>
      <t>yoy</t>
    </r>
    <phoneticPr fontId="25" type="noConversion"/>
  </si>
  <si>
    <t>扣非归母净利润（财报附注）</t>
    <phoneticPr fontId="25" type="noConversion"/>
  </si>
  <si>
    <t>扣非归母净利润率</t>
    <phoneticPr fontId="25" type="noConversion"/>
  </si>
  <si>
    <r>
      <rPr>
        <sz val="10"/>
        <color theme="0"/>
        <rFont val="宋体"/>
        <family val="2"/>
        <charset val="134"/>
      </rPr>
      <t>扣非归母</t>
    </r>
    <r>
      <rPr>
        <sz val="10"/>
        <color theme="0"/>
        <rFont val="Arial"/>
        <family val="2"/>
      </rPr>
      <t>yoy</t>
    </r>
    <phoneticPr fontId="25" type="noConversion"/>
  </si>
  <si>
    <t>归母净利润率</t>
    <phoneticPr fontId="20" type="noConversion"/>
  </si>
  <si>
    <t>扣非归母净利润率</t>
    <phoneticPr fontId="20" type="noConversion"/>
  </si>
  <si>
    <t>扣非归母净利润</t>
    <phoneticPr fontId="20" type="noConversion"/>
  </si>
  <si>
    <t>扣非净利润率</t>
    <phoneticPr fontId="25" type="noConversion"/>
  </si>
  <si>
    <t>扣非净利润率</t>
    <phoneticPr fontId="20" type="noConversion"/>
  </si>
  <si>
    <t>TODAY</t>
    <phoneticPr fontId="20" type="noConversion"/>
  </si>
  <si>
    <t>收入</t>
    <phoneticPr fontId="20" type="noConversion"/>
  </si>
  <si>
    <t>利润</t>
    <phoneticPr fontId="20" type="noConversion"/>
  </si>
  <si>
    <t>市值</t>
    <phoneticPr fontId="20" type="noConversion"/>
  </si>
  <si>
    <t>年份</t>
    <phoneticPr fontId="20" type="noConversion"/>
  </si>
  <si>
    <t>列名</t>
    <phoneticPr fontId="20" type="noConversion"/>
  </si>
  <si>
    <t>PE分位</t>
    <phoneticPr fontId="20" type="noConversion"/>
  </si>
  <si>
    <t>3Q2024</t>
    <phoneticPr fontId="20" type="noConversion"/>
  </si>
  <si>
    <t>日期</t>
    <phoneticPr fontId="20" type="noConversion"/>
  </si>
  <si>
    <t>三年维度</t>
    <phoneticPr fontId="20" type="noConversion"/>
  </si>
  <si>
    <t>五年维度</t>
    <phoneticPr fontId="20" type="noConversion"/>
  </si>
  <si>
    <t>十年维度</t>
    <phoneticPr fontId="20" type="noConversion"/>
  </si>
  <si>
    <t>单位：亿元</t>
    <phoneticPr fontId="20" type="noConversion"/>
  </si>
  <si>
    <t>DCF参考</t>
    <phoneticPr fontId="20" type="noConversion"/>
  </si>
  <si>
    <t>对应PE</t>
    <phoneticPr fontId="20" type="noConversion"/>
  </si>
  <si>
    <t>上市以来</t>
    <phoneticPr fontId="20" type="noConversion"/>
  </si>
  <si>
    <t>折现值</t>
    <phoneticPr fontId="20" type="noConversion"/>
  </si>
  <si>
    <t>一年维度</t>
    <phoneticPr fontId="20" type="noConversion"/>
  </si>
  <si>
    <t>最近的估值波动（基于WIND预期，仅供参考）</t>
    <phoneticPr fontId="20" type="noConversion"/>
  </si>
  <si>
    <t>模型</t>
    <phoneticPr fontId="20" type="noConversion"/>
  </si>
  <si>
    <r>
      <t>wind</t>
    </r>
    <r>
      <rPr>
        <sz val="10"/>
        <color theme="1"/>
        <rFont val="宋体"/>
        <family val="2"/>
        <charset val="134"/>
      </rPr>
      <t>一致</t>
    </r>
    <phoneticPr fontId="20" type="noConversion"/>
  </si>
  <si>
    <t>盈利质量</t>
    <phoneticPr fontId="25" type="noConversion"/>
  </si>
  <si>
    <t>收现水平</t>
    <phoneticPr fontId="25" type="noConversion"/>
  </si>
  <si>
    <t>净现水平</t>
    <phoneticPr fontId="25" type="noConversion"/>
  </si>
  <si>
    <t>应付（合同负债）增加占净利润水平</t>
    <phoneticPr fontId="25" type="noConversion"/>
  </si>
  <si>
    <t>累库占净利润水平</t>
    <phoneticPr fontId="25" type="noConversion"/>
  </si>
  <si>
    <t>直接法：经营活动收到的现金</t>
    <phoneticPr fontId="25" type="noConversion"/>
  </si>
  <si>
    <t>市值</t>
    <phoneticPr fontId="25" type="noConversion"/>
  </si>
  <si>
    <t>='Raw-IS'!B1</t>
    <phoneticPr fontId="25" type="noConversion"/>
  </si>
  <si>
    <t>合同负债增加占总收入比（蓄水池指标）</t>
  </si>
  <si>
    <t>合同负债增加占总收入比（蓄水池指标）</t>
    <phoneticPr fontId="25" type="noConversion"/>
  </si>
  <si>
    <t>库存增加占销售成本比（累库指标）</t>
  </si>
  <si>
    <t>库存增加占销售成本比（累库指标）</t>
    <phoneticPr fontId="25" type="noConversion"/>
  </si>
  <si>
    <t>收现水平</t>
  </si>
  <si>
    <t>净现水平</t>
  </si>
  <si>
    <t>单朔</t>
    <phoneticPr fontId="25" type="noConversion"/>
  </si>
  <si>
    <t>002946.SZ</t>
    <phoneticPr fontId="25" type="noConversion"/>
  </si>
  <si>
    <t>扣非归母净利润</t>
  </si>
  <si>
    <t>2027E</t>
  </si>
  <si>
    <t>2028E</t>
  </si>
  <si>
    <t>2028E</t>
    <phoneticPr fontId="25" type="noConversion"/>
  </si>
  <si>
    <t>c</t>
    <phoneticPr fontId="2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</si>
</sst>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42" formatCode="_ &quot;¥&quot;* #,##0_ ;_ &quot;¥&quot;* \-#,##0_ ;_ &quot;¥&quot;* &quot;-&quot;_ ;_ @_ "/>
    <numFmt numFmtId="41" formatCode="_ * #,##0_ ;_ * \-#,##0_ ;_ * &quot;-&quot;_ ;_ @_ "/>
    <numFmt numFmtId="44" formatCode="_ &quot;¥&quot;* #,##0.00_ ;_ &quot;¥&quot;* \-#,##0.00_ ;_ &quot;¥&quot;* &quot;-&quot;??_ ;_ @_ "/>
    <numFmt numFmtId="43" formatCode="_ * #,##0.00_ ;_ * \-#,##0.00_ ;_ * &quot;-&quot;??_ ;_ @_ "/>
    <numFmt numFmtId="176" formatCode="#,##0.0"/>
    <numFmt numFmtId="177" formatCode="0.0%"/>
    <numFmt numFmtId="178" formatCode="#,##0_);\(#,##0\)"/>
    <numFmt numFmtId="179" formatCode="#,##0.0_);\(#,##0.0\)"/>
    <numFmt numFmtId="180" formatCode="yyyy"/>
    <numFmt numFmtId="181" formatCode="###,###,##0.00"/>
    <numFmt numFmtId="182" formatCode="0.0\x"/>
    <numFmt numFmtId="183" formatCode="0.0\X"/>
    <numFmt numFmtId="185" formatCode="0.0_);[Red]\(0.0\)"/>
    <numFmt numFmtId="186" formatCode="#,##0.00_);\(#,##0.00\)"/>
    <numFmt numFmtId="187" formatCode="_ * #,##0_ ;_ * \-#,##0_ ;_ * &quot;-&quot;??_ ;_ @_ "/>
    <numFmt numFmtId="188" formatCode="#,##0.00_ ;[Red]\-#,##0.00\ "/>
    <numFmt numFmtId="189" formatCode="#,##0_ ;[Red]\-#,##0\ "/>
    <numFmt numFmtId="191" formatCode="###,###,##0.0000"/>
    <numFmt numFmtId="192" formatCode="0_);[Red]\(0\)"/>
    <numFmt numFmtId="194" formatCode="[$-F800]dddd\,\ mmmm\ dd\,\ yyyy"/>
  </numFmts>
  <fonts count="127"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宋体"/>
      <family val="3"/>
      <charset val="134"/>
    </font>
    <font>
      <b/>
      <sz val="9"/>
      <color theme="0"/>
      <name val="Arial Unicode MS"/>
      <family val="2"/>
    </font>
    <font>
      <b/>
      <sz val="9"/>
      <name val="Arial Unicode MS"/>
      <family val="2"/>
    </font>
    <font>
      <sz val="9"/>
      <color theme="1"/>
      <name val="Arial Unicode MS"/>
      <family val="2"/>
    </font>
    <font>
      <b/>
      <sz val="9"/>
      <color theme="1"/>
      <name val="Arial Unicode MS"/>
      <family val="2"/>
    </font>
    <font>
      <b/>
      <sz val="10"/>
      <color theme="1"/>
      <name val="Arial"/>
      <family val="2"/>
    </font>
    <font>
      <b/>
      <sz val="9"/>
      <color rgb="FF3333FF"/>
      <name val="Arial Unicode MS"/>
      <family val="2"/>
    </font>
    <font>
      <sz val="9"/>
      <color indexed="8"/>
      <name val="Arial Unicode MS"/>
      <family val="2"/>
    </font>
    <font>
      <b/>
      <sz val="9"/>
      <color indexed="8"/>
      <name val="Arial Unicode MS"/>
      <family val="2"/>
    </font>
    <font>
      <i/>
      <sz val="9"/>
      <name val="Arial Unicode MS"/>
      <family val="2"/>
    </font>
    <font>
      <sz val="9"/>
      <name val="Arial Unicode MS"/>
      <family val="2"/>
    </font>
    <font>
      <i/>
      <sz val="9"/>
      <color indexed="8"/>
      <name val="Arial Unicode MS"/>
      <family val="2"/>
    </font>
    <font>
      <i/>
      <sz val="9"/>
      <color theme="1"/>
      <name val="Arial Unicode MS"/>
      <family val="2"/>
    </font>
    <font>
      <i/>
      <sz val="10"/>
      <color theme="1"/>
      <name val="Arial"/>
      <family val="2"/>
    </font>
    <font>
      <b/>
      <i/>
      <sz val="9"/>
      <color indexed="8"/>
      <name val="Arial Unicode MS"/>
      <family val="2"/>
    </font>
    <font>
      <i/>
      <sz val="9"/>
      <color theme="0"/>
      <name val="Arial Unicode MS"/>
      <family val="2"/>
    </font>
    <font>
      <b/>
      <sz val="9"/>
      <name val="Tahoma"/>
      <family val="2"/>
    </font>
    <font>
      <sz val="9"/>
      <name val="Tahoma"/>
      <family val="2"/>
    </font>
    <font>
      <sz val="9"/>
      <name val="宋体"/>
      <family val="3"/>
      <charset val="134"/>
    </font>
    <font>
      <b/>
      <sz val="10"/>
      <color theme="0"/>
      <name val="Arial Unicode MS"/>
      <family val="2"/>
    </font>
    <font>
      <sz val="10"/>
      <name val="Arial Unicode MS"/>
      <family val="2"/>
    </font>
    <font>
      <sz val="9"/>
      <color theme="1"/>
      <name val="Arial"/>
      <family val="2"/>
    </font>
    <font>
      <sz val="10"/>
      <name val="Arial"/>
      <family val="2"/>
    </font>
    <font>
      <sz val="9"/>
      <name val="Arial"/>
      <family val="2"/>
    </font>
    <font>
      <b/>
      <sz val="9"/>
      <color theme="1"/>
      <name val="Arial"/>
      <family val="2"/>
    </font>
    <font>
      <i/>
      <sz val="10"/>
      <name val="Arial Unicode MS"/>
      <family val="2"/>
    </font>
    <font>
      <i/>
      <sz val="9"/>
      <color theme="1"/>
      <name val="Arial"/>
      <family val="2"/>
    </font>
    <font>
      <b/>
      <sz val="10"/>
      <name val="Arial Unicode MS"/>
      <family val="2"/>
    </font>
    <font>
      <i/>
      <sz val="9"/>
      <name val="Arial"/>
      <family val="2"/>
    </font>
    <font>
      <sz val="9"/>
      <color rgb="FF0000FF"/>
      <name val="Arial"/>
      <family val="2"/>
    </font>
    <font>
      <i/>
      <sz val="10"/>
      <name val="Arial"/>
      <family val="2"/>
    </font>
    <font>
      <sz val="9"/>
      <color theme="1"/>
      <name val="微软雅黑"/>
      <family val="2"/>
      <charset val="134"/>
    </font>
    <font>
      <i/>
      <sz val="9"/>
      <color theme="0"/>
      <name val="Arial"/>
      <family val="2"/>
    </font>
    <font>
      <sz val="10"/>
      <color theme="0"/>
      <name val="Arial Unicode MS"/>
      <family val="2"/>
    </font>
    <font>
      <sz val="9"/>
      <color theme="0"/>
      <name val="Arial"/>
      <family val="2"/>
    </font>
    <font>
      <b/>
      <sz val="9"/>
      <color indexed="9"/>
      <name val="Arial"/>
      <family val="2"/>
    </font>
    <font>
      <b/>
      <sz val="9"/>
      <color theme="0"/>
      <name val="Arial"/>
      <family val="2"/>
    </font>
    <font>
      <b/>
      <sz val="16"/>
      <color theme="1"/>
      <name val="Arial"/>
      <family val="2"/>
    </font>
    <font>
      <sz val="9"/>
      <color theme="1"/>
      <name val="Arial"/>
      <family val="2"/>
    </font>
    <font>
      <sz val="10"/>
      <color theme="0"/>
      <name val="Arial"/>
      <family val="2"/>
      <charset val="134"/>
    </font>
    <font>
      <b/>
      <sz val="9"/>
      <color theme="0"/>
      <name val="Arial"/>
      <family val="2"/>
      <charset val="134"/>
    </font>
    <font>
      <sz val="9"/>
      <color theme="0"/>
      <name val="Arial"/>
      <family val="2"/>
      <charset val="134"/>
    </font>
    <font>
      <b/>
      <i/>
      <sz val="9"/>
      <name val="Arial Unicode MS"/>
      <family val="2"/>
    </font>
    <font>
      <b/>
      <i/>
      <sz val="9"/>
      <color theme="4" tint="-0.249977111117893"/>
      <name val="Arial Unicode MS"/>
      <family val="2"/>
    </font>
    <font>
      <b/>
      <sz val="9"/>
      <color rgb="FFC00000"/>
      <name val="Arial Unicode MS"/>
      <family val="2"/>
    </font>
    <font>
      <b/>
      <sz val="9"/>
      <color rgb="FFC00000"/>
      <name val="Arial"/>
      <family val="2"/>
    </font>
    <font>
      <sz val="11"/>
      <color rgb="FF006100"/>
      <name val="等线"/>
      <family val="2"/>
      <charset val="134"/>
      <scheme val="minor"/>
    </font>
    <font>
      <sz val="11"/>
      <color rgb="FF9C0006"/>
      <name val="等线"/>
      <family val="2"/>
      <charset val="134"/>
      <scheme val="minor"/>
    </font>
    <font>
      <sz val="11"/>
      <color rgb="FF9C5700"/>
      <name val="等线"/>
      <family val="2"/>
      <charset val="134"/>
      <scheme val="minor"/>
    </font>
    <font>
      <b/>
      <sz val="11"/>
      <color rgb="FFFA7D00"/>
      <name val="等线"/>
      <family val="2"/>
      <charset val="134"/>
      <scheme val="minor"/>
    </font>
    <font>
      <b/>
      <sz val="11"/>
      <color theme="0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  <font>
      <i/>
      <sz val="11"/>
      <color rgb="FF7F7F7F"/>
      <name val="等线"/>
      <family val="2"/>
      <charset val="134"/>
      <scheme val="minor"/>
    </font>
    <font>
      <b/>
      <sz val="16"/>
      <color theme="1"/>
      <name val="微软雅黑"/>
      <family val="2"/>
      <charset val="134"/>
    </font>
    <font>
      <sz val="10"/>
      <color theme="0"/>
      <name val="Arial"/>
      <family val="2"/>
    </font>
    <font>
      <b/>
      <sz val="9"/>
      <name val="微软雅黑"/>
      <family val="2"/>
      <charset val="134"/>
    </font>
    <font>
      <sz val="9"/>
      <color theme="0"/>
      <name val="宋体"/>
      <family val="3"/>
      <charset val="134"/>
    </font>
    <font>
      <sz val="10"/>
      <name val="Tahoma"/>
      <family val="2"/>
    </font>
    <font>
      <sz val="10"/>
      <color theme="1"/>
      <name val="微软雅黑"/>
      <family val="2"/>
      <charset val="134"/>
    </font>
    <font>
      <sz val="9"/>
      <color theme="0"/>
      <name val="微软雅黑"/>
      <family val="2"/>
      <charset val="134"/>
    </font>
    <font>
      <i/>
      <sz val="9"/>
      <name val="微软雅黑"/>
      <family val="2"/>
      <charset val="134"/>
    </font>
    <font>
      <b/>
      <i/>
      <sz val="9"/>
      <name val="微软雅黑"/>
      <family val="2"/>
      <charset val="134"/>
    </font>
    <font>
      <b/>
      <sz val="10"/>
      <color theme="1"/>
      <name val="宋体"/>
      <family val="3"/>
      <charset val="134"/>
    </font>
    <font>
      <b/>
      <sz val="10"/>
      <color theme="1"/>
      <name val="微软雅黑"/>
      <family val="2"/>
      <charset val="134"/>
    </font>
    <font>
      <sz val="10"/>
      <name val="微软雅黑"/>
      <family val="2"/>
      <charset val="134"/>
    </font>
    <font>
      <i/>
      <sz val="10"/>
      <name val="微软雅黑"/>
      <family val="2"/>
      <charset val="134"/>
    </font>
    <font>
      <sz val="10"/>
      <name val="Arial Unicode MS"/>
      <family val="2"/>
      <charset val="134"/>
    </font>
    <font>
      <i/>
      <sz val="10"/>
      <color theme="7"/>
      <name val="Arial"/>
      <family val="2"/>
    </font>
    <font>
      <i/>
      <sz val="10"/>
      <color theme="7"/>
      <name val="Arial Unicode MS"/>
      <family val="2"/>
    </font>
    <font>
      <b/>
      <sz val="10"/>
      <name val="微软雅黑"/>
      <family val="2"/>
      <charset val="134"/>
    </font>
    <font>
      <b/>
      <sz val="10"/>
      <name val="Arial Unicode MS"/>
      <family val="2"/>
      <charset val="134"/>
    </font>
    <font>
      <sz val="10"/>
      <color theme="0"/>
      <name val="宋体"/>
      <family val="2"/>
      <charset val="134"/>
    </font>
    <font>
      <sz val="8"/>
      <color theme="0"/>
      <name val="Arial"/>
      <family val="2"/>
    </font>
    <font>
      <b/>
      <sz val="9"/>
      <name val="宋体"/>
      <family val="2"/>
      <charset val="134"/>
    </font>
    <font>
      <sz val="11"/>
      <color theme="1"/>
      <name val="等线"/>
      <family val="2"/>
      <charset val="134"/>
      <scheme val="minor"/>
    </font>
    <font>
      <i/>
      <sz val="9"/>
      <name val="Arial Unicode MS"/>
      <family val="2"/>
      <charset val="134"/>
    </font>
    <font>
      <sz val="9"/>
      <name val="Arial Unicode MS"/>
    </font>
    <font>
      <sz val="9"/>
      <name val="微软雅黑"/>
      <family val="2"/>
      <charset val="134"/>
    </font>
    <font>
      <sz val="9"/>
      <name val="Arial Unicode MS"/>
      <family val="2"/>
      <charset val="134"/>
    </font>
    <font>
      <sz val="10"/>
      <color theme="1"/>
      <name val="Arial"/>
      <family val="2"/>
    </font>
    <font>
      <sz val="18"/>
      <color theme="3"/>
      <name val="等线 Light"/>
      <family val="2"/>
      <charset val="134"/>
      <scheme val="major"/>
    </font>
    <font>
      <b/>
      <sz val="15"/>
      <color theme="3"/>
      <name val="等线"/>
      <family val="2"/>
      <charset val="134"/>
      <scheme val="minor"/>
    </font>
    <font>
      <b/>
      <sz val="13"/>
      <color theme="3"/>
      <name val="等线"/>
      <family val="2"/>
      <charset val="134"/>
      <scheme val="minor"/>
    </font>
    <font>
      <b/>
      <sz val="11"/>
      <color theme="3"/>
      <name val="等线"/>
      <family val="2"/>
      <charset val="134"/>
      <scheme val="minor"/>
    </font>
    <font>
      <sz val="11"/>
      <color rgb="FF3F3F76"/>
      <name val="等线"/>
      <family val="2"/>
      <charset val="134"/>
      <scheme val="minor"/>
    </font>
    <font>
      <b/>
      <sz val="11"/>
      <color rgb="FF3F3F3F"/>
      <name val="等线"/>
      <family val="2"/>
      <charset val="134"/>
      <scheme val="minor"/>
    </font>
    <font>
      <sz val="11"/>
      <color rgb="FFFA7D00"/>
      <name val="等线"/>
      <family val="2"/>
      <charset val="134"/>
      <scheme val="minor"/>
    </font>
    <font>
      <b/>
      <sz val="11"/>
      <color theme="1"/>
      <name val="等线"/>
      <family val="2"/>
      <charset val="134"/>
      <scheme val="minor"/>
    </font>
    <font>
      <sz val="11"/>
      <color theme="0"/>
      <name val="等线"/>
      <family val="2"/>
      <charset val="134"/>
      <scheme val="minor"/>
    </font>
    <font>
      <b/>
      <i/>
      <sz val="10"/>
      <color rgb="FFC00000"/>
      <name val="微软雅黑"/>
      <family val="2"/>
      <charset val="134"/>
    </font>
    <font>
      <b/>
      <i/>
      <sz val="10"/>
      <name val="Arial Unicode MS"/>
      <family val="2"/>
    </font>
    <font>
      <b/>
      <i/>
      <sz val="9"/>
      <color theme="2" tint="-0.249977111117893"/>
      <name val="Arial"/>
      <family val="2"/>
    </font>
    <font>
      <b/>
      <i/>
      <sz val="10"/>
      <color theme="8"/>
      <name val="微软雅黑"/>
      <family val="2"/>
      <charset val="134"/>
    </font>
    <font>
      <b/>
      <sz val="9"/>
      <name val="Arial Unicode MS"/>
      <family val="2"/>
      <charset val="134"/>
    </font>
    <font>
      <b/>
      <sz val="9"/>
      <color theme="9"/>
      <name val="Arial Unicode MS"/>
      <family val="2"/>
    </font>
    <font>
      <b/>
      <sz val="9"/>
      <color theme="9"/>
      <name val="微软雅黑"/>
      <family val="2"/>
      <charset val="134"/>
    </font>
    <font>
      <sz val="10"/>
      <color theme="4"/>
      <name val="Arial Unicode MS"/>
      <family val="2"/>
    </font>
    <font>
      <b/>
      <sz val="9"/>
      <color theme="4"/>
      <name val="Arial"/>
      <family val="2"/>
    </font>
    <font>
      <b/>
      <sz val="10"/>
      <color theme="4"/>
      <name val="Arial Unicode MS"/>
      <family val="2"/>
    </font>
    <font>
      <b/>
      <sz val="10"/>
      <color theme="4"/>
      <name val="微软雅黑"/>
      <family val="2"/>
      <charset val="134"/>
    </font>
    <font>
      <b/>
      <sz val="10"/>
      <color rgb="FFC00000"/>
      <name val="Arial Unicode MS"/>
      <family val="2"/>
    </font>
    <font>
      <sz val="10"/>
      <color rgb="FFC00000"/>
      <name val="Arial Unicode MS"/>
      <family val="2"/>
    </font>
    <font>
      <sz val="9"/>
      <color theme="0"/>
      <name val="宋体"/>
      <family val="2"/>
      <charset val="134"/>
    </font>
    <font>
      <b/>
      <sz val="9"/>
      <color theme="0"/>
      <name val="宋体"/>
      <family val="2"/>
      <charset val="134"/>
    </font>
    <font>
      <b/>
      <sz val="9"/>
      <color theme="0"/>
      <name val="微软雅黑"/>
      <family val="2"/>
      <charset val="134"/>
    </font>
    <font>
      <b/>
      <sz val="9"/>
      <color theme="1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b/>
      <sz val="9"/>
      <color theme="1"/>
      <name val="Arial Unicode MS"/>
      <family val="2"/>
      <charset val="134"/>
    </font>
    <font>
      <sz val="9"/>
      <color theme="2"/>
      <name val="Arial"/>
      <family val="2"/>
    </font>
    <font>
      <b/>
      <i/>
      <sz val="9"/>
      <color theme="6" tint="0.39997558519241921"/>
      <name val="Arial"/>
      <family val="2"/>
    </font>
    <font>
      <b/>
      <sz val="10"/>
      <color theme="1"/>
      <name val="Arial Unicode MS"/>
      <family val="2"/>
    </font>
    <font>
      <sz val="10"/>
      <color theme="1"/>
      <name val="Arial Unicode MS"/>
      <family val="2"/>
    </font>
    <font>
      <sz val="9"/>
      <color theme="1"/>
      <name val="宋体"/>
      <family val="2"/>
      <charset val="134"/>
    </font>
    <font>
      <sz val="10"/>
      <color theme="2"/>
      <name val="Arial Unicode MS"/>
      <family val="2"/>
    </font>
    <font>
      <b/>
      <i/>
      <sz val="10"/>
      <color theme="4"/>
      <name val="微软雅黑"/>
      <family val="2"/>
      <charset val="134"/>
    </font>
    <font>
      <b/>
      <i/>
      <sz val="9"/>
      <name val="Arial Unicode MS"/>
    </font>
    <font>
      <sz val="10"/>
      <color theme="0"/>
      <name val="微软雅黑"/>
      <family val="2"/>
      <charset val="134"/>
    </font>
    <font>
      <sz val="10"/>
      <color theme="1"/>
      <name val="宋体"/>
      <family val="2"/>
      <charset val="134"/>
    </font>
    <font>
      <b/>
      <sz val="10"/>
      <name val="Arial"/>
      <family val="2"/>
    </font>
    <font>
      <b/>
      <i/>
      <sz val="10"/>
      <color rgb="FFC00000"/>
      <name val="Arial Unicode MS"/>
      <family val="2"/>
    </font>
    <font>
      <i/>
      <sz val="10"/>
      <color rgb="FFFF0000"/>
      <name val="微软雅黑"/>
      <family val="2"/>
      <charset val="134"/>
    </font>
    <font>
      <b/>
      <i/>
      <sz val="10"/>
      <color rgb="FFFF0000"/>
      <name val="微软雅黑"/>
      <family val="2"/>
      <charset val="134"/>
    </font>
    <font>
      <sz val="10"/>
      <color theme="0" tint="-0.249977111117893"/>
      <name val="Arial"/>
      <family val="2"/>
    </font>
    <font>
      <b/>
      <sz val="14"/>
      <color rgb="FFFF0000"/>
      <name val="微软雅黑"/>
      <family val="2"/>
      <charset val="134"/>
    </font>
    <font>
      <sz val="12"/>
      <name val="宋体"/>
      <family val="3"/>
      <charset val="134"/>
    </font>
  </fonts>
  <fills count="48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511703848384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00B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CFFFF"/>
        <bgColor indexed="64"/>
      </patternFill>
    </fill>
    <fill>
      <patternFill patternType="solid">
        <fgColor theme="1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/>
      <bottom style="medium">
        <color auto="1"/>
      </bottom>
      <diagonal/>
    </border>
  </borders>
  <cellStyleXfs count="67">
    <xf numFmtId="0" fontId="0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39" fillId="0" borderId="0">
      <alignment vertical="center"/>
    </xf>
    <xf numFmtId="178" fontId="4" fillId="0" borderId="0">
      <alignment horizontal="left"/>
      <protection locked="0"/>
    </xf>
    <xf numFmtId="177" fontId="11" fillId="0" borderId="0">
      <protection locked="0"/>
    </xf>
    <xf numFmtId="178" fontId="5" fillId="0" borderId="0">
      <protection locked="0"/>
    </xf>
    <xf numFmtId="178" fontId="4" fillId="0" borderId="0">
      <protection locked="0"/>
    </xf>
    <xf numFmtId="177" fontId="45" fillId="11" borderId="9">
      <protection locked="0"/>
    </xf>
    <xf numFmtId="0" fontId="48" fillId="12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50" fillId="14" borderId="0" applyNumberFormat="0" applyBorder="0" applyAlignment="0" applyProtection="0">
      <alignment vertical="center"/>
    </xf>
    <xf numFmtId="0" fontId="51" fillId="15" borderId="17" applyNumberFormat="0" applyAlignment="0" applyProtection="0">
      <alignment vertical="center"/>
    </xf>
    <xf numFmtId="0" fontId="52" fillId="16" borderId="18" applyNumberFormat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185" fontId="45" fillId="11" borderId="9">
      <protection locked="0"/>
    </xf>
    <xf numFmtId="41" fontId="81" fillId="0" borderId="0" applyFont="0" applyFill="0" applyBorder="0" applyAlignment="0" applyProtection="0">
      <alignment vertical="center"/>
    </xf>
    <xf numFmtId="44" fontId="81" fillId="0" borderId="0" applyFont="0" applyFill="0" applyBorder="0" applyAlignment="0" applyProtection="0">
      <alignment vertical="center"/>
    </xf>
    <xf numFmtId="42" fontId="81" fillId="0" borderId="0" applyFont="0" applyFill="0" applyBorder="0" applyAlignment="0" applyProtection="0">
      <alignment vertical="center"/>
    </xf>
    <xf numFmtId="0" fontId="82" fillId="0" borderId="0" applyNumberFormat="0" applyFill="0" applyBorder="0" applyAlignment="0" applyProtection="0">
      <alignment vertical="center"/>
    </xf>
    <xf numFmtId="0" fontId="83" fillId="0" borderId="20" applyNumberFormat="0" applyFill="0" applyAlignment="0" applyProtection="0">
      <alignment vertical="center"/>
    </xf>
    <xf numFmtId="0" fontId="84" fillId="0" borderId="21" applyNumberFormat="0" applyFill="0" applyAlignment="0" applyProtection="0">
      <alignment vertical="center"/>
    </xf>
    <xf numFmtId="0" fontId="85" fillId="0" borderId="22" applyNumberFormat="0" applyFill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6" fillId="20" borderId="17" applyNumberFormat="0" applyAlignment="0" applyProtection="0">
      <alignment vertical="center"/>
    </xf>
    <xf numFmtId="0" fontId="87" fillId="15" borderId="23" applyNumberFormat="0" applyAlignment="0" applyProtection="0">
      <alignment vertical="center"/>
    </xf>
    <xf numFmtId="0" fontId="88" fillId="0" borderId="24" applyNumberFormat="0" applyFill="0" applyAlignment="0" applyProtection="0">
      <alignment vertical="center"/>
    </xf>
    <xf numFmtId="0" fontId="81" fillId="21" borderId="25" applyNumberFormat="0" applyFont="0" applyAlignment="0" applyProtection="0">
      <alignment vertical="center"/>
    </xf>
    <xf numFmtId="0" fontId="89" fillId="0" borderId="26" applyNumberFormat="0" applyFill="0" applyAlignment="0" applyProtection="0">
      <alignment vertical="center"/>
    </xf>
    <xf numFmtId="0" fontId="90" fillId="22" borderId="0" applyNumberFormat="0" applyBorder="0" applyAlignment="0" applyProtection="0">
      <alignment vertical="center"/>
    </xf>
    <xf numFmtId="0" fontId="76" fillId="23" borderId="0" applyNumberFormat="0" applyBorder="0" applyAlignment="0" applyProtection="0">
      <alignment vertical="center"/>
    </xf>
    <xf numFmtId="0" fontId="76" fillId="24" borderId="0" applyNumberFormat="0" applyBorder="0" applyAlignment="0" applyProtection="0">
      <alignment vertical="center"/>
    </xf>
    <xf numFmtId="0" fontId="76" fillId="25" borderId="0" applyNumberFormat="0" applyBorder="0" applyAlignment="0" applyProtection="0">
      <alignment vertical="center"/>
    </xf>
    <xf numFmtId="0" fontId="90" fillId="26" borderId="0" applyNumberFormat="0" applyBorder="0" applyAlignment="0" applyProtection="0">
      <alignment vertical="center"/>
    </xf>
    <xf numFmtId="0" fontId="76" fillId="27" borderId="0" applyNumberFormat="0" applyBorder="0" applyAlignment="0" applyProtection="0">
      <alignment vertical="center"/>
    </xf>
    <xf numFmtId="0" fontId="76" fillId="28" borderId="0" applyNumberFormat="0" applyBorder="0" applyAlignment="0" applyProtection="0">
      <alignment vertical="center"/>
    </xf>
    <xf numFmtId="0" fontId="76" fillId="29" borderId="0" applyNumberFormat="0" applyBorder="0" applyAlignment="0" applyProtection="0">
      <alignment vertical="center"/>
    </xf>
    <xf numFmtId="0" fontId="90" fillId="30" borderId="0" applyNumberFormat="0" applyBorder="0" applyAlignment="0" applyProtection="0">
      <alignment vertical="center"/>
    </xf>
    <xf numFmtId="0" fontId="76" fillId="31" borderId="0" applyNumberFormat="0" applyBorder="0" applyAlignment="0" applyProtection="0">
      <alignment vertical="center"/>
    </xf>
    <xf numFmtId="0" fontId="76" fillId="32" borderId="0" applyNumberFormat="0" applyBorder="0" applyAlignment="0" applyProtection="0">
      <alignment vertical="center"/>
    </xf>
    <xf numFmtId="0" fontId="76" fillId="33" borderId="0" applyNumberFormat="0" applyBorder="0" applyAlignment="0" applyProtection="0">
      <alignment vertical="center"/>
    </xf>
    <xf numFmtId="0" fontId="90" fillId="34" borderId="0" applyNumberFormat="0" applyBorder="0" applyAlignment="0" applyProtection="0">
      <alignment vertical="center"/>
    </xf>
    <xf numFmtId="0" fontId="76" fillId="35" borderId="0" applyNumberFormat="0" applyBorder="0" applyAlignment="0" applyProtection="0">
      <alignment vertical="center"/>
    </xf>
    <xf numFmtId="0" fontId="76" fillId="36" borderId="0" applyNumberFormat="0" applyBorder="0" applyAlignment="0" applyProtection="0">
      <alignment vertical="center"/>
    </xf>
    <xf numFmtId="0" fontId="76" fillId="37" borderId="0" applyNumberFormat="0" applyBorder="0" applyAlignment="0" applyProtection="0">
      <alignment vertical="center"/>
    </xf>
    <xf numFmtId="0" fontId="90" fillId="38" borderId="0" applyNumberFormat="0" applyBorder="0" applyAlignment="0" applyProtection="0">
      <alignment vertical="center"/>
    </xf>
    <xf numFmtId="0" fontId="76" fillId="39" borderId="0" applyNumberFormat="0" applyBorder="0" applyAlignment="0" applyProtection="0">
      <alignment vertical="center"/>
    </xf>
    <xf numFmtId="0" fontId="76" fillId="40" borderId="0" applyNumberFormat="0" applyBorder="0" applyAlignment="0" applyProtection="0">
      <alignment vertical="center"/>
    </xf>
    <xf numFmtId="0" fontId="76" fillId="41" borderId="0" applyNumberFormat="0" applyBorder="0" applyAlignment="0" applyProtection="0">
      <alignment vertical="center"/>
    </xf>
    <xf numFmtId="0" fontId="90" fillId="42" borderId="0" applyNumberFormat="0" applyBorder="0" applyAlignment="0" applyProtection="0">
      <alignment vertical="center"/>
    </xf>
    <xf numFmtId="0" fontId="76" fillId="43" borderId="0" applyNumberFormat="0" applyBorder="0" applyAlignment="0" applyProtection="0">
      <alignment vertical="center"/>
    </xf>
    <xf numFmtId="0" fontId="76" fillId="44" borderId="0" applyNumberFormat="0" applyBorder="0" applyAlignment="0" applyProtection="0">
      <alignment vertical="center"/>
    </xf>
    <xf numFmtId="0" fontId="76" fillId="45" borderId="0" applyNumberFormat="0" applyBorder="0" applyAlignment="0" applyProtection="0">
      <alignment vertical="center"/>
    </xf>
    <xf numFmtId="177" fontId="11" fillId="0" borderId="0">
      <alignment horizontal="left"/>
      <protection locked="0"/>
    </xf>
    <xf numFmtId="177" fontId="91" fillId="5" borderId="0">
      <alignment horizontal="left"/>
      <protection locked="0"/>
    </xf>
    <xf numFmtId="185" fontId="45" fillId="19" borderId="9">
      <protection locked="0"/>
    </xf>
    <xf numFmtId="178" fontId="29" fillId="5" borderId="0">
      <protection locked="0"/>
    </xf>
    <xf numFmtId="178" fontId="93" fillId="5" borderId="0">
      <alignment vertical="center"/>
    </xf>
    <xf numFmtId="0" fontId="26" fillId="10" borderId="0">
      <alignment horizontal="center" vertical="center"/>
    </xf>
    <xf numFmtId="43" fontId="59" fillId="0" borderId="0" applyFont="0" applyFill="0" applyBorder="0" applyAlignment="0" applyProtection="0">
      <alignment vertical="center"/>
    </xf>
    <xf numFmtId="0" fontId="126" fillId="0" borderId="0">
      <alignment vertical="center"/>
    </xf>
    <xf numFmtId="9" fontId="126" fillId="0" borderId="0" applyFont="0" applyFill="0" applyBorder="0" applyAlignment="0" applyProtection="0">
      <alignment vertical="center"/>
    </xf>
    <xf numFmtId="177" fontId="11" fillId="0" borderId="0">
      <alignment horizontal="left"/>
      <protection locked="0"/>
    </xf>
    <xf numFmtId="0" fontId="76" fillId="0" borderId="0">
      <alignment vertical="center"/>
    </xf>
    <xf numFmtId="177" fontId="28" fillId="0" borderId="0">
      <alignment vertical="center"/>
    </xf>
    <xf numFmtId="177" fontId="11" fillId="0" borderId="0">
      <protection locked="0"/>
    </xf>
  </cellStyleXfs>
  <cellXfs count="497">
    <xf numFmtId="0" fontId="0" fillId="0" borderId="0" xfId="0">
      <alignment vertical="center"/>
    </xf>
    <xf numFmtId="178" fontId="4" fillId="0" borderId="0" xfId="4">
      <alignment horizontal="left"/>
      <protection locked="0"/>
    </xf>
    <xf numFmtId="177" fontId="11" fillId="0" borderId="0" xfId="5">
      <protection locked="0"/>
    </xf>
    <xf numFmtId="0" fontId="2" fillId="0" borderId="0" xfId="0" applyFont="1" applyAlignment="1" applyProtection="1">
      <protection locked="0"/>
    </xf>
    <xf numFmtId="0" fontId="3" fillId="2" borderId="1" xfId="0" applyFont="1" applyFill="1" applyBorder="1" applyAlignment="1"/>
    <xf numFmtId="0" fontId="3" fillId="0" borderId="1" xfId="0" applyFont="1" applyBorder="1" applyAlignment="1" applyProtection="1">
      <protection locked="0"/>
    </xf>
    <xf numFmtId="0" fontId="4" fillId="0" borderId="1" xfId="0" applyFont="1" applyBorder="1" applyAlignment="1" applyProtection="1">
      <protection locked="0"/>
    </xf>
    <xf numFmtId="0" fontId="5" fillId="0" borderId="0" xfId="0" applyFont="1" applyAlignment="1" applyProtection="1">
      <protection locked="0"/>
    </xf>
    <xf numFmtId="0" fontId="0" fillId="0" borderId="0" xfId="0" applyAlignment="1" applyProtection="1">
      <protection locked="0"/>
    </xf>
    <xf numFmtId="0" fontId="4" fillId="0" borderId="0" xfId="0" applyFont="1" applyAlignment="1" applyProtection="1">
      <protection locked="0"/>
    </xf>
    <xf numFmtId="0" fontId="6" fillId="0" borderId="0" xfId="0" applyFont="1" applyAlignment="1" applyProtection="1">
      <protection locked="0"/>
    </xf>
    <xf numFmtId="49" fontId="6" fillId="0" borderId="0" xfId="0" applyNumberFormat="1" applyFont="1" applyAlignment="1" applyProtection="1">
      <alignment horizontal="right"/>
      <protection locked="0"/>
    </xf>
    <xf numFmtId="176" fontId="6" fillId="0" borderId="0" xfId="0" applyNumberFormat="1" applyFont="1" applyAlignment="1" applyProtection="1">
      <protection locked="0"/>
    </xf>
    <xf numFmtId="0" fontId="7" fillId="0" borderId="0" xfId="0" applyFont="1" applyAlignment="1" applyProtection="1">
      <protection locked="0"/>
    </xf>
    <xf numFmtId="0" fontId="6" fillId="0" borderId="0" xfId="0" applyFont="1" applyAlignment="1" applyProtection="1">
      <alignment horizontal="left"/>
      <protection locked="0"/>
    </xf>
    <xf numFmtId="0" fontId="6" fillId="0" borderId="0" xfId="0" applyFont="1" applyAlignment="1" applyProtection="1">
      <alignment horizontal="right"/>
      <protection locked="0"/>
    </xf>
    <xf numFmtId="3" fontId="6" fillId="0" borderId="0" xfId="0" applyNumberFormat="1" applyFont="1" applyAlignment="1" applyProtection="1">
      <protection locked="0"/>
    </xf>
    <xf numFmtId="0" fontId="7" fillId="0" borderId="0" xfId="0" applyFont="1" applyAlignment="1" applyProtection="1">
      <alignment horizontal="left"/>
      <protection locked="0"/>
    </xf>
    <xf numFmtId="176" fontId="8" fillId="0" borderId="0" xfId="0" applyNumberFormat="1" applyFont="1" applyAlignment="1" applyProtection="1">
      <protection locked="0"/>
    </xf>
    <xf numFmtId="0" fontId="6" fillId="0" borderId="1" xfId="0" applyFont="1" applyBorder="1" applyAlignment="1" applyProtection="1">
      <protection locked="0"/>
    </xf>
    <xf numFmtId="0" fontId="6" fillId="0" borderId="1" xfId="0" applyFont="1" applyBorder="1" applyAlignment="1" applyProtection="1">
      <alignment horizontal="left"/>
      <protection locked="0"/>
    </xf>
    <xf numFmtId="0" fontId="6" fillId="0" borderId="1" xfId="0" applyFont="1" applyBorder="1" applyAlignment="1" applyProtection="1">
      <alignment horizontal="right"/>
      <protection locked="0"/>
    </xf>
    <xf numFmtId="177" fontId="7" fillId="0" borderId="1" xfId="0" applyNumberFormat="1" applyFont="1" applyBorder="1" applyAlignment="1" applyProtection="1">
      <protection locked="0"/>
    </xf>
    <xf numFmtId="0" fontId="4" fillId="3" borderId="0" xfId="0" applyFont="1" applyFill="1" applyAlignment="1" applyProtection="1">
      <protection locked="0"/>
    </xf>
    <xf numFmtId="0" fontId="9" fillId="0" borderId="0" xfId="0" applyFont="1" applyProtection="1">
      <alignment vertical="center"/>
      <protection locked="0"/>
    </xf>
    <xf numFmtId="0" fontId="10" fillId="4" borderId="0" xfId="0" applyFont="1" applyFill="1" applyAlignment="1" applyProtection="1">
      <alignment horizontal="center"/>
      <protection locked="0"/>
    </xf>
    <xf numFmtId="0" fontId="6" fillId="4" borderId="1" xfId="0" applyFont="1" applyFill="1" applyBorder="1" applyAlignment="1" applyProtection="1">
      <alignment horizontal="center" vertical="center"/>
      <protection locked="0"/>
    </xf>
    <xf numFmtId="177" fontId="5" fillId="0" borderId="0" xfId="0" applyNumberFormat="1" applyFont="1" applyAlignment="1" applyProtection="1">
      <alignment horizontal="right"/>
      <protection locked="0"/>
    </xf>
    <xf numFmtId="0" fontId="4" fillId="3" borderId="1" xfId="0" applyFont="1" applyFill="1" applyBorder="1" applyAlignment="1" applyProtection="1">
      <protection locked="0"/>
    </xf>
    <xf numFmtId="0" fontId="9" fillId="0" borderId="1" xfId="0" applyFont="1" applyBorder="1" applyProtection="1">
      <alignment vertical="center"/>
      <protection locked="0"/>
    </xf>
    <xf numFmtId="0" fontId="10" fillId="4" borderId="1" xfId="0" applyFont="1" applyFill="1" applyBorder="1" applyAlignment="1" applyProtection="1">
      <alignment horizontal="center"/>
      <protection locked="0"/>
    </xf>
    <xf numFmtId="178" fontId="0" fillId="0" borderId="0" xfId="0" applyNumberFormat="1" applyAlignment="1" applyProtection="1">
      <protection locked="0"/>
    </xf>
    <xf numFmtId="178" fontId="4" fillId="0" borderId="0" xfId="0" applyNumberFormat="1" applyFont="1" applyAlignment="1" applyProtection="1">
      <protection locked="0"/>
    </xf>
    <xf numFmtId="0" fontId="11" fillId="0" borderId="0" xfId="0" applyFont="1" applyAlignment="1" applyProtection="1">
      <protection locked="0"/>
    </xf>
    <xf numFmtId="177" fontId="11" fillId="0" borderId="0" xfId="0" applyNumberFormat="1" applyFont="1" applyAlignment="1" applyProtection="1">
      <alignment horizontal="right"/>
      <protection locked="0"/>
    </xf>
    <xf numFmtId="178" fontId="5" fillId="0" borderId="0" xfId="0" applyNumberFormat="1" applyFont="1" applyAlignment="1" applyProtection="1">
      <protection locked="0"/>
    </xf>
    <xf numFmtId="0" fontId="11" fillId="0" borderId="1" xfId="0" applyFont="1" applyBorder="1" applyAlignment="1" applyProtection="1">
      <protection locked="0"/>
    </xf>
    <xf numFmtId="0" fontId="5" fillId="0" borderId="1" xfId="0" applyFont="1" applyBorder="1" applyAlignment="1" applyProtection="1">
      <protection locked="0"/>
    </xf>
    <xf numFmtId="177" fontId="11" fillId="0" borderId="1" xfId="0" applyNumberFormat="1" applyFont="1" applyBorder="1" applyAlignment="1" applyProtection="1">
      <alignment horizontal="right"/>
      <protection locked="0"/>
    </xf>
    <xf numFmtId="178" fontId="7" fillId="0" borderId="0" xfId="0" applyNumberFormat="1" applyFont="1" applyAlignment="1" applyProtection="1">
      <protection locked="0"/>
    </xf>
    <xf numFmtId="178" fontId="6" fillId="0" borderId="0" xfId="0" applyNumberFormat="1" applyFont="1" applyAlignment="1" applyProtection="1">
      <protection locked="0"/>
    </xf>
    <xf numFmtId="0" fontId="13" fillId="0" borderId="0" xfId="0" applyFont="1" applyAlignment="1" applyProtection="1">
      <protection locked="0"/>
    </xf>
    <xf numFmtId="177" fontId="13" fillId="0" borderId="0" xfId="0" applyNumberFormat="1" applyFont="1" applyAlignment="1" applyProtection="1">
      <protection locked="0"/>
    </xf>
    <xf numFmtId="177" fontId="11" fillId="0" borderId="0" xfId="0" applyNumberFormat="1" applyFont="1" applyAlignment="1" applyProtection="1">
      <protection locked="0"/>
    </xf>
    <xf numFmtId="177" fontId="11" fillId="0" borderId="1" xfId="0" applyNumberFormat="1" applyFont="1" applyBorder="1" applyAlignment="1" applyProtection="1">
      <protection locked="0"/>
    </xf>
    <xf numFmtId="0" fontId="14" fillId="0" borderId="1" xfId="0" applyFont="1" applyBorder="1" applyAlignment="1" applyProtection="1">
      <protection locked="0"/>
    </xf>
    <xf numFmtId="177" fontId="14" fillId="0" borderId="1" xfId="0" applyNumberFormat="1" applyFont="1" applyBorder="1" applyAlignment="1" applyProtection="1">
      <protection locked="0"/>
    </xf>
    <xf numFmtId="178" fontId="5" fillId="0" borderId="2" xfId="0" applyNumberFormat="1" applyFont="1" applyBorder="1" applyAlignment="1" applyProtection="1">
      <protection locked="0"/>
    </xf>
    <xf numFmtId="178" fontId="6" fillId="0" borderId="2" xfId="0" applyNumberFormat="1" applyFont="1" applyBorder="1" applyAlignment="1" applyProtection="1">
      <protection locked="0"/>
    </xf>
    <xf numFmtId="178" fontId="12" fillId="0" borderId="0" xfId="0" applyNumberFormat="1" applyFont="1" applyAlignment="1" applyProtection="1">
      <protection locked="0"/>
    </xf>
    <xf numFmtId="178" fontId="4" fillId="0" borderId="2" xfId="0" applyNumberFormat="1" applyFont="1" applyBorder="1" applyAlignment="1" applyProtection="1">
      <protection locked="0"/>
    </xf>
    <xf numFmtId="177" fontId="15" fillId="0" borderId="0" xfId="0" applyNumberFormat="1" applyFont="1" applyAlignment="1" applyProtection="1">
      <protection locked="0"/>
    </xf>
    <xf numFmtId="178" fontId="12" fillId="0" borderId="2" xfId="0" applyNumberFormat="1" applyFont="1" applyBorder="1" applyAlignment="1" applyProtection="1">
      <protection locked="0"/>
    </xf>
    <xf numFmtId="178" fontId="12" fillId="0" borderId="1" xfId="0" applyNumberFormat="1" applyFont="1" applyBorder="1" applyAlignment="1" applyProtection="1">
      <protection locked="0"/>
    </xf>
    <xf numFmtId="178" fontId="5" fillId="0" borderId="1" xfId="0" applyNumberFormat="1" applyFont="1" applyBorder="1" applyAlignment="1" applyProtection="1">
      <protection locked="0"/>
    </xf>
    <xf numFmtId="178" fontId="12" fillId="0" borderId="3" xfId="0" applyNumberFormat="1" applyFont="1" applyBorder="1" applyAlignment="1" applyProtection="1">
      <protection locked="0"/>
    </xf>
    <xf numFmtId="178" fontId="5" fillId="0" borderId="3" xfId="0" applyNumberFormat="1" applyFont="1" applyBorder="1" applyAlignment="1" applyProtection="1">
      <protection locked="0"/>
    </xf>
    <xf numFmtId="179" fontId="5" fillId="0" borderId="0" xfId="0" applyNumberFormat="1" applyFont="1" applyAlignment="1" applyProtection="1">
      <protection locked="0"/>
    </xf>
    <xf numFmtId="178" fontId="4" fillId="0" borderId="0" xfId="0" applyNumberFormat="1" applyFont="1" applyAlignment="1" applyProtection="1">
      <alignment horizontal="right"/>
      <protection locked="0"/>
    </xf>
    <xf numFmtId="178" fontId="4" fillId="3" borderId="1" xfId="0" applyNumberFormat="1" applyFont="1" applyFill="1" applyBorder="1" applyAlignment="1" applyProtection="1">
      <protection locked="0"/>
    </xf>
    <xf numFmtId="178" fontId="4" fillId="0" borderId="3" xfId="0" applyNumberFormat="1" applyFont="1" applyBorder="1" applyAlignment="1" applyProtection="1">
      <protection locked="0"/>
    </xf>
    <xf numFmtId="37" fontId="16" fillId="0" borderId="0" xfId="0" applyNumberFormat="1" applyFont="1" applyAlignment="1" applyProtection="1">
      <protection locked="0"/>
    </xf>
    <xf numFmtId="37" fontId="4" fillId="0" borderId="0" xfId="0" applyNumberFormat="1" applyFont="1" applyAlignment="1" applyProtection="1">
      <protection locked="0"/>
    </xf>
    <xf numFmtId="180" fontId="6" fillId="4" borderId="1" xfId="0" applyNumberFormat="1" applyFont="1" applyFill="1" applyBorder="1" applyAlignment="1" applyProtection="1">
      <alignment horizontal="center" vertical="center"/>
      <protection locked="0"/>
    </xf>
    <xf numFmtId="37" fontId="5" fillId="0" borderId="0" xfId="0" applyNumberFormat="1" applyFont="1" applyAlignment="1" applyProtection="1">
      <protection locked="0"/>
    </xf>
    <xf numFmtId="4" fontId="9" fillId="0" borderId="2" xfId="0" applyNumberFormat="1" applyFont="1" applyBorder="1" applyAlignment="1" applyProtection="1">
      <protection locked="0"/>
    </xf>
    <xf numFmtId="4" fontId="9" fillId="0" borderId="0" xfId="0" applyNumberFormat="1" applyFont="1" applyAlignment="1" applyProtection="1">
      <protection locked="0"/>
    </xf>
    <xf numFmtId="4" fontId="13" fillId="0" borderId="1" xfId="0" applyNumberFormat="1" applyFont="1" applyBorder="1" applyAlignment="1" applyProtection="1">
      <protection locked="0"/>
    </xf>
    <xf numFmtId="0" fontId="17" fillId="2" borderId="1" xfId="0" applyFont="1" applyFill="1" applyBorder="1" applyAlignment="1" applyProtection="1">
      <protection locked="0"/>
    </xf>
    <xf numFmtId="0" fontId="5" fillId="0" borderId="2" xfId="0" applyFont="1" applyBorder="1" applyAlignment="1" applyProtection="1">
      <protection locked="0"/>
    </xf>
    <xf numFmtId="182" fontId="5" fillId="0" borderId="2" xfId="0" applyNumberFormat="1" applyFont="1" applyBorder="1" applyAlignment="1" applyProtection="1">
      <alignment horizontal="right"/>
      <protection locked="0"/>
    </xf>
    <xf numFmtId="182" fontId="5" fillId="0" borderId="0" xfId="0" applyNumberFormat="1" applyFont="1" applyAlignment="1" applyProtection="1">
      <alignment horizontal="right"/>
      <protection locked="0"/>
    </xf>
    <xf numFmtId="0" fontId="9" fillId="0" borderId="1" xfId="0" applyFont="1" applyBorder="1" applyAlignment="1" applyProtection="1">
      <protection locked="0"/>
    </xf>
    <xf numFmtId="177" fontId="5" fillId="0" borderId="1" xfId="0" applyNumberFormat="1" applyFont="1" applyBorder="1" applyAlignment="1" applyProtection="1">
      <alignment horizontal="right"/>
      <protection locked="0"/>
    </xf>
    <xf numFmtId="178" fontId="9" fillId="0" borderId="0" xfId="0" applyNumberFormat="1" applyFont="1" applyAlignment="1" applyProtection="1">
      <protection locked="0"/>
    </xf>
    <xf numFmtId="178" fontId="9" fillId="0" borderId="1" xfId="0" applyNumberFormat="1" applyFont="1" applyBorder="1" applyAlignment="1" applyProtection="1">
      <protection locked="0"/>
    </xf>
    <xf numFmtId="182" fontId="5" fillId="0" borderId="1" xfId="0" applyNumberFormat="1" applyFont="1" applyBorder="1" applyAlignment="1" applyProtection="1">
      <alignment horizontal="right"/>
      <protection locked="0"/>
    </xf>
    <xf numFmtId="0" fontId="5" fillId="0" borderId="0" xfId="0" applyFont="1" applyAlignment="1" applyProtection="1">
      <alignment horizontal="right"/>
      <protection locked="0"/>
    </xf>
    <xf numFmtId="177" fontId="9" fillId="0" borderId="2" xfId="0" applyNumberFormat="1" applyFont="1" applyBorder="1" applyAlignment="1" applyProtection="1">
      <alignment horizontal="right"/>
      <protection locked="0"/>
    </xf>
    <xf numFmtId="0" fontId="5" fillId="0" borderId="1" xfId="0" applyFont="1" applyBorder="1" applyAlignment="1" applyProtection="1">
      <alignment horizontal="right"/>
      <protection locked="0"/>
    </xf>
    <xf numFmtId="177" fontId="9" fillId="0" borderId="0" xfId="0" applyNumberFormat="1" applyFont="1" applyAlignment="1" applyProtection="1">
      <alignment horizontal="right"/>
      <protection locked="0"/>
    </xf>
    <xf numFmtId="177" fontId="9" fillId="0" borderId="1" xfId="0" applyNumberFormat="1" applyFont="1" applyBorder="1" applyAlignment="1" applyProtection="1">
      <alignment horizontal="right"/>
      <protection locked="0"/>
    </xf>
    <xf numFmtId="183" fontId="5" fillId="0" borderId="1" xfId="0" applyNumberFormat="1" applyFont="1" applyBorder="1" applyAlignment="1" applyProtection="1">
      <alignment horizontal="right"/>
      <protection locked="0"/>
    </xf>
    <xf numFmtId="0" fontId="23" fillId="0" borderId="0" xfId="0" applyFont="1" applyProtection="1">
      <alignment vertical="center"/>
      <protection locked="0"/>
    </xf>
    <xf numFmtId="0" fontId="24" fillId="0" borderId="0" xfId="0" applyFont="1" applyAlignment="1"/>
    <xf numFmtId="0" fontId="22" fillId="0" borderId="0" xfId="0" applyFont="1" applyProtection="1">
      <alignment vertical="center"/>
      <protection locked="0"/>
    </xf>
    <xf numFmtId="0" fontId="28" fillId="0" borderId="0" xfId="0" applyFont="1" applyProtection="1">
      <alignment vertical="center"/>
      <protection locked="0"/>
    </xf>
    <xf numFmtId="0" fontId="26" fillId="4" borderId="0" xfId="0" applyFont="1" applyFill="1" applyAlignment="1">
      <alignment horizontal="center" vertical="center"/>
    </xf>
    <xf numFmtId="0" fontId="26" fillId="0" borderId="0" xfId="0" applyFont="1" applyProtection="1">
      <alignment vertical="center"/>
      <protection locked="0"/>
    </xf>
    <xf numFmtId="189" fontId="37" fillId="9" borderId="0" xfId="0" applyNumberFormat="1" applyFont="1" applyFill="1" applyAlignment="1">
      <alignment horizontal="center" vertical="center"/>
    </xf>
    <xf numFmtId="14" fontId="0" fillId="0" borderId="0" xfId="0" applyNumberFormat="1">
      <alignment vertical="center"/>
    </xf>
    <xf numFmtId="0" fontId="41" fillId="5" borderId="0" xfId="0" applyFont="1" applyFill="1">
      <alignment vertical="center"/>
    </xf>
    <xf numFmtId="188" fontId="42" fillId="5" borderId="0" xfId="0" applyNumberFormat="1" applyFont="1" applyFill="1">
      <alignment vertical="center"/>
    </xf>
    <xf numFmtId="178" fontId="4" fillId="0" borderId="0" xfId="7">
      <protection locked="0"/>
    </xf>
    <xf numFmtId="178" fontId="4" fillId="0" borderId="2" xfId="7" applyBorder="1">
      <protection locked="0"/>
    </xf>
    <xf numFmtId="0" fontId="0" fillId="0" borderId="11" xfId="0" applyBorder="1">
      <alignment vertical="center"/>
    </xf>
    <xf numFmtId="0" fontId="56" fillId="0" borderId="0" xfId="0" applyFont="1">
      <alignment vertical="center"/>
    </xf>
    <xf numFmtId="0" fontId="0" fillId="0" borderId="2" xfId="0" applyBorder="1">
      <alignment vertical="center"/>
    </xf>
    <xf numFmtId="177" fontId="28" fillId="5" borderId="0" xfId="0" applyNumberFormat="1" applyFont="1" applyFill="1">
      <alignment vertical="center"/>
    </xf>
    <xf numFmtId="0" fontId="23" fillId="0" borderId="11" xfId="0" applyFont="1" applyBorder="1" applyProtection="1">
      <alignment vertical="center"/>
      <protection locked="0"/>
    </xf>
    <xf numFmtId="0" fontId="36" fillId="0" borderId="0" xfId="0" applyFont="1" applyProtection="1">
      <alignment vertical="center"/>
      <protection locked="0"/>
    </xf>
    <xf numFmtId="14" fontId="36" fillId="0" borderId="0" xfId="0" applyNumberFormat="1" applyFont="1" applyAlignment="1">
      <alignment horizontal="right" vertical="center"/>
    </xf>
    <xf numFmtId="14" fontId="36" fillId="0" borderId="10" xfId="0" applyNumberFormat="1" applyFont="1" applyBorder="1" applyAlignment="1">
      <alignment horizontal="right" vertical="center"/>
    </xf>
    <xf numFmtId="0" fontId="56" fillId="5" borderId="0" xfId="0" applyFont="1" applyFill="1">
      <alignment vertical="center"/>
    </xf>
    <xf numFmtId="0" fontId="26" fillId="10" borderId="0" xfId="0" applyFont="1" applyFill="1" applyAlignment="1">
      <alignment horizontal="center" vertical="center"/>
    </xf>
    <xf numFmtId="188" fontId="36" fillId="5" borderId="0" xfId="0" applyNumberFormat="1" applyFont="1" applyFill="1">
      <alignment vertical="center"/>
    </xf>
    <xf numFmtId="178" fontId="4" fillId="5" borderId="2" xfId="7" applyFill="1" applyBorder="1">
      <protection locked="0"/>
    </xf>
    <xf numFmtId="178" fontId="4" fillId="5" borderId="0" xfId="7" applyFill="1">
      <protection locked="0"/>
    </xf>
    <xf numFmtId="177" fontId="45" fillId="11" borderId="0" xfId="8" applyBorder="1">
      <protection locked="0"/>
    </xf>
    <xf numFmtId="188" fontId="25" fillId="5" borderId="0" xfId="0" applyNumberFormat="1" applyFont="1" applyFill="1">
      <alignment vertical="center"/>
    </xf>
    <xf numFmtId="188" fontId="38" fillId="5" borderId="0" xfId="0" applyNumberFormat="1" applyFont="1" applyFill="1">
      <alignment vertical="center"/>
    </xf>
    <xf numFmtId="188" fontId="36" fillId="0" borderId="0" xfId="0" applyNumberFormat="1" applyFont="1">
      <alignment vertical="center"/>
    </xf>
    <xf numFmtId="185" fontId="45" fillId="11" borderId="0" xfId="16" applyBorder="1">
      <protection locked="0"/>
    </xf>
    <xf numFmtId="188" fontId="36" fillId="5" borderId="2" xfId="0" applyNumberFormat="1" applyFont="1" applyFill="1" applyBorder="1">
      <alignment vertical="center"/>
    </xf>
    <xf numFmtId="0" fontId="55" fillId="5" borderId="0" xfId="3" applyFont="1" applyFill="1">
      <alignment vertical="center"/>
    </xf>
    <xf numFmtId="188" fontId="43" fillId="5" borderId="0" xfId="0" applyNumberFormat="1" applyFont="1" applyFill="1">
      <alignment vertical="center"/>
    </xf>
    <xf numFmtId="14" fontId="40" fillId="5" borderId="3" xfId="0" applyNumberFormat="1" applyFont="1" applyFill="1" applyBorder="1" applyAlignment="1">
      <alignment horizontal="center" vertical="center"/>
    </xf>
    <xf numFmtId="0" fontId="22" fillId="5" borderId="0" xfId="0" applyFont="1" applyFill="1" applyProtection="1">
      <alignment vertical="center"/>
      <protection locked="0"/>
    </xf>
    <xf numFmtId="177" fontId="30" fillId="5" borderId="0" xfId="0" applyNumberFormat="1" applyFont="1" applyFill="1" applyAlignment="1">
      <alignment horizontal="right" vertical="center"/>
    </xf>
    <xf numFmtId="0" fontId="23" fillId="5" borderId="0" xfId="0" applyFont="1" applyFill="1" applyProtection="1">
      <alignment vertical="center"/>
      <protection locked="0"/>
    </xf>
    <xf numFmtId="0" fontId="23" fillId="5" borderId="11" xfId="0" applyFont="1" applyFill="1" applyBorder="1" applyProtection="1">
      <alignment vertical="center"/>
      <protection locked="0"/>
    </xf>
    <xf numFmtId="0" fontId="36" fillId="5" borderId="0" xfId="0" applyFont="1" applyFill="1" applyProtection="1">
      <alignment vertical="center"/>
      <protection locked="0"/>
    </xf>
    <xf numFmtId="0" fontId="24" fillId="5" borderId="0" xfId="0" applyFont="1" applyFill="1" applyAlignment="1"/>
    <xf numFmtId="0" fontId="26" fillId="5" borderId="0" xfId="0" applyFont="1" applyFill="1" applyProtection="1">
      <alignment vertical="center"/>
      <protection locked="0"/>
    </xf>
    <xf numFmtId="0" fontId="33" fillId="5" borderId="0" xfId="0" applyFont="1" applyFill="1" applyProtection="1">
      <alignment vertical="center"/>
      <protection locked="0"/>
    </xf>
    <xf numFmtId="0" fontId="28" fillId="5" borderId="0" xfId="0" applyFont="1" applyFill="1" applyProtection="1">
      <alignment vertical="center"/>
      <protection locked="0"/>
    </xf>
    <xf numFmtId="0" fontId="56" fillId="5" borderId="0" xfId="0" applyFont="1" applyFill="1" applyAlignment="1"/>
    <xf numFmtId="0" fontId="38" fillId="5" borderId="0" xfId="0" applyFont="1" applyFill="1" applyProtection="1">
      <alignment vertical="center"/>
      <protection locked="0"/>
    </xf>
    <xf numFmtId="0" fontId="61" fillId="5" borderId="0" xfId="0" applyFont="1" applyFill="1" applyProtection="1">
      <alignment vertical="center"/>
      <protection locked="0"/>
    </xf>
    <xf numFmtId="0" fontId="34" fillId="5" borderId="0" xfId="0" applyFont="1" applyFill="1" applyProtection="1">
      <alignment vertical="center"/>
      <protection locked="0"/>
    </xf>
    <xf numFmtId="0" fontId="36" fillId="5" borderId="0" xfId="0" applyFont="1" applyFill="1" applyAlignment="1" applyProtection="1">
      <alignment horizontal="center" vertical="center"/>
      <protection locked="0"/>
    </xf>
    <xf numFmtId="177" fontId="28" fillId="5" borderId="0" xfId="0" applyNumberFormat="1" applyFont="1" applyFill="1" applyAlignment="1">
      <alignment horizontal="right" vertical="center"/>
    </xf>
    <xf numFmtId="177" fontId="25" fillId="5" borderId="0" xfId="0" applyNumberFormat="1" applyFont="1" applyFill="1" applyAlignment="1">
      <alignment horizontal="right" vertical="center"/>
    </xf>
    <xf numFmtId="0" fontId="31" fillId="5" borderId="0" xfId="0" applyFont="1" applyFill="1" applyAlignment="1">
      <alignment horizontal="right" vertical="center"/>
    </xf>
    <xf numFmtId="178" fontId="23" fillId="5" borderId="0" xfId="0" applyNumberFormat="1" applyFont="1" applyFill="1" applyProtection="1">
      <alignment vertical="center"/>
      <protection locked="0"/>
    </xf>
    <xf numFmtId="178" fontId="4" fillId="5" borderId="4" xfId="7" applyFill="1" applyBorder="1">
      <protection locked="0"/>
    </xf>
    <xf numFmtId="178" fontId="4" fillId="5" borderId="10" xfId="7" applyFill="1" applyBorder="1">
      <protection locked="0"/>
    </xf>
    <xf numFmtId="178" fontId="4" fillId="5" borderId="5" xfId="7" applyFill="1" applyBorder="1">
      <protection locked="0"/>
    </xf>
    <xf numFmtId="178" fontId="4" fillId="5" borderId="11" xfId="7" applyFill="1" applyBorder="1">
      <protection locked="0"/>
    </xf>
    <xf numFmtId="178" fontId="4" fillId="0" borderId="11" xfId="7" applyBorder="1">
      <protection locked="0"/>
    </xf>
    <xf numFmtId="14" fontId="40" fillId="5" borderId="13" xfId="0" applyNumberFormat="1" applyFont="1" applyFill="1" applyBorder="1" applyAlignment="1">
      <alignment horizontal="center" vertical="center"/>
    </xf>
    <xf numFmtId="178" fontId="4" fillId="0" borderId="10" xfId="7" applyBorder="1">
      <protection locked="0"/>
    </xf>
    <xf numFmtId="0" fontId="26" fillId="4" borderId="10" xfId="0" applyFont="1" applyFill="1" applyBorder="1" applyAlignment="1">
      <alignment horizontal="center" vertical="center"/>
    </xf>
    <xf numFmtId="0" fontId="26" fillId="4" borderId="11" xfId="0" applyFont="1" applyFill="1" applyBorder="1" applyAlignment="1">
      <alignment horizontal="center" vertical="center"/>
    </xf>
    <xf numFmtId="0" fontId="27" fillId="5" borderId="0" xfId="0" applyFont="1" applyFill="1" applyProtection="1">
      <alignment vertical="center"/>
      <protection locked="0"/>
    </xf>
    <xf numFmtId="178" fontId="28" fillId="5" borderId="0" xfId="0" applyNumberFormat="1" applyFont="1" applyFill="1">
      <alignment vertical="center"/>
    </xf>
    <xf numFmtId="178" fontId="26" fillId="5" borderId="0" xfId="0" applyNumberFormat="1" applyFont="1" applyFill="1">
      <alignment vertical="center"/>
    </xf>
    <xf numFmtId="177" fontId="91" fillId="5" borderId="0" xfId="55">
      <alignment horizontal="left"/>
      <protection locked="0"/>
    </xf>
    <xf numFmtId="0" fontId="21" fillId="6" borderId="0" xfId="0" applyFont="1" applyFill="1" applyProtection="1">
      <alignment vertical="center"/>
      <protection locked="0"/>
    </xf>
    <xf numFmtId="0" fontId="22" fillId="6" borderId="0" xfId="0" applyFont="1" applyFill="1" applyProtection="1">
      <alignment vertical="center"/>
      <protection locked="0"/>
    </xf>
    <xf numFmtId="178" fontId="23" fillId="5" borderId="0" xfId="0" applyNumberFormat="1" applyFont="1" applyFill="1" applyAlignment="1">
      <alignment horizontal="right" vertical="center"/>
    </xf>
    <xf numFmtId="185" fontId="45" fillId="5" borderId="0" xfId="16" applyFill="1" applyBorder="1">
      <protection locked="0"/>
    </xf>
    <xf numFmtId="178" fontId="93" fillId="5" borderId="0" xfId="0" applyNumberFormat="1" applyFont="1" applyFill="1">
      <alignment vertical="center"/>
    </xf>
    <xf numFmtId="178" fontId="93" fillId="5" borderId="0" xfId="58">
      <alignment vertical="center"/>
    </xf>
    <xf numFmtId="178" fontId="46" fillId="0" borderId="0" xfId="7" applyFont="1">
      <protection locked="0"/>
    </xf>
    <xf numFmtId="14" fontId="23" fillId="5" borderId="0" xfId="0" applyNumberFormat="1" applyFont="1" applyFill="1" applyAlignment="1">
      <alignment horizontal="right" vertical="center"/>
    </xf>
    <xf numFmtId="178" fontId="23" fillId="5" borderId="0" xfId="0" applyNumberFormat="1" applyFont="1" applyFill="1">
      <alignment vertical="center"/>
    </xf>
    <xf numFmtId="178" fontId="23" fillId="5" borderId="0" xfId="0" applyNumberFormat="1" applyFont="1" applyFill="1" applyAlignment="1" applyProtection="1">
      <alignment horizontal="right" vertical="center"/>
      <protection locked="0"/>
    </xf>
    <xf numFmtId="192" fontId="26" fillId="5" borderId="0" xfId="0" applyNumberFormat="1" applyFont="1" applyFill="1" applyAlignment="1">
      <alignment horizontal="right" vertical="center"/>
    </xf>
    <xf numFmtId="178" fontId="25" fillId="5" borderId="0" xfId="0" applyNumberFormat="1" applyFont="1" applyFill="1" applyAlignment="1">
      <alignment horizontal="right" vertical="center"/>
    </xf>
    <xf numFmtId="178" fontId="26" fillId="5" borderId="0" xfId="0" applyNumberFormat="1" applyFont="1" applyFill="1" applyAlignment="1">
      <alignment horizontal="right" vertical="center"/>
    </xf>
    <xf numFmtId="186" fontId="23" fillId="5" borderId="0" xfId="0" applyNumberFormat="1" applyFont="1" applyFill="1" applyAlignment="1">
      <alignment horizontal="right" vertical="center"/>
    </xf>
    <xf numFmtId="185" fontId="26" fillId="5" borderId="0" xfId="0" applyNumberFormat="1" applyFont="1" applyFill="1">
      <alignment vertical="center"/>
    </xf>
    <xf numFmtId="0" fontId="26" fillId="4" borderId="0" xfId="0" applyFont="1" applyFill="1" applyAlignment="1">
      <alignment horizontal="right" vertical="center"/>
    </xf>
    <xf numFmtId="178" fontId="26" fillId="7" borderId="0" xfId="0" applyNumberFormat="1" applyFont="1" applyFill="1" applyAlignment="1">
      <alignment horizontal="right" vertical="center"/>
    </xf>
    <xf numFmtId="178" fontId="31" fillId="5" borderId="0" xfId="0" applyNumberFormat="1" applyFont="1" applyFill="1" applyAlignment="1">
      <alignment horizontal="right" vertical="center"/>
    </xf>
    <xf numFmtId="178" fontId="28" fillId="5" borderId="0" xfId="0" applyNumberFormat="1" applyFont="1" applyFill="1" applyAlignment="1">
      <alignment horizontal="right" vertical="center"/>
    </xf>
    <xf numFmtId="178" fontId="95" fillId="0" borderId="0" xfId="4" applyFont="1">
      <alignment horizontal="left"/>
      <protection locked="0"/>
    </xf>
    <xf numFmtId="0" fontId="36" fillId="0" borderId="0" xfId="0" applyFont="1" applyAlignment="1" applyProtection="1">
      <alignment horizontal="center" vertical="center"/>
      <protection locked="0"/>
    </xf>
    <xf numFmtId="188" fontId="36" fillId="5" borderId="0" xfId="0" applyNumberFormat="1" applyFont="1" applyFill="1" applyAlignment="1">
      <alignment vertical="top"/>
    </xf>
    <xf numFmtId="0" fontId="103" fillId="5" borderId="0" xfId="0" applyFont="1" applyFill="1" applyProtection="1">
      <alignment vertical="center"/>
      <protection locked="0"/>
    </xf>
    <xf numFmtId="0" fontId="56" fillId="5" borderId="0" xfId="0" applyFont="1" applyFill="1" applyAlignment="1" applyProtection="1">
      <alignment horizontal="center" vertical="center"/>
      <protection locked="0"/>
    </xf>
    <xf numFmtId="0" fontId="21" fillId="2" borderId="0" xfId="0" applyFont="1" applyFill="1">
      <alignment vertical="center"/>
    </xf>
    <xf numFmtId="0" fontId="22" fillId="2" borderId="0" xfId="0" applyFont="1" applyFill="1">
      <alignment vertical="center"/>
    </xf>
    <xf numFmtId="0" fontId="7" fillId="4" borderId="0" xfId="0" applyFont="1" applyFill="1" applyAlignment="1" applyProtection="1">
      <alignment horizontal="center" vertical="center"/>
      <protection locked="0"/>
    </xf>
    <xf numFmtId="0" fontId="56" fillId="5" borderId="0" xfId="0" applyFont="1" applyFill="1" applyAlignment="1">
      <alignment horizontal="center"/>
    </xf>
    <xf numFmtId="0" fontId="22" fillId="5" borderId="0" xfId="0" applyFont="1" applyFill="1" applyAlignment="1">
      <alignment horizontal="left" vertical="center"/>
    </xf>
    <xf numFmtId="0" fontId="38" fillId="5" borderId="0" xfId="0" applyFont="1" applyFill="1" applyAlignment="1" applyProtection="1">
      <alignment horizontal="center" vertical="center"/>
      <protection locked="0"/>
    </xf>
    <xf numFmtId="0" fontId="29" fillId="5" borderId="0" xfId="0" applyFont="1" applyFill="1" applyProtection="1">
      <alignment vertical="center"/>
      <protection locked="0"/>
    </xf>
    <xf numFmtId="0" fontId="66" fillId="5" borderId="0" xfId="0" applyFont="1" applyFill="1" applyProtection="1">
      <alignment vertical="center"/>
      <protection locked="0"/>
    </xf>
    <xf numFmtId="0" fontId="67" fillId="5" borderId="0" xfId="0" applyFont="1" applyFill="1" applyAlignment="1" applyProtection="1">
      <alignment horizontal="right" vertical="center"/>
      <protection locked="0"/>
    </xf>
    <xf numFmtId="0" fontId="27" fillId="5" borderId="0" xfId="0" applyFont="1" applyFill="1" applyAlignment="1" applyProtection="1">
      <alignment horizontal="right" vertical="center"/>
      <protection locked="0"/>
    </xf>
    <xf numFmtId="0" fontId="74" fillId="5" borderId="0" xfId="0" applyFont="1" applyFill="1" applyAlignment="1" applyProtection="1">
      <alignment horizontal="center" vertical="center"/>
      <protection locked="0"/>
    </xf>
    <xf numFmtId="0" fontId="69" fillId="5" borderId="0" xfId="0" applyFont="1" applyFill="1" applyProtection="1">
      <alignment vertical="center"/>
      <protection locked="0"/>
    </xf>
    <xf numFmtId="0" fontId="32" fillId="5" borderId="0" xfId="0" applyFont="1" applyFill="1" applyProtection="1">
      <alignment vertical="center"/>
      <protection locked="0"/>
    </xf>
    <xf numFmtId="0" fontId="34" fillId="5" borderId="0" xfId="0" applyFont="1" applyFill="1" applyAlignment="1" applyProtection="1">
      <alignment horizontal="center" vertical="center"/>
      <protection locked="0"/>
    </xf>
    <xf numFmtId="0" fontId="102" fillId="5" borderId="0" xfId="0" applyFont="1" applyFill="1" applyProtection="1">
      <alignment vertical="center"/>
      <protection locked="0"/>
    </xf>
    <xf numFmtId="0" fontId="72" fillId="5" borderId="0" xfId="0" applyFont="1" applyFill="1" applyProtection="1">
      <alignment vertical="center"/>
      <protection locked="0"/>
    </xf>
    <xf numFmtId="0" fontId="68" fillId="5" borderId="0" xfId="0" applyFont="1" applyFill="1" applyProtection="1">
      <alignment vertical="center"/>
      <protection locked="0"/>
    </xf>
    <xf numFmtId="178" fontId="23" fillId="0" borderId="0" xfId="0" applyNumberFormat="1" applyFont="1" applyProtection="1">
      <alignment vertical="center"/>
      <protection locked="0"/>
    </xf>
    <xf numFmtId="0" fontId="102" fillId="0" borderId="0" xfId="0" applyFont="1" applyProtection="1">
      <alignment vertical="center"/>
      <protection locked="0"/>
    </xf>
    <xf numFmtId="178" fontId="47" fillId="0" borderId="0" xfId="0" applyNumberFormat="1" applyFont="1" applyProtection="1">
      <alignment vertical="center"/>
      <protection locked="0"/>
    </xf>
    <xf numFmtId="188" fontId="38" fillId="0" borderId="0" xfId="0" applyNumberFormat="1" applyFont="1">
      <alignment vertical="center"/>
    </xf>
    <xf numFmtId="178" fontId="57" fillId="0" borderId="0" xfId="4" applyFont="1">
      <alignment horizontal="left"/>
      <protection locked="0"/>
    </xf>
    <xf numFmtId="177" fontId="94" fillId="5" borderId="0" xfId="55" applyFont="1">
      <alignment horizontal="left"/>
      <protection locked="0"/>
    </xf>
    <xf numFmtId="0" fontId="104" fillId="7" borderId="0" xfId="0" applyFont="1" applyFill="1">
      <alignment vertical="center"/>
    </xf>
    <xf numFmtId="189" fontId="36" fillId="7" borderId="0" xfId="0" applyNumberFormat="1" applyFont="1" applyFill="1">
      <alignment vertical="center"/>
    </xf>
    <xf numFmtId="178" fontId="12" fillId="0" borderId="0" xfId="4" applyFont="1">
      <alignment horizontal="left"/>
      <protection locked="0"/>
    </xf>
    <xf numFmtId="178" fontId="80" fillId="0" borderId="0" xfId="4" applyFont="1">
      <alignment horizontal="left"/>
      <protection locked="0"/>
    </xf>
    <xf numFmtId="178" fontId="77" fillId="0" borderId="0" xfId="4" applyFont="1">
      <alignment horizontal="left"/>
      <protection locked="0"/>
    </xf>
    <xf numFmtId="188" fontId="36" fillId="7" borderId="0" xfId="0" applyNumberFormat="1" applyFont="1" applyFill="1">
      <alignment vertical="center"/>
    </xf>
    <xf numFmtId="178" fontId="62" fillId="0" borderId="0" xfId="4" applyFont="1">
      <alignment horizontal="left"/>
      <protection locked="0"/>
    </xf>
    <xf numFmtId="188" fontId="58" fillId="17" borderId="0" xfId="0" applyNumberFormat="1" applyFont="1" applyFill="1">
      <alignment vertical="center"/>
    </xf>
    <xf numFmtId="178" fontId="57" fillId="0" borderId="0" xfId="7" applyFont="1">
      <protection locked="0"/>
    </xf>
    <xf numFmtId="178" fontId="97" fillId="0" borderId="0" xfId="4" applyFont="1">
      <alignment horizontal="left"/>
      <protection locked="0"/>
    </xf>
    <xf numFmtId="178" fontId="96" fillId="0" borderId="0" xfId="4" applyFont="1">
      <alignment horizontal="left"/>
      <protection locked="0"/>
    </xf>
    <xf numFmtId="178" fontId="5" fillId="0" borderId="0" xfId="6">
      <protection locked="0"/>
    </xf>
    <xf numFmtId="188" fontId="104" fillId="0" borderId="0" xfId="0" applyNumberFormat="1" applyFont="1">
      <alignment vertical="center"/>
    </xf>
    <xf numFmtId="187" fontId="36" fillId="7" borderId="0" xfId="0" applyNumberFormat="1" applyFont="1" applyFill="1">
      <alignment vertical="center"/>
    </xf>
    <xf numFmtId="0" fontId="98" fillId="0" borderId="0" xfId="0" applyFont="1" applyProtection="1">
      <alignment vertical="center"/>
      <protection locked="0"/>
    </xf>
    <xf numFmtId="0" fontId="29" fillId="0" borderId="0" xfId="0" applyFont="1" applyProtection="1">
      <alignment vertical="center"/>
      <protection locked="0"/>
    </xf>
    <xf numFmtId="0" fontId="35" fillId="6" borderId="0" xfId="0" applyFont="1" applyFill="1" applyProtection="1">
      <alignment vertical="center"/>
      <protection locked="0"/>
    </xf>
    <xf numFmtId="0" fontId="66" fillId="8" borderId="0" xfId="0" applyFont="1" applyFill="1" applyProtection="1">
      <alignment vertical="center"/>
      <protection locked="0"/>
    </xf>
    <xf numFmtId="0" fontId="22" fillId="8" borderId="0" xfId="0" applyFont="1" applyFill="1" applyProtection="1">
      <alignment vertical="center"/>
      <protection locked="0"/>
    </xf>
    <xf numFmtId="0" fontId="22" fillId="7" borderId="0" xfId="0" applyFont="1" applyFill="1" applyProtection="1">
      <alignment vertical="center"/>
      <protection locked="0"/>
    </xf>
    <xf numFmtId="188" fontId="104" fillId="5" borderId="0" xfId="0" applyNumberFormat="1" applyFont="1" applyFill="1" applyAlignment="1">
      <alignment horizontal="left" vertical="center" indent="5"/>
    </xf>
    <xf numFmtId="0" fontId="105" fillId="5" borderId="0" xfId="0" applyFont="1" applyFill="1" applyAlignment="1" applyProtection="1">
      <alignment horizontal="center" vertical="center"/>
      <protection locked="0"/>
    </xf>
    <xf numFmtId="178" fontId="26" fillId="0" borderId="0" xfId="0" applyNumberFormat="1" applyFont="1">
      <alignment vertical="center"/>
    </xf>
    <xf numFmtId="0" fontId="22" fillId="5" borderId="0" xfId="0" applyFont="1" applyFill="1" applyAlignment="1" applyProtection="1">
      <alignment horizontal="right" vertical="center"/>
      <protection locked="0"/>
    </xf>
    <xf numFmtId="0" fontId="104" fillId="5" borderId="0" xfId="0" applyFont="1" applyFill="1" applyAlignment="1" applyProtection="1">
      <alignment horizontal="center" vertical="center"/>
      <protection locked="0"/>
    </xf>
    <xf numFmtId="0" fontId="101" fillId="5" borderId="0" xfId="0" applyFont="1" applyFill="1" applyProtection="1">
      <alignment vertical="center"/>
      <protection locked="0"/>
    </xf>
    <xf numFmtId="0" fontId="100" fillId="5" borderId="0" xfId="0" applyFont="1" applyFill="1" applyProtection="1">
      <alignment vertical="center"/>
      <protection locked="0"/>
    </xf>
    <xf numFmtId="178" fontId="99" fillId="5" borderId="0" xfId="0" applyNumberFormat="1" applyFont="1" applyFill="1" applyAlignment="1">
      <alignment horizontal="right" vertical="center"/>
    </xf>
    <xf numFmtId="0" fontId="105" fillId="10" borderId="13" xfId="0" applyFont="1" applyFill="1" applyBorder="1" applyAlignment="1">
      <alignment horizontal="center" vertical="center"/>
    </xf>
    <xf numFmtId="191" fontId="23" fillId="5" borderId="0" xfId="0" applyNumberFormat="1" applyFont="1" applyFill="1" applyProtection="1">
      <alignment vertical="center"/>
      <protection locked="0"/>
    </xf>
    <xf numFmtId="0" fontId="107" fillId="0" borderId="0" xfId="0" applyFont="1" applyAlignment="1" applyProtection="1">
      <alignment horizontal="left"/>
      <protection locked="0"/>
    </xf>
    <xf numFmtId="177" fontId="11" fillId="0" borderId="1" xfId="5" applyBorder="1">
      <protection locked="0"/>
    </xf>
    <xf numFmtId="178" fontId="6" fillId="0" borderId="0" xfId="0" applyNumberFormat="1" applyFont="1" applyAlignment="1" applyProtection="1">
      <alignment horizontal="right"/>
      <protection locked="0"/>
    </xf>
    <xf numFmtId="0" fontId="108" fillId="6" borderId="0" xfId="0" applyFont="1" applyFill="1" applyProtection="1">
      <alignment vertical="center"/>
      <protection locked="0"/>
    </xf>
    <xf numFmtId="178" fontId="4" fillId="0" borderId="5" xfId="7" applyBorder="1">
      <protection locked="0"/>
    </xf>
    <xf numFmtId="178" fontId="4" fillId="0" borderId="1" xfId="7" applyBorder="1">
      <protection locked="0"/>
    </xf>
    <xf numFmtId="177" fontId="11" fillId="0" borderId="11" xfId="5" applyBorder="1">
      <protection locked="0"/>
    </xf>
    <xf numFmtId="0" fontId="23" fillId="5" borderId="1" xfId="0" applyFont="1" applyFill="1" applyBorder="1" applyProtection="1">
      <alignment vertical="center"/>
      <protection locked="0"/>
    </xf>
    <xf numFmtId="178" fontId="4" fillId="0" borderId="4" xfId="7" applyBorder="1">
      <protection locked="0"/>
    </xf>
    <xf numFmtId="0" fontId="23" fillId="5" borderId="10" xfId="0" applyFont="1" applyFill="1" applyBorder="1" applyProtection="1">
      <alignment vertical="center"/>
      <protection locked="0"/>
    </xf>
    <xf numFmtId="0" fontId="23" fillId="5" borderId="2" xfId="0" applyFont="1" applyFill="1" applyBorder="1" applyProtection="1">
      <alignment vertical="center"/>
      <protection locked="0"/>
    </xf>
    <xf numFmtId="0" fontId="109" fillId="0" borderId="1" xfId="0" applyFont="1" applyBorder="1" applyAlignment="1" applyProtection="1">
      <protection locked="0"/>
    </xf>
    <xf numFmtId="0" fontId="35" fillId="0" borderId="0" xfId="0" applyFont="1" applyProtection="1">
      <alignment vertical="center"/>
      <protection locked="0"/>
    </xf>
    <xf numFmtId="188" fontId="111" fillId="0" borderId="0" xfId="0" applyNumberFormat="1" applyFont="1">
      <alignment vertical="center"/>
    </xf>
    <xf numFmtId="188" fontId="38" fillId="0" borderId="2" xfId="0" applyNumberFormat="1" applyFont="1" applyBorder="1">
      <alignment vertical="center"/>
    </xf>
    <xf numFmtId="177" fontId="91" fillId="5" borderId="2" xfId="55" applyBorder="1">
      <alignment horizontal="left"/>
      <protection locked="0"/>
    </xf>
    <xf numFmtId="0" fontId="22" fillId="0" borderId="2" xfId="0" applyFont="1" applyBorder="1" applyProtection="1">
      <alignment vertical="center"/>
      <protection locked="0"/>
    </xf>
    <xf numFmtId="178" fontId="26" fillId="5" borderId="2" xfId="0" applyNumberFormat="1" applyFont="1" applyFill="1" applyBorder="1">
      <alignment vertical="center"/>
    </xf>
    <xf numFmtId="0" fontId="36" fillId="0" borderId="2" xfId="0" applyFont="1" applyBorder="1" applyProtection="1">
      <alignment vertical="center"/>
      <protection locked="0"/>
    </xf>
    <xf numFmtId="0" fontId="23" fillId="0" borderId="2" xfId="0" applyFont="1" applyBorder="1" applyProtection="1">
      <alignment vertical="center"/>
      <protection locked="0"/>
    </xf>
    <xf numFmtId="0" fontId="38" fillId="5" borderId="8" xfId="0" applyFont="1" applyFill="1" applyBorder="1" applyAlignment="1" applyProtection="1">
      <alignment horizontal="center" vertical="center"/>
      <protection locked="0"/>
    </xf>
    <xf numFmtId="0" fontId="22" fillId="5" borderId="8" xfId="0" applyFont="1" applyFill="1" applyBorder="1" applyProtection="1">
      <alignment vertical="center"/>
      <protection locked="0"/>
    </xf>
    <xf numFmtId="0" fontId="23" fillId="5" borderId="8" xfId="0" applyFont="1" applyFill="1" applyBorder="1">
      <alignment vertical="center"/>
    </xf>
    <xf numFmtId="0" fontId="23" fillId="5" borderId="8" xfId="0" applyFont="1" applyFill="1" applyBorder="1" applyProtection="1">
      <alignment vertical="center"/>
      <protection locked="0"/>
    </xf>
    <xf numFmtId="0" fontId="36" fillId="5" borderId="8" xfId="0" applyFont="1" applyFill="1" applyBorder="1" applyProtection="1">
      <alignment vertical="center"/>
      <protection locked="0"/>
    </xf>
    <xf numFmtId="0" fontId="23" fillId="0" borderId="8" xfId="0" applyFont="1" applyBorder="1" applyProtection="1">
      <alignment vertical="center"/>
      <protection locked="0"/>
    </xf>
    <xf numFmtId="0" fontId="22" fillId="5" borderId="2" xfId="0" applyFont="1" applyFill="1" applyBorder="1" applyProtection="1">
      <alignment vertical="center"/>
      <protection locked="0"/>
    </xf>
    <xf numFmtId="0" fontId="74" fillId="5" borderId="2" xfId="0" applyFont="1" applyFill="1" applyBorder="1" applyAlignment="1" applyProtection="1">
      <alignment horizontal="center" vertical="center"/>
      <protection locked="0"/>
    </xf>
    <xf numFmtId="0" fontId="36" fillId="5" borderId="2" xfId="0" applyFont="1" applyFill="1" applyBorder="1" applyProtection="1">
      <alignment vertical="center"/>
      <protection locked="0"/>
    </xf>
    <xf numFmtId="0" fontId="36" fillId="0" borderId="2" xfId="0" applyFont="1" applyBorder="1" applyAlignment="1" applyProtection="1">
      <alignment horizontal="center" vertical="center"/>
      <protection locked="0"/>
    </xf>
    <xf numFmtId="178" fontId="92" fillId="5" borderId="2" xfId="57" applyFont="1" applyBorder="1">
      <protection locked="0"/>
    </xf>
    <xf numFmtId="0" fontId="34" fillId="5" borderId="2" xfId="0" applyFont="1" applyFill="1" applyBorder="1" applyAlignment="1" applyProtection="1">
      <alignment horizontal="center" vertical="center"/>
      <protection locked="0"/>
    </xf>
    <xf numFmtId="178" fontId="23" fillId="5" borderId="2" xfId="0" applyNumberFormat="1" applyFont="1" applyFill="1" applyBorder="1">
      <alignment vertical="center"/>
    </xf>
    <xf numFmtId="178" fontId="31" fillId="5" borderId="2" xfId="0" applyNumberFormat="1" applyFont="1" applyFill="1" applyBorder="1" applyAlignment="1">
      <alignment horizontal="right" vertical="center"/>
    </xf>
    <xf numFmtId="0" fontId="36" fillId="5" borderId="2" xfId="0" applyFont="1" applyFill="1" applyBorder="1" applyAlignment="1" applyProtection="1">
      <alignment horizontal="center" vertical="center"/>
      <protection locked="0"/>
    </xf>
    <xf numFmtId="0" fontId="27" fillId="5" borderId="2" xfId="0" applyFont="1" applyFill="1" applyBorder="1" applyProtection="1">
      <alignment vertical="center"/>
      <protection locked="0"/>
    </xf>
    <xf numFmtId="0" fontId="28" fillId="5" borderId="2" xfId="0" applyFont="1" applyFill="1" applyBorder="1">
      <alignment vertical="center"/>
    </xf>
    <xf numFmtId="177" fontId="28" fillId="5" borderId="2" xfId="0" applyNumberFormat="1" applyFont="1" applyFill="1" applyBorder="1" applyAlignment="1">
      <alignment horizontal="right" vertical="center"/>
    </xf>
    <xf numFmtId="0" fontId="112" fillId="5" borderId="2" xfId="0" applyFont="1" applyFill="1" applyBorder="1" applyProtection="1">
      <alignment vertical="center"/>
      <protection locked="0"/>
    </xf>
    <xf numFmtId="0" fontId="113" fillId="5" borderId="2" xfId="0" applyFont="1" applyFill="1" applyBorder="1" applyProtection="1">
      <alignment vertical="center"/>
      <protection locked="0"/>
    </xf>
    <xf numFmtId="178" fontId="26" fillId="5" borderId="2" xfId="0" applyNumberFormat="1" applyFont="1" applyFill="1" applyBorder="1" applyAlignment="1" applyProtection="1">
      <alignment horizontal="right" vertical="center"/>
      <protection locked="0"/>
    </xf>
    <xf numFmtId="178" fontId="47" fillId="5" borderId="0" xfId="0" applyNumberFormat="1" applyFont="1" applyFill="1">
      <alignment vertical="center"/>
    </xf>
    <xf numFmtId="0" fontId="66" fillId="5" borderId="2" xfId="0" applyFont="1" applyFill="1" applyBorder="1" applyProtection="1">
      <alignment vertical="center"/>
      <protection locked="0"/>
    </xf>
    <xf numFmtId="0" fontId="36" fillId="5" borderId="8" xfId="0" applyFont="1" applyFill="1" applyBorder="1" applyAlignment="1" applyProtection="1">
      <alignment horizontal="center" vertical="center"/>
      <protection locked="0"/>
    </xf>
    <xf numFmtId="178" fontId="23" fillId="0" borderId="8" xfId="0" applyNumberFormat="1" applyFont="1" applyBorder="1">
      <alignment vertical="center"/>
    </xf>
    <xf numFmtId="179" fontId="23" fillId="0" borderId="8" xfId="0" applyNumberFormat="1" applyFont="1" applyBorder="1" applyAlignment="1">
      <alignment horizontal="right" vertical="center"/>
    </xf>
    <xf numFmtId="179" fontId="23" fillId="5" borderId="8" xfId="0" applyNumberFormat="1" applyFont="1" applyFill="1" applyBorder="1" applyAlignment="1">
      <alignment horizontal="right" vertical="center"/>
    </xf>
    <xf numFmtId="178" fontId="23" fillId="5" borderId="8" xfId="0" applyNumberFormat="1" applyFont="1" applyFill="1" applyBorder="1">
      <alignment vertical="center"/>
    </xf>
    <xf numFmtId="0" fontId="23" fillId="5" borderId="19" xfId="0" applyFont="1" applyFill="1" applyBorder="1" applyProtection="1">
      <alignment vertical="center"/>
      <protection locked="0"/>
    </xf>
    <xf numFmtId="0" fontId="23" fillId="5" borderId="8" xfId="0" applyFont="1" applyFill="1" applyBorder="1" applyAlignment="1">
      <alignment horizontal="right" vertical="center"/>
    </xf>
    <xf numFmtId="14" fontId="23" fillId="5" borderId="0" xfId="0" applyNumberFormat="1" applyFont="1" applyFill="1" applyProtection="1">
      <alignment vertical="center"/>
      <protection locked="0"/>
    </xf>
    <xf numFmtId="0" fontId="115" fillId="5" borderId="0" xfId="0" applyFont="1" applyFill="1" applyProtection="1">
      <alignment vertical="center"/>
      <protection locked="0"/>
    </xf>
    <xf numFmtId="0" fontId="110" fillId="5" borderId="0" xfId="0" applyFont="1" applyFill="1" applyProtection="1">
      <alignment vertical="center"/>
      <protection locked="0"/>
    </xf>
    <xf numFmtId="177" fontId="44" fillId="0" borderId="0" xfId="5" applyFont="1">
      <protection locked="0"/>
    </xf>
    <xf numFmtId="177" fontId="116" fillId="5" borderId="0" xfId="55" applyFont="1">
      <alignment horizontal="left"/>
      <protection locked="0"/>
    </xf>
    <xf numFmtId="177" fontId="117" fillId="0" borderId="0" xfId="5" applyFont="1">
      <protection locked="0"/>
    </xf>
    <xf numFmtId="186" fontId="4" fillId="0" borderId="0" xfId="7" applyNumberFormat="1">
      <protection locked="0"/>
    </xf>
    <xf numFmtId="0" fontId="114" fillId="5" borderId="0" xfId="0" applyFont="1" applyFill="1" applyProtection="1">
      <alignment vertical="center"/>
      <protection locked="0"/>
    </xf>
    <xf numFmtId="181" fontId="9" fillId="0" borderId="0" xfId="0" applyNumberFormat="1" applyFont="1" applyAlignment="1" applyProtection="1">
      <protection locked="0"/>
    </xf>
    <xf numFmtId="0" fontId="17" fillId="5" borderId="1" xfId="0" applyFont="1" applyFill="1" applyBorder="1" applyAlignment="1" applyProtection="1">
      <protection locked="0"/>
    </xf>
    <xf numFmtId="186" fontId="26" fillId="5" borderId="0" xfId="0" applyNumberFormat="1" applyFont="1" applyFill="1" applyProtection="1">
      <alignment vertical="center"/>
      <protection locked="0"/>
    </xf>
    <xf numFmtId="179" fontId="78" fillId="0" borderId="1" xfId="7" applyNumberFormat="1" applyFont="1" applyBorder="1">
      <protection locked="0"/>
    </xf>
    <xf numFmtId="0" fontId="118" fillId="18" borderId="0" xfId="0" applyFont="1" applyFill="1" applyAlignment="1">
      <alignment horizontal="center" vertical="center"/>
    </xf>
    <xf numFmtId="0" fontId="65" fillId="0" borderId="0" xfId="0" applyFont="1">
      <alignment vertical="center"/>
    </xf>
    <xf numFmtId="177" fontId="63" fillId="0" borderId="0" xfId="5" applyFont="1">
      <protection locked="0"/>
    </xf>
    <xf numFmtId="186" fontId="57" fillId="0" borderId="0" xfId="7" applyNumberFormat="1" applyFont="1">
      <protection locked="0"/>
    </xf>
    <xf numFmtId="179" fontId="57" fillId="0" borderId="0" xfId="7" applyNumberFormat="1" applyFont="1">
      <protection locked="0"/>
    </xf>
    <xf numFmtId="0" fontId="119" fillId="0" borderId="0" xfId="0" applyFont="1">
      <alignment vertical="center"/>
    </xf>
    <xf numFmtId="0" fontId="106" fillId="2" borderId="1" xfId="0" applyFont="1" applyFill="1" applyBorder="1" applyAlignment="1"/>
    <xf numFmtId="179" fontId="4" fillId="0" borderId="0" xfId="7" applyNumberFormat="1">
      <protection locked="0"/>
    </xf>
    <xf numFmtId="178" fontId="95" fillId="0" borderId="0" xfId="4" applyFont="1" applyAlignment="1">
      <protection locked="0"/>
    </xf>
    <xf numFmtId="178" fontId="4" fillId="0" borderId="0" xfId="4" applyAlignment="1">
      <protection locked="0"/>
    </xf>
    <xf numFmtId="14" fontId="0" fillId="5" borderId="0" xfId="0" applyNumberFormat="1" applyFill="1">
      <alignment vertical="center"/>
    </xf>
    <xf numFmtId="14" fontId="0" fillId="5" borderId="11" xfId="0" applyNumberFormat="1" applyFill="1" applyBorder="1">
      <alignment vertical="center"/>
    </xf>
    <xf numFmtId="0" fontId="26" fillId="10" borderId="0" xfId="59">
      <alignment horizontal="center" vertical="center"/>
    </xf>
    <xf numFmtId="0" fontId="26" fillId="4" borderId="14" xfId="0" applyFont="1" applyFill="1" applyBorder="1" applyAlignment="1">
      <alignment horizontal="center" vertical="center"/>
    </xf>
    <xf numFmtId="192" fontId="26" fillId="5" borderId="0" xfId="0" applyNumberFormat="1" applyFont="1" applyFill="1">
      <alignment vertical="center"/>
    </xf>
    <xf numFmtId="0" fontId="122" fillId="5" borderId="0" xfId="0" applyFont="1" applyFill="1" applyProtection="1">
      <alignment vertical="center"/>
      <protection locked="0"/>
    </xf>
    <xf numFmtId="0" fontId="123" fillId="5" borderId="0" xfId="0" applyFont="1" applyFill="1" applyProtection="1">
      <alignment vertical="center"/>
      <protection locked="0"/>
    </xf>
    <xf numFmtId="0" fontId="64" fillId="5" borderId="0" xfId="0" applyFont="1" applyFill="1" applyProtection="1">
      <alignment vertical="center"/>
      <protection locked="0"/>
    </xf>
    <xf numFmtId="0" fontId="60" fillId="5" borderId="0" xfId="0" applyFont="1" applyFill="1" applyProtection="1">
      <alignment vertical="center"/>
      <protection locked="0"/>
    </xf>
    <xf numFmtId="192" fontId="60" fillId="5" borderId="0" xfId="0" applyNumberFormat="1" applyFont="1" applyFill="1" applyProtection="1">
      <alignment vertical="center"/>
      <protection locked="0"/>
    </xf>
    <xf numFmtId="179" fontId="60" fillId="5" borderId="0" xfId="0" applyNumberFormat="1" applyFont="1" applyFill="1" applyProtection="1">
      <alignment vertical="center"/>
      <protection locked="0"/>
    </xf>
    <xf numFmtId="178" fontId="65" fillId="46" borderId="0" xfId="0" applyNumberFormat="1" applyFont="1" applyFill="1" applyProtection="1">
      <alignment vertical="center"/>
      <protection locked="0"/>
    </xf>
    <xf numFmtId="178" fontId="60" fillId="46" borderId="0" xfId="0" applyNumberFormat="1" applyFont="1" applyFill="1" applyProtection="1">
      <alignment vertical="center"/>
      <protection locked="0"/>
    </xf>
    <xf numFmtId="178" fontId="60" fillId="5" borderId="0" xfId="0" applyNumberFormat="1" applyFont="1" applyFill="1" applyProtection="1">
      <alignment vertical="center"/>
      <protection locked="0"/>
    </xf>
    <xf numFmtId="178" fontId="123" fillId="5" borderId="0" xfId="0" applyNumberFormat="1" applyFont="1" applyFill="1" applyProtection="1">
      <alignment vertical="center"/>
      <protection locked="0"/>
    </xf>
    <xf numFmtId="192" fontId="65" fillId="5" borderId="0" xfId="0" applyNumberFormat="1" applyFont="1" applyFill="1" applyProtection="1">
      <alignment vertical="center"/>
      <protection locked="0"/>
    </xf>
    <xf numFmtId="0" fontId="66" fillId="0" borderId="0" xfId="0" applyFont="1">
      <alignment vertical="center"/>
    </xf>
    <xf numFmtId="0" fontId="65" fillId="5" borderId="0" xfId="0" applyFont="1" applyFill="1" applyProtection="1">
      <alignment vertical="center"/>
      <protection locked="0"/>
    </xf>
    <xf numFmtId="177" fontId="67" fillId="0" borderId="0" xfId="54" applyFont="1">
      <alignment horizontal="left"/>
      <protection locked="0"/>
    </xf>
    <xf numFmtId="0" fontId="38" fillId="47" borderId="0" xfId="0" applyFont="1" applyFill="1" applyAlignment="1">
      <alignment horizontal="center" vertical="center"/>
    </xf>
    <xf numFmtId="0" fontId="7" fillId="4" borderId="10" xfId="0" applyFont="1" applyFill="1" applyBorder="1" applyAlignment="1" applyProtection="1">
      <alignment horizontal="center" vertical="center"/>
      <protection locked="0"/>
    </xf>
    <xf numFmtId="178" fontId="47" fillId="5" borderId="10" xfId="0" applyNumberFormat="1" applyFont="1" applyFill="1" applyBorder="1">
      <alignment vertical="center"/>
    </xf>
    <xf numFmtId="177" fontId="28" fillId="5" borderId="10" xfId="0" applyNumberFormat="1" applyFont="1" applyFill="1" applyBorder="1">
      <alignment vertical="center"/>
    </xf>
    <xf numFmtId="178" fontId="26" fillId="5" borderId="10" xfId="0" applyNumberFormat="1" applyFont="1" applyFill="1" applyBorder="1">
      <alignment vertical="center"/>
    </xf>
    <xf numFmtId="178" fontId="26" fillId="5" borderId="4" xfId="0" applyNumberFormat="1" applyFont="1" applyFill="1" applyBorder="1">
      <alignment vertical="center"/>
    </xf>
    <xf numFmtId="177" fontId="30" fillId="5" borderId="10" xfId="0" applyNumberFormat="1" applyFont="1" applyFill="1" applyBorder="1" applyAlignment="1">
      <alignment horizontal="right" vertical="center"/>
    </xf>
    <xf numFmtId="178" fontId="23" fillId="5" borderId="10" xfId="0" applyNumberFormat="1" applyFont="1" applyFill="1" applyBorder="1">
      <alignment vertical="center"/>
    </xf>
    <xf numFmtId="177" fontId="28" fillId="5" borderId="10" xfId="0" applyNumberFormat="1" applyFont="1" applyFill="1" applyBorder="1" applyAlignment="1">
      <alignment horizontal="right" vertical="center"/>
    </xf>
    <xf numFmtId="0" fontId="23" fillId="0" borderId="10" xfId="0" applyFont="1" applyBorder="1" applyProtection="1">
      <alignment vertical="center"/>
      <protection locked="0"/>
    </xf>
    <xf numFmtId="0" fontId="23" fillId="0" borderId="4" xfId="0" applyFont="1" applyBorder="1" applyProtection="1">
      <alignment vertical="center"/>
      <protection locked="0"/>
    </xf>
    <xf numFmtId="178" fontId="23" fillId="5" borderId="10" xfId="0" applyNumberFormat="1" applyFont="1" applyFill="1" applyBorder="1" applyAlignment="1" applyProtection="1">
      <alignment horizontal="right" vertical="center"/>
      <protection locked="0"/>
    </xf>
    <xf numFmtId="178" fontId="23" fillId="5" borderId="4" xfId="0" applyNumberFormat="1" applyFont="1" applyFill="1" applyBorder="1">
      <alignment vertical="center"/>
    </xf>
    <xf numFmtId="178" fontId="26" fillId="5" borderId="4" xfId="0" applyNumberFormat="1" applyFont="1" applyFill="1" applyBorder="1" applyAlignment="1" applyProtection="1">
      <alignment horizontal="right" vertical="center"/>
      <protection locked="0"/>
    </xf>
    <xf numFmtId="0" fontId="28" fillId="5" borderId="4" xfId="0" applyFont="1" applyFill="1" applyBorder="1">
      <alignment vertical="center"/>
    </xf>
    <xf numFmtId="178" fontId="28" fillId="5" borderId="10" xfId="0" applyNumberFormat="1" applyFont="1" applyFill="1" applyBorder="1">
      <alignment vertical="center"/>
    </xf>
    <xf numFmtId="192" fontId="26" fillId="5" borderId="10" xfId="0" applyNumberFormat="1" applyFont="1" applyFill="1" applyBorder="1" applyAlignment="1">
      <alignment horizontal="right" vertical="center"/>
    </xf>
    <xf numFmtId="185" fontId="26" fillId="5" borderId="10" xfId="0" applyNumberFormat="1" applyFont="1" applyFill="1" applyBorder="1">
      <alignment vertical="center"/>
    </xf>
    <xf numFmtId="192" fontId="26" fillId="5" borderId="10" xfId="0" applyNumberFormat="1" applyFont="1" applyFill="1" applyBorder="1">
      <alignment vertical="center"/>
    </xf>
    <xf numFmtId="178" fontId="25" fillId="5" borderId="10" xfId="0" applyNumberFormat="1" applyFont="1" applyFill="1" applyBorder="1" applyAlignment="1">
      <alignment horizontal="right" vertical="center"/>
    </xf>
    <xf numFmtId="178" fontId="31" fillId="5" borderId="10" xfId="0" applyNumberFormat="1" applyFont="1" applyFill="1" applyBorder="1" applyAlignment="1">
      <alignment horizontal="right" vertical="center"/>
    </xf>
    <xf numFmtId="177" fontId="25" fillId="5" borderId="10" xfId="0" applyNumberFormat="1" applyFont="1" applyFill="1" applyBorder="1" applyAlignment="1">
      <alignment horizontal="right" vertical="center"/>
    </xf>
    <xf numFmtId="178" fontId="26" fillId="5" borderId="10" xfId="0" applyNumberFormat="1" applyFont="1" applyFill="1" applyBorder="1" applyAlignment="1">
      <alignment horizontal="right" vertical="center"/>
    </xf>
    <xf numFmtId="186" fontId="23" fillId="5" borderId="10" xfId="0" applyNumberFormat="1" applyFont="1" applyFill="1" applyBorder="1" applyAlignment="1">
      <alignment horizontal="right" vertical="center"/>
    </xf>
    <xf numFmtId="0" fontId="23" fillId="5" borderId="27" xfId="0" applyFont="1" applyFill="1" applyBorder="1">
      <alignment vertical="center"/>
    </xf>
    <xf numFmtId="178" fontId="23" fillId="0" borderId="10" xfId="0" applyNumberFormat="1" applyFont="1" applyBorder="1" applyProtection="1">
      <alignment vertical="center"/>
      <protection locked="0"/>
    </xf>
    <xf numFmtId="178" fontId="47" fillId="0" borderId="10" xfId="0" applyNumberFormat="1" applyFont="1" applyBorder="1" applyProtection="1">
      <alignment vertical="center"/>
      <protection locked="0"/>
    </xf>
    <xf numFmtId="177" fontId="11" fillId="0" borderId="10" xfId="5" applyBorder="1">
      <protection locked="0"/>
    </xf>
    <xf numFmtId="178" fontId="93" fillId="5" borderId="10" xfId="58" applyBorder="1">
      <alignment vertical="center"/>
    </xf>
    <xf numFmtId="179" fontId="23" fillId="5" borderId="27" xfId="0" applyNumberFormat="1" applyFont="1" applyFill="1" applyBorder="1" applyAlignment="1">
      <alignment horizontal="right" vertical="center"/>
    </xf>
    <xf numFmtId="0" fontId="26" fillId="4" borderId="10" xfId="0" applyFont="1" applyFill="1" applyBorder="1" applyAlignment="1">
      <alignment horizontal="right" vertical="center"/>
    </xf>
    <xf numFmtId="178" fontId="26" fillId="0" borderId="10" xfId="0" applyNumberFormat="1" applyFont="1" applyBorder="1">
      <alignment vertical="center"/>
    </xf>
    <xf numFmtId="0" fontId="31" fillId="5" borderId="10" xfId="0" applyFont="1" applyFill="1" applyBorder="1" applyAlignment="1">
      <alignment horizontal="right" vertical="center"/>
    </xf>
    <xf numFmtId="178" fontId="28" fillId="5" borderId="10" xfId="0" applyNumberFormat="1" applyFont="1" applyFill="1" applyBorder="1" applyAlignment="1">
      <alignment horizontal="right" vertical="center"/>
    </xf>
    <xf numFmtId="178" fontId="23" fillId="5" borderId="10" xfId="0" applyNumberFormat="1" applyFont="1" applyFill="1" applyBorder="1" applyAlignment="1">
      <alignment horizontal="right" vertical="center"/>
    </xf>
    <xf numFmtId="178" fontId="99" fillId="5" borderId="10" xfId="0" applyNumberFormat="1" applyFont="1" applyFill="1" applyBorder="1" applyAlignment="1">
      <alignment horizontal="right" vertical="center"/>
    </xf>
    <xf numFmtId="0" fontId="23" fillId="5" borderId="27" xfId="0" applyFont="1" applyFill="1" applyBorder="1" applyAlignment="1">
      <alignment horizontal="right" vertical="center"/>
    </xf>
    <xf numFmtId="178" fontId="4" fillId="0" borderId="10" xfId="4" applyBorder="1" applyAlignment="1">
      <protection locked="0"/>
    </xf>
    <xf numFmtId="0" fontId="23" fillId="5" borderId="27" xfId="0" applyFont="1" applyFill="1" applyBorder="1" applyProtection="1">
      <alignment vertical="center"/>
      <protection locked="0"/>
    </xf>
    <xf numFmtId="177" fontId="117" fillId="0" borderId="10" xfId="5" applyFont="1" applyBorder="1">
      <protection locked="0"/>
    </xf>
    <xf numFmtId="177" fontId="44" fillId="0" borderId="10" xfId="5" applyFont="1" applyBorder="1">
      <protection locked="0"/>
    </xf>
    <xf numFmtId="186" fontId="4" fillId="0" borderId="10" xfId="7" applyNumberFormat="1" applyBorder="1">
      <protection locked="0"/>
    </xf>
    <xf numFmtId="178" fontId="23" fillId="5" borderId="10" xfId="0" applyNumberFormat="1" applyFont="1" applyFill="1" applyBorder="1" applyProtection="1">
      <alignment vertical="center"/>
      <protection locked="0"/>
    </xf>
    <xf numFmtId="0" fontId="7" fillId="4" borderId="11" xfId="0" applyFont="1" applyFill="1" applyBorder="1" applyAlignment="1" applyProtection="1">
      <alignment horizontal="center" vertical="center"/>
      <protection locked="0"/>
    </xf>
    <xf numFmtId="14" fontId="23" fillId="5" borderId="11" xfId="0" applyNumberFormat="1" applyFont="1" applyFill="1" applyBorder="1" applyAlignment="1">
      <alignment horizontal="right" vertical="center"/>
    </xf>
    <xf numFmtId="0" fontId="38" fillId="47" borderId="11" xfId="0" applyFont="1" applyFill="1" applyBorder="1" applyAlignment="1">
      <alignment horizontal="center" vertical="center"/>
    </xf>
    <xf numFmtId="178" fontId="47" fillId="5" borderId="11" xfId="0" applyNumberFormat="1" applyFont="1" applyFill="1" applyBorder="1">
      <alignment vertical="center"/>
    </xf>
    <xf numFmtId="177" fontId="28" fillId="5" borderId="11" xfId="0" applyNumberFormat="1" applyFont="1" applyFill="1" applyBorder="1">
      <alignment vertical="center"/>
    </xf>
    <xf numFmtId="178" fontId="26" fillId="5" borderId="11" xfId="0" applyNumberFormat="1" applyFont="1" applyFill="1" applyBorder="1">
      <alignment vertical="center"/>
    </xf>
    <xf numFmtId="178" fontId="26" fillId="5" borderId="5" xfId="0" applyNumberFormat="1" applyFont="1" applyFill="1" applyBorder="1">
      <alignment vertical="center"/>
    </xf>
    <xf numFmtId="177" fontId="30" fillId="5" borderId="11" xfId="0" applyNumberFormat="1" applyFont="1" applyFill="1" applyBorder="1" applyAlignment="1">
      <alignment horizontal="right" vertical="center"/>
    </xf>
    <xf numFmtId="178" fontId="23" fillId="5" borderId="11" xfId="0" applyNumberFormat="1" applyFont="1" applyFill="1" applyBorder="1">
      <alignment vertical="center"/>
    </xf>
    <xf numFmtId="177" fontId="28" fillId="5" borderId="11" xfId="0" applyNumberFormat="1" applyFont="1" applyFill="1" applyBorder="1" applyAlignment="1">
      <alignment horizontal="right" vertical="center"/>
    </xf>
    <xf numFmtId="0" fontId="23" fillId="0" borderId="5" xfId="0" applyFont="1" applyBorder="1" applyProtection="1">
      <alignment vertical="center"/>
      <protection locked="0"/>
    </xf>
    <xf numFmtId="178" fontId="23" fillId="5" borderId="11" xfId="0" applyNumberFormat="1" applyFont="1" applyFill="1" applyBorder="1" applyAlignment="1" applyProtection="1">
      <alignment horizontal="right" vertical="center"/>
      <protection locked="0"/>
    </xf>
    <xf numFmtId="178" fontId="23" fillId="5" borderId="5" xfId="0" applyNumberFormat="1" applyFont="1" applyFill="1" applyBorder="1">
      <alignment vertical="center"/>
    </xf>
    <xf numFmtId="178" fontId="26" fillId="5" borderId="5" xfId="0" applyNumberFormat="1" applyFont="1" applyFill="1" applyBorder="1" applyAlignment="1" applyProtection="1">
      <alignment horizontal="right" vertical="center"/>
      <protection locked="0"/>
    </xf>
    <xf numFmtId="0" fontId="28" fillId="5" borderId="5" xfId="0" applyFont="1" applyFill="1" applyBorder="1">
      <alignment vertical="center"/>
    </xf>
    <xf numFmtId="178" fontId="28" fillId="5" borderId="11" xfId="0" applyNumberFormat="1" applyFont="1" applyFill="1" applyBorder="1">
      <alignment vertical="center"/>
    </xf>
    <xf numFmtId="192" fontId="26" fillId="5" borderId="11" xfId="0" applyNumberFormat="1" applyFont="1" applyFill="1" applyBorder="1" applyAlignment="1">
      <alignment horizontal="right" vertical="center"/>
    </xf>
    <xf numFmtId="185" fontId="26" fillId="5" borderId="11" xfId="0" applyNumberFormat="1" applyFont="1" applyFill="1" applyBorder="1">
      <alignment vertical="center"/>
    </xf>
    <xf numFmtId="192" fontId="26" fillId="5" borderId="11" xfId="0" applyNumberFormat="1" applyFont="1" applyFill="1" applyBorder="1">
      <alignment vertical="center"/>
    </xf>
    <xf numFmtId="178" fontId="25" fillId="5" borderId="11" xfId="0" applyNumberFormat="1" applyFont="1" applyFill="1" applyBorder="1" applyAlignment="1">
      <alignment horizontal="right" vertical="center"/>
    </xf>
    <xf numFmtId="178" fontId="31" fillId="5" borderId="11" xfId="0" applyNumberFormat="1" applyFont="1" applyFill="1" applyBorder="1" applyAlignment="1">
      <alignment horizontal="right" vertical="center"/>
    </xf>
    <xf numFmtId="177" fontId="25" fillId="5" borderId="11" xfId="0" applyNumberFormat="1" applyFont="1" applyFill="1" applyBorder="1" applyAlignment="1">
      <alignment horizontal="right" vertical="center"/>
    </xf>
    <xf numFmtId="178" fontId="26" fillId="5" borderId="11" xfId="0" applyNumberFormat="1" applyFont="1" applyFill="1" applyBorder="1" applyAlignment="1">
      <alignment horizontal="right" vertical="center"/>
    </xf>
    <xf numFmtId="186" fontId="23" fillId="5" borderId="11" xfId="0" applyNumberFormat="1" applyFont="1" applyFill="1" applyBorder="1" applyAlignment="1">
      <alignment horizontal="right" vertical="center"/>
    </xf>
    <xf numFmtId="0" fontId="23" fillId="5" borderId="19" xfId="0" applyFont="1" applyFill="1" applyBorder="1">
      <alignment vertical="center"/>
    </xf>
    <xf numFmtId="178" fontId="23" fillId="0" borderId="11" xfId="0" applyNumberFormat="1" applyFont="1" applyBorder="1" applyProtection="1">
      <alignment vertical="center"/>
      <protection locked="0"/>
    </xf>
    <xf numFmtId="178" fontId="47" fillId="0" borderId="11" xfId="0" applyNumberFormat="1" applyFont="1" applyBorder="1" applyProtection="1">
      <alignment vertical="center"/>
      <protection locked="0"/>
    </xf>
    <xf numFmtId="178" fontId="93" fillId="5" borderId="11" xfId="58" applyBorder="1">
      <alignment vertical="center"/>
    </xf>
    <xf numFmtId="179" fontId="23" fillId="5" borderId="19" xfId="0" applyNumberFormat="1" applyFont="1" applyFill="1" applyBorder="1" applyAlignment="1">
      <alignment horizontal="right" vertical="center"/>
    </xf>
    <xf numFmtId="0" fontId="26" fillId="4" borderId="11" xfId="0" applyFont="1" applyFill="1" applyBorder="1" applyAlignment="1">
      <alignment horizontal="right" vertical="center"/>
    </xf>
    <xf numFmtId="178" fontId="26" fillId="0" borderId="11" xfId="0" applyNumberFormat="1" applyFont="1" applyBorder="1">
      <alignment vertical="center"/>
    </xf>
    <xf numFmtId="0" fontId="31" fillId="5" borderId="11" xfId="0" applyFont="1" applyFill="1" applyBorder="1" applyAlignment="1">
      <alignment horizontal="right" vertical="center"/>
    </xf>
    <xf numFmtId="178" fontId="28" fillId="5" borderId="11" xfId="0" applyNumberFormat="1" applyFont="1" applyFill="1" applyBorder="1" applyAlignment="1">
      <alignment horizontal="right" vertical="center"/>
    </xf>
    <xf numFmtId="178" fontId="23" fillId="5" borderId="11" xfId="0" applyNumberFormat="1" applyFont="1" applyFill="1" applyBorder="1" applyAlignment="1">
      <alignment horizontal="right" vertical="center"/>
    </xf>
    <xf numFmtId="178" fontId="99" fillId="5" borderId="11" xfId="0" applyNumberFormat="1" applyFont="1" applyFill="1" applyBorder="1" applyAlignment="1">
      <alignment horizontal="right" vertical="center"/>
    </xf>
    <xf numFmtId="0" fontId="23" fillId="5" borderId="19" xfId="0" applyFont="1" applyFill="1" applyBorder="1" applyAlignment="1">
      <alignment horizontal="right" vertical="center"/>
    </xf>
    <xf numFmtId="178" fontId="4" fillId="0" borderId="11" xfId="4" applyBorder="1" applyAlignment="1">
      <protection locked="0"/>
    </xf>
    <xf numFmtId="177" fontId="117" fillId="0" borderId="11" xfId="5" applyFont="1" applyBorder="1">
      <protection locked="0"/>
    </xf>
    <xf numFmtId="177" fontId="44" fillId="0" borderId="11" xfId="5" applyFont="1" applyBorder="1">
      <protection locked="0"/>
    </xf>
    <xf numFmtId="186" fontId="4" fillId="0" borderId="11" xfId="7" applyNumberFormat="1" applyBorder="1">
      <protection locked="0"/>
    </xf>
    <xf numFmtId="178" fontId="23" fillId="5" borderId="11" xfId="0" applyNumberFormat="1" applyFont="1" applyFill="1" applyBorder="1" applyProtection="1">
      <alignment vertical="center"/>
      <protection locked="0"/>
    </xf>
    <xf numFmtId="178" fontId="26" fillId="5" borderId="14" xfId="0" applyNumberFormat="1" applyFont="1" applyFill="1" applyBorder="1">
      <alignment vertical="center"/>
    </xf>
    <xf numFmtId="0" fontId="74" fillId="5" borderId="1" xfId="0" applyFont="1" applyFill="1" applyBorder="1" applyAlignment="1" applyProtection="1">
      <alignment horizontal="center" vertical="center"/>
      <protection locked="0"/>
    </xf>
    <xf numFmtId="0" fontId="22" fillId="5" borderId="1" xfId="0" applyFont="1" applyFill="1" applyBorder="1" applyProtection="1">
      <alignment vertical="center"/>
      <protection locked="0"/>
    </xf>
    <xf numFmtId="178" fontId="4" fillId="5" borderId="1" xfId="7" applyFill="1" applyBorder="1">
      <protection locked="0"/>
    </xf>
    <xf numFmtId="178" fontId="4" fillId="5" borderId="6" xfId="7" applyFill="1" applyBorder="1">
      <protection locked="0"/>
    </xf>
    <xf numFmtId="178" fontId="4" fillId="5" borderId="7" xfId="7" applyFill="1" applyBorder="1">
      <protection locked="0"/>
    </xf>
    <xf numFmtId="185" fontId="45" fillId="11" borderId="1" xfId="16" applyBorder="1">
      <protection locked="0"/>
    </xf>
    <xf numFmtId="0" fontId="36" fillId="5" borderId="1" xfId="0" applyFont="1" applyFill="1" applyBorder="1" applyProtection="1">
      <alignment vertical="center"/>
      <protection locked="0"/>
    </xf>
    <xf numFmtId="0" fontId="23" fillId="0" borderId="1" xfId="0" applyFont="1" applyBorder="1" applyProtection="1">
      <alignment vertical="center"/>
      <protection locked="0"/>
    </xf>
    <xf numFmtId="14" fontId="124" fillId="5" borderId="0" xfId="0" applyNumberFormat="1" applyFont="1" applyFill="1">
      <alignment vertical="center"/>
    </xf>
    <xf numFmtId="14" fontId="124" fillId="5" borderId="0" xfId="0" applyNumberFormat="1" applyFont="1" applyFill="1" applyAlignment="1">
      <alignment horizontal="center" vertical="center"/>
    </xf>
    <xf numFmtId="0" fontId="73" fillId="5" borderId="0" xfId="0" applyFont="1" applyFill="1">
      <alignment vertical="center"/>
    </xf>
    <xf numFmtId="10" fontId="73" fillId="5" borderId="0" xfId="0" applyNumberFormat="1" applyFont="1" applyFill="1">
      <alignment vertical="center"/>
    </xf>
    <xf numFmtId="10" fontId="41" fillId="5" borderId="0" xfId="0" applyNumberFormat="1" applyFont="1" applyFill="1">
      <alignment vertical="center"/>
    </xf>
    <xf numFmtId="0" fontId="73" fillId="0" borderId="0" xfId="0" applyFont="1">
      <alignment vertical="center"/>
    </xf>
    <xf numFmtId="0" fontId="38" fillId="6" borderId="4" xfId="0" applyFont="1" applyFill="1" applyBorder="1">
      <alignment vertical="center"/>
    </xf>
    <xf numFmtId="0" fontId="26" fillId="4" borderId="2" xfId="0" applyFont="1" applyFill="1" applyBorder="1" applyAlignment="1">
      <alignment horizontal="center" vertical="center"/>
    </xf>
    <xf numFmtId="0" fontId="26" fillId="4" borderId="5" xfId="0" applyFont="1" applyFill="1" applyBorder="1" applyAlignment="1">
      <alignment horizontal="center" vertical="center"/>
    </xf>
    <xf numFmtId="0" fontId="26" fillId="10" borderId="2" xfId="0" applyFont="1" applyFill="1" applyBorder="1" applyAlignment="1">
      <alignment horizontal="center" vertical="center"/>
    </xf>
    <xf numFmtId="0" fontId="26" fillId="10" borderId="5" xfId="0" applyFont="1" applyFill="1" applyBorder="1" applyAlignment="1">
      <alignment horizontal="center" vertical="center"/>
    </xf>
    <xf numFmtId="178" fontId="102" fillId="5" borderId="4" xfId="4" applyFont="1" applyFill="1" applyBorder="1" applyAlignment="1">
      <protection locked="0"/>
    </xf>
    <xf numFmtId="0" fontId="121" fillId="5" borderId="10" xfId="0" applyFont="1" applyFill="1" applyBorder="1">
      <alignment vertical="center"/>
    </xf>
    <xf numFmtId="178" fontId="29" fillId="5" borderId="10" xfId="4" applyFont="1" applyFill="1" applyBorder="1" applyAlignment="1">
      <protection locked="0"/>
    </xf>
    <xf numFmtId="0" fontId="92" fillId="5" borderId="10" xfId="0" applyFont="1" applyFill="1" applyBorder="1">
      <alignment vertical="center"/>
    </xf>
    <xf numFmtId="188" fontId="120" fillId="5" borderId="10" xfId="0" applyNumberFormat="1" applyFont="1" applyFill="1" applyBorder="1">
      <alignment vertical="center"/>
    </xf>
    <xf numFmtId="177" fontId="92" fillId="5" borderId="10" xfId="5" applyFont="1" applyFill="1" applyBorder="1">
      <protection locked="0"/>
    </xf>
    <xf numFmtId="0" fontId="65" fillId="0" borderId="10" xfId="0" applyFont="1" applyBorder="1">
      <alignment vertical="center"/>
    </xf>
    <xf numFmtId="0" fontId="1" fillId="0" borderId="10" xfId="0" applyFont="1" applyBorder="1">
      <alignment vertical="center"/>
    </xf>
    <xf numFmtId="0" fontId="65" fillId="0" borderId="6" xfId="0" applyFont="1" applyBorder="1">
      <alignment vertical="center"/>
    </xf>
    <xf numFmtId="0" fontId="65" fillId="0" borderId="4" xfId="0" applyFont="1" applyBorder="1">
      <alignment vertical="center"/>
    </xf>
    <xf numFmtId="0" fontId="26" fillId="4" borderId="4" xfId="0" applyFont="1" applyFill="1" applyBorder="1" applyAlignment="1">
      <alignment horizontal="center" vertical="center"/>
    </xf>
    <xf numFmtId="178" fontId="57" fillId="0" borderId="4" xfId="7" applyFont="1" applyBorder="1">
      <protection locked="0"/>
    </xf>
    <xf numFmtId="178" fontId="57" fillId="0" borderId="2" xfId="7" applyFont="1" applyBorder="1">
      <protection locked="0"/>
    </xf>
    <xf numFmtId="178" fontId="57" fillId="0" borderId="5" xfId="7" applyFont="1" applyBorder="1">
      <protection locked="0"/>
    </xf>
    <xf numFmtId="177" fontId="62" fillId="0" borderId="10" xfId="5" applyFont="1" applyBorder="1">
      <protection locked="0"/>
    </xf>
    <xf numFmtId="177" fontId="62" fillId="0" borderId="0" xfId="5" applyFont="1">
      <protection locked="0"/>
    </xf>
    <xf numFmtId="177" fontId="62" fillId="0" borderId="11" xfId="5" applyFont="1" applyBorder="1">
      <protection locked="0"/>
    </xf>
    <xf numFmtId="178" fontId="57" fillId="0" borderId="10" xfId="7" applyFont="1" applyBorder="1">
      <protection locked="0"/>
    </xf>
    <xf numFmtId="178" fontId="57" fillId="0" borderId="11" xfId="7" applyFont="1" applyBorder="1">
      <protection locked="0"/>
    </xf>
    <xf numFmtId="177" fontId="62" fillId="0" borderId="6" xfId="5" applyFont="1" applyBorder="1">
      <protection locked="0"/>
    </xf>
    <xf numFmtId="177" fontId="62" fillId="0" borderId="1" xfId="5" applyFont="1" applyBorder="1">
      <protection locked="0"/>
    </xf>
    <xf numFmtId="177" fontId="62" fillId="0" borderId="7" xfId="5" applyFont="1" applyBorder="1">
      <protection locked="0"/>
    </xf>
    <xf numFmtId="0" fontId="33" fillId="0" borderId="10" xfId="0" applyFont="1" applyBorder="1">
      <alignment vertical="center"/>
    </xf>
    <xf numFmtId="0" fontId="33" fillId="0" borderId="0" xfId="0" applyFont="1">
      <alignment vertical="center"/>
    </xf>
    <xf numFmtId="0" fontId="33" fillId="0" borderId="11" xfId="0" applyFont="1" applyBorder="1">
      <alignment vertical="center"/>
    </xf>
    <xf numFmtId="177" fontId="62" fillId="0" borderId="4" xfId="5" applyFont="1" applyBorder="1">
      <protection locked="0"/>
    </xf>
    <xf numFmtId="177" fontId="62" fillId="0" borderId="2" xfId="5" applyFont="1" applyBorder="1">
      <protection locked="0"/>
    </xf>
    <xf numFmtId="177" fontId="62" fillId="0" borderId="5" xfId="5" applyFont="1" applyBorder="1">
      <protection locked="0"/>
    </xf>
    <xf numFmtId="0" fontId="108" fillId="0" borderId="0" xfId="0" applyFont="1">
      <alignment vertical="center"/>
    </xf>
    <xf numFmtId="177" fontId="11" fillId="0" borderId="7" xfId="5" applyBorder="1">
      <protection locked="0"/>
    </xf>
    <xf numFmtId="177" fontId="11" fillId="0" borderId="2" xfId="5" applyBorder="1">
      <protection locked="0"/>
    </xf>
    <xf numFmtId="177" fontId="11" fillId="0" borderId="5" xfId="5" applyBorder="1">
      <protection locked="0"/>
    </xf>
    <xf numFmtId="178" fontId="102" fillId="5" borderId="15" xfId="4" applyFont="1" applyFill="1" applyBorder="1" applyAlignment="1">
      <protection locked="0"/>
    </xf>
    <xf numFmtId="0" fontId="121" fillId="5" borderId="14" xfId="0" applyFont="1" applyFill="1" applyBorder="1">
      <alignment vertical="center"/>
    </xf>
    <xf numFmtId="178" fontId="29" fillId="5" borderId="14" xfId="4" applyFont="1" applyFill="1" applyBorder="1" applyAlignment="1">
      <protection locked="0"/>
    </xf>
    <xf numFmtId="0" fontId="92" fillId="5" borderId="14" xfId="0" applyFont="1" applyFill="1" applyBorder="1">
      <alignment vertical="center"/>
    </xf>
    <xf numFmtId="188" fontId="120" fillId="5" borderId="14" xfId="0" applyNumberFormat="1" applyFont="1" applyFill="1" applyBorder="1">
      <alignment vertical="center"/>
    </xf>
    <xf numFmtId="177" fontId="92" fillId="5" borderId="14" xfId="5" applyFont="1" applyFill="1" applyBorder="1">
      <protection locked="0"/>
    </xf>
    <xf numFmtId="0" fontId="65" fillId="0" borderId="14" xfId="0" applyFont="1" applyBorder="1">
      <alignment vertical="center"/>
    </xf>
    <xf numFmtId="0" fontId="65" fillId="0" borderId="16" xfId="0" applyFont="1" applyBorder="1">
      <alignment vertical="center"/>
    </xf>
    <xf numFmtId="0" fontId="65" fillId="0" borderId="15" xfId="0" applyFont="1" applyBorder="1">
      <alignment vertical="center"/>
    </xf>
    <xf numFmtId="0" fontId="1" fillId="0" borderId="14" xfId="0" applyFont="1" applyBorder="1">
      <alignment vertical="center"/>
    </xf>
    <xf numFmtId="0" fontId="108" fillId="6" borderId="4" xfId="0" applyFont="1" applyFill="1" applyBorder="1" applyAlignment="1">
      <alignment horizontal="center" vertical="center"/>
    </xf>
    <xf numFmtId="188" fontId="25" fillId="5" borderId="2" xfId="0" applyNumberFormat="1" applyFont="1" applyFill="1" applyBorder="1">
      <alignment vertical="center"/>
    </xf>
    <xf numFmtId="49" fontId="25" fillId="5" borderId="2" xfId="0" applyNumberFormat="1" applyFont="1" applyFill="1" applyBorder="1">
      <alignment vertical="center"/>
    </xf>
    <xf numFmtId="0" fontId="65" fillId="4" borderId="15" xfId="0" applyFont="1" applyFill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194" fontId="0" fillId="0" borderId="0" xfId="0" applyNumberFormat="1">
      <alignment vertical="center"/>
    </xf>
    <xf numFmtId="0" fontId="65" fillId="0" borderId="4" xfId="0" applyFont="1" applyBorder="1" applyAlignment="1">
      <alignment horizontal="center" vertical="center"/>
    </xf>
    <xf numFmtId="0" fontId="65" fillId="0" borderId="5" xfId="0" applyFont="1" applyBorder="1" applyAlignment="1">
      <alignment horizontal="center" vertical="center"/>
    </xf>
    <xf numFmtId="0" fontId="65" fillId="0" borderId="2" xfId="0" applyFont="1" applyBorder="1" applyAlignment="1">
      <alignment horizontal="center" vertical="center"/>
    </xf>
    <xf numFmtId="0" fontId="65" fillId="0" borderId="15" xfId="0" applyFont="1" applyBorder="1" applyAlignment="1">
      <alignment horizontal="center" vertical="center"/>
    </xf>
    <xf numFmtId="192" fontId="60" fillId="0" borderId="6" xfId="0" applyNumberFormat="1" applyFont="1" applyBorder="1" applyAlignment="1">
      <alignment horizontal="center" vertical="center"/>
    </xf>
    <xf numFmtId="192" fontId="60" fillId="0" borderId="7" xfId="0" applyNumberFormat="1" applyFont="1" applyBorder="1" applyAlignment="1">
      <alignment horizontal="center" vertical="center"/>
    </xf>
    <xf numFmtId="179" fontId="71" fillId="0" borderId="6" xfId="7" applyNumberFormat="1" applyFont="1" applyBorder="1" applyAlignment="1">
      <alignment horizontal="center" vertical="center"/>
      <protection locked="0"/>
    </xf>
    <xf numFmtId="177" fontId="67" fillId="0" borderId="1" xfId="5" applyFont="1" applyBorder="1" applyAlignment="1">
      <alignment horizontal="center" vertical="center"/>
      <protection locked="0"/>
    </xf>
    <xf numFmtId="186" fontId="71" fillId="0" borderId="1" xfId="7" applyNumberFormat="1" applyFont="1" applyBorder="1" applyAlignment="1">
      <alignment horizontal="center" vertical="center"/>
      <protection locked="0"/>
    </xf>
    <xf numFmtId="177" fontId="67" fillId="0" borderId="7" xfId="5" applyFont="1" applyBorder="1" applyAlignment="1">
      <alignment horizontal="center" vertical="center"/>
      <protection locked="0"/>
    </xf>
    <xf numFmtId="178" fontId="71" fillId="0" borderId="16" xfId="7" applyFont="1" applyBorder="1" applyAlignment="1">
      <alignment horizontal="center"/>
      <protection locked="0"/>
    </xf>
    <xf numFmtId="177" fontId="67" fillId="0" borderId="1" xfId="5" applyFont="1" applyBorder="1" applyAlignment="1">
      <alignment horizontal="center"/>
      <protection locked="0"/>
    </xf>
    <xf numFmtId="179" fontId="71" fillId="0" borderId="1" xfId="7" applyNumberFormat="1" applyFont="1" applyBorder="1" applyAlignment="1">
      <alignment horizontal="center" vertical="center"/>
      <protection locked="0"/>
    </xf>
    <xf numFmtId="177" fontId="67" fillId="0" borderId="7" xfId="5" applyFont="1" applyBorder="1" applyAlignment="1">
      <alignment horizontal="center"/>
      <protection locked="0"/>
    </xf>
    <xf numFmtId="178" fontId="71" fillId="0" borderId="7" xfId="7" applyFont="1" applyBorder="1" applyAlignment="1">
      <alignment horizontal="center"/>
      <protection locked="0"/>
    </xf>
    <xf numFmtId="0" fontId="65" fillId="4" borderId="2" xfId="0" applyFont="1" applyFill="1" applyBorder="1">
      <alignment vertical="center"/>
    </xf>
    <xf numFmtId="0" fontId="65" fillId="4" borderId="5" xfId="0" applyFont="1" applyFill="1" applyBorder="1">
      <alignment vertical="center"/>
    </xf>
    <xf numFmtId="178" fontId="71" fillId="0" borderId="1" xfId="7" applyFont="1" applyBorder="1" applyAlignment="1">
      <alignment horizontal="center"/>
      <protection locked="0"/>
    </xf>
    <xf numFmtId="177" fontId="62" fillId="0" borderId="3" xfId="5" applyFont="1" applyBorder="1">
      <protection locked="0"/>
    </xf>
    <xf numFmtId="177" fontId="62" fillId="0" borderId="12" xfId="5" applyFont="1" applyBorder="1">
      <protection locked="0"/>
    </xf>
    <xf numFmtId="177" fontId="116" fillId="5" borderId="9" xfId="55" applyFont="1" applyBorder="1">
      <alignment horizontal="left"/>
      <protection locked="0"/>
    </xf>
    <xf numFmtId="177" fontId="62" fillId="0" borderId="13" xfId="5" applyFont="1" applyBorder="1">
      <protection locked="0"/>
    </xf>
    <xf numFmtId="177" fontId="11" fillId="0" borderId="3" xfId="5" applyBorder="1">
      <protection locked="0"/>
    </xf>
    <xf numFmtId="177" fontId="11" fillId="0" borderId="12" xfId="5" applyBorder="1">
      <protection locked="0"/>
    </xf>
    <xf numFmtId="177" fontId="67" fillId="0" borderId="6" xfId="5" applyFont="1" applyBorder="1" applyAlignment="1">
      <alignment horizontal="center"/>
      <protection locked="0"/>
    </xf>
    <xf numFmtId="0" fontId="107" fillId="0" borderId="0" xfId="0" applyFont="1" applyAlignment="1" applyProtection="1">
      <alignment horizontal="right"/>
      <protection locked="0"/>
    </xf>
    <xf numFmtId="0" fontId="65" fillId="4" borderId="4" xfId="0" applyFont="1" applyFill="1" applyBorder="1" applyAlignment="1">
      <alignment horizontal="center" vertical="center"/>
    </xf>
    <xf numFmtId="0" fontId="65" fillId="4" borderId="2" xfId="0" applyFont="1" applyFill="1" applyBorder="1" applyAlignment="1">
      <alignment horizontal="center" vertical="center"/>
    </xf>
    <xf numFmtId="0" fontId="65" fillId="4" borderId="5" xfId="0" applyFont="1" applyFill="1" applyBorder="1" applyAlignment="1">
      <alignment horizontal="center" vertical="center"/>
    </xf>
  </cellXfs>
  <cellStyles count="67">
    <cellStyle name="20% - 着色 1" xfId="31" builtinId="30" hidden="1"/>
    <cellStyle name="20% - 着色 2" xfId="35" builtinId="34" hidden="1"/>
    <cellStyle name="20% - 着色 3" xfId="39" builtinId="38" hidden="1"/>
    <cellStyle name="20% - 着色 4" xfId="43" builtinId="42" hidden="1"/>
    <cellStyle name="20% - 着色 5" xfId="47" builtinId="46" hidden="1"/>
    <cellStyle name="20% - 着色 6" xfId="51" builtinId="50" hidden="1"/>
    <cellStyle name="40% - 着色 1" xfId="32" builtinId="31" hidden="1"/>
    <cellStyle name="40% - 着色 2" xfId="36" builtinId="35" hidden="1"/>
    <cellStyle name="40% - 着色 3" xfId="40" builtinId="39" hidden="1"/>
    <cellStyle name="40% - 着色 4" xfId="44" builtinId="43" hidden="1"/>
    <cellStyle name="40% - 着色 5" xfId="48" builtinId="47" hidden="1"/>
    <cellStyle name="40% - 着色 6" xfId="52" builtinId="51" hidden="1"/>
    <cellStyle name="60% - 着色 1" xfId="33" builtinId="32" hidden="1"/>
    <cellStyle name="60% - 着色 2" xfId="37" builtinId="36" hidden="1"/>
    <cellStyle name="60% - 着色 3" xfId="41" builtinId="40" hidden="1"/>
    <cellStyle name="60% - 着色 4" xfId="45" builtinId="44" hidden="1"/>
    <cellStyle name="60% - 着色 5" xfId="49" builtinId="48" hidden="1"/>
    <cellStyle name="60% - 着色 6" xfId="53" builtinId="52" hidden="1"/>
    <cellStyle name="yoy" xfId="63" xr:uid="{4E2514E8-4291-40F1-A882-BECE6A909D9B}"/>
    <cellStyle name="yoy-科目" xfId="66" xr:uid="{15104033-D67B-44A4-A64B-BF13CA2B8029}"/>
    <cellStyle name="yoy-列名" xfId="54" xr:uid="{65608A7F-6D4C-44FC-97B5-D53E9BC2A83F}"/>
    <cellStyle name="百分比" xfId="2" builtinId="5" hidden="1"/>
    <cellStyle name="百分比" xfId="5" xr:uid="{7288AE86-3E15-4410-BA99-6313DF91E123}"/>
    <cellStyle name="百分比 4" xfId="62" xr:uid="{0EE51845-C6E6-42A5-9A99-0D9E1FB20D4B}"/>
    <cellStyle name="标题" xfId="20" builtinId="15" hidden="1"/>
    <cellStyle name="标题 1" xfId="21" builtinId="16" hidden="1"/>
    <cellStyle name="标题 2" xfId="22" builtinId="17" hidden="1"/>
    <cellStyle name="标题 3" xfId="23" builtinId="18" hidden="1"/>
    <cellStyle name="标题 4" xfId="24" builtinId="19" hidden="1"/>
    <cellStyle name="差" xfId="10" builtinId="27" hidden="1"/>
    <cellStyle name="常规" xfId="0" builtinId="0" customBuiltin="1"/>
    <cellStyle name="常规 2 3" xfId="61" xr:uid="{C15F450F-5163-4F97-95F6-3E4A0F85B157}"/>
    <cellStyle name="常规 3" xfId="64" xr:uid="{AF0A8485-AF67-4502-AEA8-E64B0584D353}"/>
    <cellStyle name="大科目" xfId="4" xr:uid="{FB226538-B3B5-4478-AC12-B0E525FB7A37}"/>
    <cellStyle name="淡色数字" xfId="58" xr:uid="{A185D36C-8571-4C86-83FC-E81C2C8B6796}"/>
    <cellStyle name="分部表头" xfId="55" xr:uid="{7AF1EFA8-9D5B-49DB-BA07-054F54797317}"/>
    <cellStyle name="好" xfId="9" builtinId="26" hidden="1"/>
    <cellStyle name="汇总" xfId="29" builtinId="25" hidden="1"/>
    <cellStyle name="货币" xfId="18" builtinId="4" hidden="1"/>
    <cellStyle name="货币[0]" xfId="19" builtinId="7" hidden="1"/>
    <cellStyle name="计算" xfId="12" builtinId="22" hidden="1"/>
    <cellStyle name="季度-年度勾稽项" xfId="56" xr:uid="{3BA85C8E-7A48-4816-B27A-9D8A59162593}"/>
    <cellStyle name="检查单元格" xfId="13" builtinId="23" hidden="1"/>
    <cellStyle name="解释性文本" xfId="15" builtinId="53" hidden="1"/>
    <cellStyle name="警告文本" xfId="14" builtinId="11" hidden="1"/>
    <cellStyle name="链接单元格" xfId="27" builtinId="24" hidden="1"/>
    <cellStyle name="模型百分比" xfId="65" xr:uid="{5BC721D4-F358-484B-8A69-407516F87246}"/>
    <cellStyle name="千位分隔" xfId="1" builtinId="3" hidden="1"/>
    <cellStyle name="千位分隔" xfId="60" builtinId="3" hidden="1"/>
    <cellStyle name="千位分隔[0]" xfId="17" builtinId="6" hidden="1"/>
    <cellStyle name="适中" xfId="11" builtinId="28" hidden="1"/>
    <cellStyle name="输出" xfId="26" builtinId="21" hidden="1"/>
    <cellStyle name="输入" xfId="25" builtinId="20" hidden="1"/>
    <cellStyle name="数字" xfId="7" xr:uid="{6EB224BD-1DF3-41D4-9C84-E6E55739E83C}"/>
    <cellStyle name="抬头" xfId="3" xr:uid="{61F61ED8-4D5E-4626-BA4D-C3EDC7B56968}"/>
    <cellStyle name="小科目" xfId="6" xr:uid="{1DC78AA5-83B7-43B4-BB4A-B19D2EC08C86}"/>
    <cellStyle name="预测-百分比" xfId="8" xr:uid="{70731C18-C2B0-40E9-A5BD-07619FCC0964}"/>
    <cellStyle name="预测日期" xfId="59" xr:uid="{01D5687D-2D7D-461C-BDB1-AC6E62DA3485}"/>
    <cellStyle name="预测-数字" xfId="16" xr:uid="{E0CFF5A3-9415-4F98-8FF1-361640D72876}"/>
    <cellStyle name="着色 1" xfId="30" builtinId="29" hidden="1"/>
    <cellStyle name="着色 2" xfId="34" builtinId="33" hidden="1"/>
    <cellStyle name="着色 3" xfId="38" builtinId="37" hidden="1"/>
    <cellStyle name="着色 4" xfId="42" builtinId="41" hidden="1"/>
    <cellStyle name="着色 5" xfId="46" builtinId="45" hidden="1"/>
    <cellStyle name="着色 6" xfId="50" builtinId="49" hidden="1"/>
    <cellStyle name="重点科目名" xfId="57" xr:uid="{313937D0-8F58-41DC-A862-6832CDCBC5AB}"/>
    <cellStyle name="注释" xfId="28" builtinId="10" hidde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externalLink" Target="externalLinks/externalLink22.xml"/><Relationship Id="rId21" Type="http://schemas.openxmlformats.org/officeDocument/2006/relationships/externalLink" Target="externalLinks/externalLink17.xml"/><Relationship Id="rId42" Type="http://schemas.openxmlformats.org/officeDocument/2006/relationships/externalLink" Target="externalLinks/externalLink38.xml"/><Relationship Id="rId47" Type="http://schemas.openxmlformats.org/officeDocument/2006/relationships/externalLink" Target="externalLinks/externalLink43.xml"/><Relationship Id="rId63" Type="http://schemas.openxmlformats.org/officeDocument/2006/relationships/externalLink" Target="externalLinks/externalLink59.xml"/><Relationship Id="rId68" Type="http://schemas.openxmlformats.org/officeDocument/2006/relationships/externalLink" Target="externalLinks/externalLink64.xml"/><Relationship Id="rId16" Type="http://schemas.openxmlformats.org/officeDocument/2006/relationships/externalLink" Target="externalLinks/externalLink12.xml"/><Relationship Id="rId11" Type="http://schemas.openxmlformats.org/officeDocument/2006/relationships/externalLink" Target="externalLinks/externalLink7.xml"/><Relationship Id="rId24" Type="http://schemas.openxmlformats.org/officeDocument/2006/relationships/externalLink" Target="externalLinks/externalLink20.xml"/><Relationship Id="rId32" Type="http://schemas.openxmlformats.org/officeDocument/2006/relationships/externalLink" Target="externalLinks/externalLink28.xml"/><Relationship Id="rId37" Type="http://schemas.openxmlformats.org/officeDocument/2006/relationships/externalLink" Target="externalLinks/externalLink33.xml"/><Relationship Id="rId40" Type="http://schemas.openxmlformats.org/officeDocument/2006/relationships/externalLink" Target="externalLinks/externalLink36.xml"/><Relationship Id="rId45" Type="http://schemas.openxmlformats.org/officeDocument/2006/relationships/externalLink" Target="externalLinks/externalLink41.xml"/><Relationship Id="rId53" Type="http://schemas.openxmlformats.org/officeDocument/2006/relationships/externalLink" Target="externalLinks/externalLink49.xml"/><Relationship Id="rId58" Type="http://schemas.openxmlformats.org/officeDocument/2006/relationships/externalLink" Target="externalLinks/externalLink54.xml"/><Relationship Id="rId66" Type="http://schemas.openxmlformats.org/officeDocument/2006/relationships/externalLink" Target="externalLinks/externalLink62.xml"/><Relationship Id="rId74" Type="http://schemas.openxmlformats.org/officeDocument/2006/relationships/externalLink" Target="externalLinks/externalLink70.xml"/><Relationship Id="rId5" Type="http://schemas.openxmlformats.org/officeDocument/2006/relationships/externalLink" Target="externalLinks/externalLink1.xml"/><Relationship Id="rId61" Type="http://schemas.openxmlformats.org/officeDocument/2006/relationships/externalLink" Target="externalLinks/externalLink57.xml"/><Relationship Id="rId19" Type="http://schemas.openxmlformats.org/officeDocument/2006/relationships/externalLink" Target="externalLinks/externalLink15.xml"/><Relationship Id="rId14" Type="http://schemas.openxmlformats.org/officeDocument/2006/relationships/externalLink" Target="externalLinks/externalLink10.xml"/><Relationship Id="rId22" Type="http://schemas.openxmlformats.org/officeDocument/2006/relationships/externalLink" Target="externalLinks/externalLink18.xml"/><Relationship Id="rId27" Type="http://schemas.openxmlformats.org/officeDocument/2006/relationships/externalLink" Target="externalLinks/externalLink23.xml"/><Relationship Id="rId30" Type="http://schemas.openxmlformats.org/officeDocument/2006/relationships/externalLink" Target="externalLinks/externalLink26.xml"/><Relationship Id="rId35" Type="http://schemas.openxmlformats.org/officeDocument/2006/relationships/externalLink" Target="externalLinks/externalLink31.xml"/><Relationship Id="rId43" Type="http://schemas.openxmlformats.org/officeDocument/2006/relationships/externalLink" Target="externalLinks/externalLink39.xml"/><Relationship Id="rId48" Type="http://schemas.openxmlformats.org/officeDocument/2006/relationships/externalLink" Target="externalLinks/externalLink44.xml"/><Relationship Id="rId56" Type="http://schemas.openxmlformats.org/officeDocument/2006/relationships/externalLink" Target="externalLinks/externalLink52.xml"/><Relationship Id="rId64" Type="http://schemas.openxmlformats.org/officeDocument/2006/relationships/externalLink" Target="externalLinks/externalLink60.xml"/><Relationship Id="rId69" Type="http://schemas.openxmlformats.org/officeDocument/2006/relationships/externalLink" Target="externalLinks/externalLink65.xml"/><Relationship Id="rId77" Type="http://schemas.openxmlformats.org/officeDocument/2006/relationships/sharedStrings" Target="sharedStrings.xml"/><Relationship Id="rId8" Type="http://schemas.openxmlformats.org/officeDocument/2006/relationships/externalLink" Target="externalLinks/externalLink4.xml"/><Relationship Id="rId51" Type="http://schemas.openxmlformats.org/officeDocument/2006/relationships/externalLink" Target="externalLinks/externalLink47.xml"/><Relationship Id="rId72" Type="http://schemas.openxmlformats.org/officeDocument/2006/relationships/externalLink" Target="externalLinks/externalLink68.xml"/><Relationship Id="rId3" Type="http://schemas.openxmlformats.org/officeDocument/2006/relationships/worksheet" Target="worksheets/sheet3.xml"/><Relationship Id="rId12" Type="http://schemas.openxmlformats.org/officeDocument/2006/relationships/externalLink" Target="externalLinks/externalLink8.xml"/><Relationship Id="rId17" Type="http://schemas.openxmlformats.org/officeDocument/2006/relationships/externalLink" Target="externalLinks/externalLink13.xml"/><Relationship Id="rId25" Type="http://schemas.openxmlformats.org/officeDocument/2006/relationships/externalLink" Target="externalLinks/externalLink21.xml"/><Relationship Id="rId33" Type="http://schemas.openxmlformats.org/officeDocument/2006/relationships/externalLink" Target="externalLinks/externalLink29.xml"/><Relationship Id="rId38" Type="http://schemas.openxmlformats.org/officeDocument/2006/relationships/externalLink" Target="externalLinks/externalLink34.xml"/><Relationship Id="rId46" Type="http://schemas.openxmlformats.org/officeDocument/2006/relationships/externalLink" Target="externalLinks/externalLink42.xml"/><Relationship Id="rId59" Type="http://schemas.openxmlformats.org/officeDocument/2006/relationships/externalLink" Target="externalLinks/externalLink55.xml"/><Relationship Id="rId67" Type="http://schemas.openxmlformats.org/officeDocument/2006/relationships/externalLink" Target="externalLinks/externalLink63.xml"/><Relationship Id="rId20" Type="http://schemas.openxmlformats.org/officeDocument/2006/relationships/externalLink" Target="externalLinks/externalLink16.xml"/><Relationship Id="rId41" Type="http://schemas.openxmlformats.org/officeDocument/2006/relationships/externalLink" Target="externalLinks/externalLink37.xml"/><Relationship Id="rId54" Type="http://schemas.openxmlformats.org/officeDocument/2006/relationships/externalLink" Target="externalLinks/externalLink50.xml"/><Relationship Id="rId62" Type="http://schemas.openxmlformats.org/officeDocument/2006/relationships/externalLink" Target="externalLinks/externalLink58.xml"/><Relationship Id="rId70" Type="http://schemas.openxmlformats.org/officeDocument/2006/relationships/externalLink" Target="externalLinks/externalLink66.xml"/><Relationship Id="rId75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5" Type="http://schemas.openxmlformats.org/officeDocument/2006/relationships/externalLink" Target="externalLinks/externalLink11.xml"/><Relationship Id="rId23" Type="http://schemas.openxmlformats.org/officeDocument/2006/relationships/externalLink" Target="externalLinks/externalLink19.xml"/><Relationship Id="rId28" Type="http://schemas.openxmlformats.org/officeDocument/2006/relationships/externalLink" Target="externalLinks/externalLink24.xml"/><Relationship Id="rId36" Type="http://schemas.openxmlformats.org/officeDocument/2006/relationships/externalLink" Target="externalLinks/externalLink32.xml"/><Relationship Id="rId49" Type="http://schemas.openxmlformats.org/officeDocument/2006/relationships/externalLink" Target="externalLinks/externalLink45.xml"/><Relationship Id="rId57" Type="http://schemas.openxmlformats.org/officeDocument/2006/relationships/externalLink" Target="externalLinks/externalLink53.xml"/><Relationship Id="rId10" Type="http://schemas.openxmlformats.org/officeDocument/2006/relationships/externalLink" Target="externalLinks/externalLink6.xml"/><Relationship Id="rId31" Type="http://schemas.openxmlformats.org/officeDocument/2006/relationships/externalLink" Target="externalLinks/externalLink27.xml"/><Relationship Id="rId44" Type="http://schemas.openxmlformats.org/officeDocument/2006/relationships/externalLink" Target="externalLinks/externalLink40.xml"/><Relationship Id="rId52" Type="http://schemas.openxmlformats.org/officeDocument/2006/relationships/externalLink" Target="externalLinks/externalLink48.xml"/><Relationship Id="rId60" Type="http://schemas.openxmlformats.org/officeDocument/2006/relationships/externalLink" Target="externalLinks/externalLink56.xml"/><Relationship Id="rId65" Type="http://schemas.openxmlformats.org/officeDocument/2006/relationships/externalLink" Target="externalLinks/externalLink61.xml"/><Relationship Id="rId73" Type="http://schemas.openxmlformats.org/officeDocument/2006/relationships/externalLink" Target="externalLinks/externalLink69.xml"/><Relationship Id="rId78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5.xml"/><Relationship Id="rId13" Type="http://schemas.openxmlformats.org/officeDocument/2006/relationships/externalLink" Target="externalLinks/externalLink9.xml"/><Relationship Id="rId18" Type="http://schemas.openxmlformats.org/officeDocument/2006/relationships/externalLink" Target="externalLinks/externalLink14.xml"/><Relationship Id="rId39" Type="http://schemas.openxmlformats.org/officeDocument/2006/relationships/externalLink" Target="externalLinks/externalLink35.xml"/><Relationship Id="rId34" Type="http://schemas.openxmlformats.org/officeDocument/2006/relationships/externalLink" Target="externalLinks/externalLink30.xml"/><Relationship Id="rId50" Type="http://schemas.openxmlformats.org/officeDocument/2006/relationships/externalLink" Target="externalLinks/externalLink46.xml"/><Relationship Id="rId55" Type="http://schemas.openxmlformats.org/officeDocument/2006/relationships/externalLink" Target="externalLinks/externalLink51.xml"/><Relationship Id="rId76" Type="http://schemas.openxmlformats.org/officeDocument/2006/relationships/styles" Target="styles.xml"/><Relationship Id="rId7" Type="http://schemas.openxmlformats.org/officeDocument/2006/relationships/externalLink" Target="externalLinks/externalLink3.xml"/><Relationship Id="rId71" Type="http://schemas.openxmlformats.org/officeDocument/2006/relationships/externalLink" Target="externalLinks/externalLink67.xml"/><Relationship Id="rId2" Type="http://schemas.openxmlformats.org/officeDocument/2006/relationships/worksheet" Target="worksheets/sheet2.xml"/><Relationship Id="rId29" Type="http://schemas.openxmlformats.org/officeDocument/2006/relationships/externalLink" Target="externalLinks/externalLink25.xml"/></Relationships>
</file>

<file path=xl/ctrlProps/ctrlProp1.xml><?xml version="1.0" encoding="utf-8"?>
<formControlPr xmlns="http://schemas.microsoft.com/office/spreadsheetml/2009/9/main" objectType="Drop" dropStyle="combo" dx="39" fmlaLink="#REF!" fmlaRange="#REF!" noThreeD="1" sel="0" val="0"/>
</file>

<file path=xl/ctrlProps/ctrlProp2.xml><?xml version="1.0" encoding="utf-8"?>
<formControlPr xmlns="http://schemas.microsoft.com/office/spreadsheetml/2009/9/main" objectType="Drop" dropStyle="combo" dx="39" fmlaLink="#REF!" fmlaRange="#REF!" noThreeD="1" sel="0" val="0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75</xdr:col>
          <xdr:colOff>201930</xdr:colOff>
          <xdr:row>1</xdr:row>
          <xdr:rowOff>133350</xdr:rowOff>
        </xdr:from>
        <xdr:to>
          <xdr:col>77</xdr:col>
          <xdr:colOff>381000</xdr:colOff>
          <xdr:row>4</xdr:row>
          <xdr:rowOff>125730</xdr:rowOff>
        </xdr:to>
        <xdr:sp macro="" textlink="">
          <xdr:nvSpPr>
            <xdr:cNvPr id="1035" name="Drop Dow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33</xdr:row>
          <xdr:rowOff>68580</xdr:rowOff>
        </xdr:from>
        <xdr:to>
          <xdr:col>1</xdr:col>
          <xdr:colOff>163830</xdr:colOff>
          <xdr:row>36</xdr:row>
          <xdr:rowOff>49530</xdr:rowOff>
        </xdr:to>
        <xdr:sp macro="" textlink="">
          <xdr:nvSpPr>
            <xdr:cNvPr id="31746" name="Drop Down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1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468630</xdr:colOff>
          <xdr:row>11</xdr:row>
          <xdr:rowOff>0</xdr:rowOff>
        </xdr:from>
        <xdr:to>
          <xdr:col>14</xdr:col>
          <xdr:colOff>640080</xdr:colOff>
          <xdr:row>12</xdr:row>
          <xdr:rowOff>11430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2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77724" rIns="82296" bIns="77724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FF0000"/>
                  </a:solidFill>
                  <a:latin typeface="微软雅黑"/>
                  <a:ea typeface="微软雅黑"/>
                </a:rPr>
                <a:t>输出结论页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506730</xdr:colOff>
          <xdr:row>1</xdr:row>
          <xdr:rowOff>163830</xdr:rowOff>
        </xdr:from>
        <xdr:to>
          <xdr:col>15</xdr:col>
          <xdr:colOff>11430</xdr:colOff>
          <xdr:row>6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2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77724" rIns="82296" bIns="77724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FF0000"/>
                  </a:solidFill>
                  <a:latin typeface="微软雅黑"/>
                  <a:ea typeface="微软雅黑"/>
                </a:rPr>
                <a:t>生成阅览版的结论页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IB-SHG-01\VOL1\MATERIAL\STEEL\MAGANG\MAGANG4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Publications\Synthese\An01\SYNTH01_A3_envoi%20DT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&#19978;&#24066;&#20844;&#21496;\000402&#37329;&#34701;&#34903;\EVA310\Andrew_property\cheungkong\CKnewmodel0927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ocuments%20and%20Settings\lanq\Application%20Data\Microsoft\Excel\&#23041;&#23386;&amp;&#38134;&#36718;\&#23041;&#23386;&#39640;&#31185;&#25253;&#21578;\&#23041;&#23386;&#39640;&#31185;-Model-20110718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Steel\BaoSteel\Models\BaoGang-Research.xls" TargetMode="External"/></Relationships>
</file>

<file path=xl/externalLinks/_rels/externalLink6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z1panos/Documents/&#27993;&#21830;&#36731;&#24037;/&#21280;&#24515;&#23478;&#23621;/Users/z1panos/Documents/&#27993;&#21830;&#36731;&#24037;/&#21280;&#24515;&#23478;&#23621;/C:/Users/Administrator/Desktop/&#23578;&#21697;&#23429;&#37197;&#30740;&#25253;&#20462;&#25913;/&#23578;&#21697;&#23429;&#37197;&#30408;&#21033;&#39044;&#27979;&#27169;&#22411;&#65288;4.7&#65289;.xls" TargetMode="External"/><Relationship Id="rId1" Type="http://schemas.openxmlformats.org/officeDocument/2006/relationships/externalLinkPath" Target="/Users/z1panos/Documents/&#27993;&#21830;&#36731;&#24037;/&#21280;&#24515;&#23478;&#23621;/Users/z1panos/Documents/&#27993;&#21830;&#36731;&#24037;/&#21280;&#24515;&#23478;&#23621;/C:/Users/Administrator/Desktop/&#23578;&#21697;&#23429;&#37197;&#30740;&#25253;&#20462;&#25913;/&#23578;&#21697;&#23429;&#37197;&#30408;&#21033;&#39044;&#27979;&#27169;&#22411;&#65288;4.7&#65289;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DATABASE\TOURISM\DAZHONG\DAZHONG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&#27169;&#22411;\&#27169;&#22411;\&#20013;&#22269;&#24314;&#31569;&#27169;&#22411;.xls" TargetMode="External"/></Relationships>
</file>

<file path=xl/externalLinks/_rels/externalLink9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z1panos/Documents/&#27993;&#21830;&#36731;&#24037;/&#21280;&#24515;&#23478;&#23621;/Users/z1panos/Documents/&#27993;&#21830;&#36731;&#24037;/&#21280;&#24515;&#23478;&#23621;/C:/Documents%20and%20Settings/yuanyi.SWSRESEARCH/Local%20Settings/Temporary%20Internet%20Files/OLKA/2009&#24180;&#31574;&#30053;/2009&#24180;&#31574;&#30053;/&#26684;&#24335;-&#31574;&#30053;&#21608;&#25253;&#65288;&#25140;&#21321;&#21321;&#65289;20081103.xls" TargetMode="External"/><Relationship Id="rId1" Type="http://schemas.openxmlformats.org/officeDocument/2006/relationships/externalLinkPath" Target="/Users/z1panos/Documents/&#27993;&#21830;&#36731;&#24037;/&#21280;&#24515;&#23478;&#23621;/Users/z1panos/Documents/&#27993;&#21830;&#36731;&#24037;/&#21280;&#24515;&#23478;&#23621;/C:/Documents%20and%20Settings/yuanyi.SWSRESEARCH/Local%20Settings/Temporary%20Internet%20Files/OLKA/2009&#24180;&#31574;&#30053;/2009&#24180;&#31574;&#30053;/&#26684;&#24335;-&#31574;&#30053;&#21608;&#25253;&#65288;&#25140;&#21321;&#21321;&#65289;20081103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SPARC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Publications\STI\An00\St21_99.xls" TargetMode="External"/></Relationships>
</file>

<file path=xl/externalLinks/_rels/externalLink12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z1panos/Documents/&#27993;&#21830;&#36731;&#24037;/&#21280;&#24515;&#23478;&#23621;/Users/z1panos/Documents/&#27993;&#21830;&#36731;&#24037;/&#21280;&#24515;&#23478;&#23621;/C:/Mac/Home/Users/Grace%20Liu/Desktop/&#24037;&#20316;&#20869;&#23481;/&#20013;&#25253;&#24213;&#31295;/&#19996;&#21556;&#20272;&#20540;&#27169;&#22411;%20&#36125;&#26684;&#29256;20180509.xlsm" TargetMode="External"/><Relationship Id="rId1" Type="http://schemas.openxmlformats.org/officeDocument/2006/relationships/externalLinkPath" Target="/Users/z1panos/Documents/&#27993;&#21830;&#36731;&#24037;/&#21280;&#24515;&#23478;&#23621;/Users/z1panos/Documents/&#27993;&#21830;&#36731;&#24037;/&#21280;&#24515;&#23478;&#23621;/C:/Mac/Home/Users/Grace%20Liu/Desktop/&#24037;&#20316;&#20869;&#23481;/&#20013;&#25253;&#24213;&#31295;/&#19996;&#21556;&#20272;&#20540;&#27169;&#22411;%20&#36125;&#26684;&#29256;20180509.xlsm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ttp:\mail.sina.com.cn\cgi-bin\attachment.cgi\luowei_73\application\vnd.ms-excel\1051677789.16794.dell1550.sina.com.cn:2,S.a01.xls\&#32768;&#30382;B&#32929;%20price%20chart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microsoft.com/office/2006/relationships/xlExternalLinkPath/xlPathMissing" Target="Jihe%20WestCashEarning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IB-SHG-01\VOL1\PROPERTY\SZCOMP\SHUM-YIP\ROB.XLS" TargetMode="External"/></Relationships>
</file>

<file path=xl/externalLinks/_rels/externalLink16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z1panos/Documents/&#27993;&#21830;&#36731;&#24037;/&#21280;&#24515;&#23478;&#23621;/Users/z1panos/Documents/&#27993;&#21830;&#36731;&#24037;/&#21280;&#24515;&#23478;&#23621;/C:/&#26085;&#24120;&#24037;&#20316;/&#24050;&#32463;&#25346;&#30340;&#25253;&#21578;/&#26410;&#21457;&#30340;&#25253;&#21578;/&#26085;&#24120;&#24037;&#20316;/&#24050;&#32463;&#25346;&#30340;&#25253;&#21578;/&#21253;&#35013;&#21360;&#21047;/&#27704;&#26032;&#32929;&#20221;_002014_2011&#24180;&#20013;&#25253;&#28857;&#35780;&#25253;&#21578;_2011-07-26/DOCUME~1/HANWEI~1/LOCALS~1/Temp/600966%20SYWG&#39044;&#27979;&#20272;&#20540;&#27169;&#22411;1.1&#29256;&#26412;0805081.xls" TargetMode="External"/><Relationship Id="rId1" Type="http://schemas.openxmlformats.org/officeDocument/2006/relationships/externalLinkPath" Target="/Users/z1panos/Documents/&#27993;&#21830;&#36731;&#24037;/&#21280;&#24515;&#23478;&#23621;/Users/z1panos/Documents/&#27993;&#21830;&#36731;&#24037;/&#21280;&#24515;&#23478;&#23621;/C:/&#26085;&#24120;&#24037;&#20316;/&#24050;&#32463;&#25346;&#30340;&#25253;&#21578;/&#26410;&#21457;&#30340;&#25253;&#21578;/&#26085;&#24120;&#24037;&#20316;/&#24050;&#32463;&#25346;&#30340;&#25253;&#21578;/&#21253;&#35013;&#21360;&#21047;/&#27704;&#26032;&#32929;&#20221;_002014_2011&#24180;&#20013;&#25253;&#28857;&#35780;&#25253;&#21578;_2011-07-26/DOCUME~1/HANWEI~1/LOCALS~1/Temp/600966%20SYWG&#39044;&#27979;&#20272;&#20540;&#27169;&#22411;1.1&#29256;&#26412;0805081.xls" TargetMode="External"/></Relationships>
</file>

<file path=xl/externalLinks/_rels/externalLink17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z1panos/Documents/&#27993;&#21830;&#36731;&#24037;/&#21280;&#24515;&#23478;&#23621;/Users/z1panos/Documents/&#27993;&#21830;&#36731;&#24037;/&#21280;&#24515;&#23478;&#23621;/C:/&#26085;&#24120;&#24037;&#20316;/&#24050;&#32463;&#25346;&#30340;&#25253;&#21578;/&#26410;&#21457;&#30340;&#25253;&#21578;/&#21452;&#26143;&#26032;&#26448;&#30003;&#19975;&#36130;&#21153;&#27169;&#22411;2.1&#29256;.xls" TargetMode="External"/><Relationship Id="rId1" Type="http://schemas.openxmlformats.org/officeDocument/2006/relationships/externalLinkPath" Target="/Users/z1panos/Documents/&#27993;&#21830;&#36731;&#24037;/&#21280;&#24515;&#23478;&#23621;/Users/z1panos/Documents/&#27993;&#21830;&#36731;&#24037;/&#21280;&#24515;&#23478;&#23621;/C:/&#26085;&#24120;&#24037;&#20316;/&#24050;&#32463;&#25346;&#30340;&#25253;&#21578;/&#26410;&#21457;&#30340;&#25253;&#21578;/&#21452;&#26143;&#26032;&#26448;&#30003;&#19975;&#36130;&#21153;&#27169;&#22411;2.1&#29256;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ACE\Editing\Excel%20-%20nonFin%20Verifier\Av2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&#19978;&#24066;&#20844;&#21496;\000402&#37329;&#34701;&#34903;\&#37329;&#34701;&#34903;000402&#20272;&#20540;&#27169;&#22411;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ocuments%20and%20Settings\lanq\Application%20Data\Microsoft\Excel\&#32929;&#20215;&#39537;&#21160;&#22240;&#32032;&#21644;&#21382;&#21490;&#20272;&#20540;-&#23431;&#36890;&#23458;&#36710;.xlsx" TargetMode="External"/></Relationships>
</file>

<file path=xl/externalLinks/_rels/externalLink21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z1panos/Documents/&#27993;&#21830;&#36731;&#24037;/&#21280;&#24515;&#23478;&#23621;/Users/z1panos/Documents/&#27993;&#21830;&#36731;&#24037;/&#21280;&#24515;&#23478;&#23621;/D:/share/&#27993;&#21830;&#36731;&#24037;/&#26354;&#32654;&#23478;&#23621;/&#27993;&#21830;&#27169;&#22411;-&#26354;&#32654;220427.xlsm" TargetMode="External"/><Relationship Id="rId1" Type="http://schemas.openxmlformats.org/officeDocument/2006/relationships/externalLinkPath" Target="/Users/z1panos/Documents/&#27993;&#21830;&#36731;&#24037;/&#21280;&#24515;&#23478;&#23621;/Users/z1panos/Documents/&#27993;&#21830;&#36731;&#24037;/&#21280;&#24515;&#23478;&#23621;/D:/share/&#27993;&#21830;&#36731;&#24037;/&#26354;&#32654;&#23478;&#23621;/&#27993;&#21830;&#27169;&#22411;-&#26354;&#32654;220427.xlsm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wuhui\WUHUI\WHModels\jeff\tsingtao1.xls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OCUME~1\wanglei\LOCALS~1\Temp\Huawei%20Model%201121.xls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PROPERTY\HKDEV.XLS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2005&#24180;&#22320;&#20135;\Marketing%20material.xls" TargetMode="External"/></Relationships>
</file>

<file path=xl/externalLinks/_rels/externalLink26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z1panos/Documents/&#27993;&#21830;&#36731;&#24037;/&#21280;&#24515;&#23478;&#23621;/Users/z1panos/Documents/&#27993;&#21830;&#36731;&#24037;/&#21280;&#24515;&#23478;&#23621;/D:/&#23433;&#35013;&#25991;&#20214;&#22841;/DataBrowse/XLA/pe-band.xls" TargetMode="External"/><Relationship Id="rId1" Type="http://schemas.openxmlformats.org/officeDocument/2006/relationships/externalLinkPath" Target="/Users/z1panos/Documents/&#27993;&#21830;&#36731;&#24037;/&#21280;&#24515;&#23478;&#23621;/Users/z1panos/Documents/&#27993;&#21830;&#36731;&#24037;/&#21280;&#24515;&#23478;&#23621;/D:/&#23433;&#35013;&#25991;&#20214;&#22841;/DataBrowse/XLA/pe-band.xls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microsoft.com/office/2006/relationships/xlExternalLinkPath/xlPathMissing" Target="SPARC1" TargetMode="External"/></Relationships>
</file>

<file path=xl/externalLinks/_rels/externalLink28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z1panos/Documents/&#27993;&#21830;&#36731;&#24037;/&#21280;&#24515;&#23478;&#23621;/Users/z1panos/Documents/&#27993;&#21830;&#36731;&#24037;/&#21280;&#24515;&#23478;&#23621;/C:/Mac/Home/&#23433;&#35013;&#25991;&#20214;&#22841;/DataBrowse/XLA/pe-band.xls" TargetMode="External"/><Relationship Id="rId1" Type="http://schemas.openxmlformats.org/officeDocument/2006/relationships/externalLinkPath" Target="/Users/z1panos/Documents/&#27993;&#21830;&#36731;&#24037;/&#21280;&#24515;&#23478;&#23621;/Users/z1panos/Documents/&#27993;&#21830;&#36731;&#24037;/&#21280;&#24515;&#23478;&#23621;/C:/Mac/Home/&#23433;&#35013;&#25991;&#20214;&#22841;/DataBrowse/XLA/pe-band.xls" TargetMode="External"/></Relationships>
</file>

<file path=xl/externalLinks/_rels/externalLink29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z1panos/Documents/&#27993;&#21830;&#36731;&#24037;/&#21280;&#24515;&#23478;&#23621;/Users/z1panos/Documents/&#27993;&#21830;&#36731;&#24037;/&#21280;&#24515;&#23478;&#23621;/E:/&#21608;&#25253;/&#21608;&#25253;20131001/&#21608;&#25253;/&#21608;&#25253;%2020130831/&#21457;&#36865;/&#21608;&#25253;/&#21608;&#25253;%2020130803/&#21457;&#36865;&#22242;&#38431;&#21021;&#31295;/&#21608;&#25253;/&#21608;&#25253;%2020121117/41&#21608;&#25253;&#25968;&#25454;--20121117/42&#21608;&#25253;%20&#25968;&#25454;/office/&#25968;&#25454;&#24211;/&#21608;&#25253;/&#32442;&#32455;&#26381;&#35013;&#34892;&#19994;&#20844;&#21496;&#30740;&#31350;&#25253;&#21578;&#19987;&#29992;.xls" TargetMode="External"/><Relationship Id="rId1" Type="http://schemas.openxmlformats.org/officeDocument/2006/relationships/externalLinkPath" Target="/Users/z1panos/Documents/&#27993;&#21830;&#36731;&#24037;/&#21280;&#24515;&#23478;&#23621;/Users/z1panos/Documents/&#27993;&#21830;&#36731;&#24037;/&#21280;&#24515;&#23478;&#23621;/E:/&#21608;&#25253;/&#21608;&#25253;20131001/&#21608;&#25253;/&#21608;&#25253;%2020130831/&#21457;&#36865;/&#21608;&#25253;/&#21608;&#25253;%2020130803/&#21457;&#36865;&#22242;&#38431;&#21021;&#31295;/&#21608;&#25253;/&#21608;&#25253;%2020121117/41&#21608;&#25253;&#25968;&#25454;--20121117/42&#21608;&#25253;%20&#25968;&#25454;/office/&#25968;&#25454;&#24211;/&#21608;&#25253;/&#32442;&#32455;&#26381;&#35013;&#34892;&#19994;&#20844;&#21496;&#30740;&#31350;&#25253;&#21578;&#19987;&#29992;.xls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2.&#21335;&#36710;&#21271;&#36710;\Main%20data\Summary%20Railway_wang%20bin.xls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Telecom\draft\China%20Mobile\AETH.xls" TargetMode="External"/></Relationships>
</file>

<file path=xl/externalLinks/_rels/externalLink3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WINNT\Profiles\blmbgrd\&#26700;&#38754;\11.xls" TargetMode="External"/></Relationships>
</file>

<file path=xl/externalLinks/_rels/externalLink3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s_Julia\Banking\CEIC\money%20data.xls" TargetMode="External"/></Relationships>
</file>

<file path=xl/externalLinks/_rels/externalLink34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z1panos/Documents/&#27993;&#21830;&#36731;&#24037;/&#21280;&#24515;&#23478;&#23621;/Users/z1panos/Documents/&#27993;&#21830;&#36731;&#24037;/&#21280;&#24515;&#23478;&#23621;/C:/Documents%20and%20Settings/yuanyi.SWSRESEARCH/Local%20Settings/Temporary%20Internet%20Files/OLKA/2009&#24180;&#31574;&#30053;/2009&#24180;&#31574;&#30053;/&#20998;&#31163;&#20538;&#22269;&#20538;&#21033;&#24046;.xls" TargetMode="External"/><Relationship Id="rId1" Type="http://schemas.openxmlformats.org/officeDocument/2006/relationships/externalLinkPath" Target="/Users/z1panos/Documents/&#27993;&#21830;&#36731;&#24037;/&#21280;&#24515;&#23478;&#23621;/Users/z1panos/Documents/&#27993;&#21830;&#36731;&#24037;/&#21280;&#24515;&#23478;&#23621;/C:/Documents%20and%20Settings/yuanyi.SWSRESEARCH/Local%20Settings/Temporary%20Internet%20Files/OLKA/2009&#24180;&#31574;&#30053;/2009&#24180;&#31574;&#30053;/&#20998;&#31163;&#20538;&#22269;&#20538;&#21033;&#24046;.xls" TargetMode="External"/></Relationships>
</file>

<file path=xl/externalLinks/_rels/externalLink35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z1panos/Documents/&#27993;&#21830;&#36731;&#24037;/&#21280;&#24515;&#23478;&#23621;/Users/z1panos/Documents/&#27993;&#21830;&#36731;&#24037;/&#21280;&#24515;&#23478;&#23621;/C:/Mac/Home/Users/zhaohual/AppData/Local/Microsoft/Windows/Temporary%20Internet%20Files/Content.IE5/EWI2632H/&#20272;&#20540;/&#31454;&#20105;&#23545;&#25163;&#20272;&#20540;&#27169;&#22411;/Wind&#20272;&#20540;&#27169;&#22411;.xls" TargetMode="External"/><Relationship Id="rId1" Type="http://schemas.openxmlformats.org/officeDocument/2006/relationships/externalLinkPath" Target="/Users/z1panos/Documents/&#27993;&#21830;&#36731;&#24037;/&#21280;&#24515;&#23478;&#23621;/Users/z1panos/Documents/&#27993;&#21830;&#36731;&#24037;/&#21280;&#24515;&#23478;&#23621;/C:/Mac/Home/Users/zhaohual/AppData/Local/Microsoft/Windows/Temporary%20Internet%20Files/Content.IE5/EWI2632H/&#20272;&#20540;/&#31454;&#20105;&#23545;&#25163;&#20272;&#20540;&#27169;&#22411;/Wind&#20272;&#20540;&#27169;&#22411;.xls" TargetMode="External"/></Relationships>
</file>

<file path=xl/externalLinks/_rels/externalLink36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z1panos/Documents/&#27993;&#21830;&#36731;&#24037;/&#21280;&#24515;&#23478;&#23621;/Users/z1panos/Documents/&#27993;&#21830;&#36731;&#24037;/&#21280;&#24515;&#23478;&#23621;/C:/Documents%20and%20Settings/yuanyi.SWSRESEARCH/Local%20Settings/Temporary%20Internet%20Files/OLKA/personal/&#36164;&#20135;&#37197;&#32622;/&#30003;&#19975;&#37325;&#28857;&#20844;&#21496;&#38544;&#21547;ERP.xls" TargetMode="External"/><Relationship Id="rId1" Type="http://schemas.openxmlformats.org/officeDocument/2006/relationships/externalLinkPath" Target="/Users/z1panos/Documents/&#27993;&#21830;&#36731;&#24037;/&#21280;&#24515;&#23478;&#23621;/Users/z1panos/Documents/&#27993;&#21830;&#36731;&#24037;/&#21280;&#24515;&#23478;&#23621;/C:/Documents%20and%20Settings/yuanyi.SWSRESEARCH/Local%20Settings/Temporary%20Internet%20Files/OLKA/personal/&#36164;&#20135;&#37197;&#32622;/&#30003;&#19975;&#37325;&#28857;&#20844;&#21496;&#38544;&#21547;ERP.xls" TargetMode="External"/></Relationships>
</file>

<file path=xl/externalLinks/_rels/externalLink3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wuhui\WUHUI\WHModels\BEILAND1109.xls" TargetMode="External"/></Relationships>
</file>

<file path=xl/externalLinks/_rels/externalLink38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z1panos/Documents/&#27993;&#21830;&#36731;&#24037;/&#21280;&#24515;&#23478;&#23621;/Users/z1panos/Documents/&#27993;&#21830;&#36731;&#24037;/&#21280;&#24515;&#23478;&#23621;/C:/Documents%20and%20Settings/yuanyi.SWSRESEARCH/Local%20Settings/Temporary%20Internet%20Files/OLKA/DOCUME~1/xuyan/LOCALS~1/Temp/&#39044;&#27979;.XLS" TargetMode="External"/><Relationship Id="rId1" Type="http://schemas.openxmlformats.org/officeDocument/2006/relationships/externalLinkPath" Target="/Users/z1panos/Documents/&#27993;&#21830;&#36731;&#24037;/&#21280;&#24515;&#23478;&#23621;/Users/z1panos/Documents/&#27993;&#21830;&#36731;&#24037;/&#21280;&#24515;&#23478;&#23621;/C:/Documents%20and%20Settings/yuanyi.SWSRESEARCH/Local%20Settings/Temporary%20Internet%20Files/OLKA/DOCUME~1/xuyan/LOCALS~1/Temp/&#39044;&#27979;.XLS" TargetMode="External"/></Relationships>
</file>

<file path=xl/externalLinks/_rels/externalLink39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z1panos/Documents/&#27993;&#21830;&#36731;&#24037;/&#21280;&#24515;&#23478;&#23621;/Users/z1panos/Documents/&#27993;&#21830;&#36731;&#24037;/&#21280;&#24515;&#23478;&#23621;/C:/Users/huazhiye/Desktop/Users/Amanda/Desktop/&#21103;&#26412;pe-band.xls" TargetMode="External"/><Relationship Id="rId1" Type="http://schemas.openxmlformats.org/officeDocument/2006/relationships/externalLinkPath" Target="/Users/z1panos/Documents/&#27993;&#21830;&#36731;&#24037;/&#21280;&#24515;&#23478;&#23621;/Users/z1panos/Documents/&#27993;&#21830;&#36731;&#24037;/&#21280;&#24515;&#23478;&#23621;/C:/Users/huazhiye/Desktop/Users/Amanda/Desktop/&#21103;&#26412;pe-band.xls" TargetMode="External"/></Relationships>
</file>

<file path=xl/externalLinks/_rels/externalLink4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Mike%20Yi\Transport\Js\&#27743;&#33487;%20-%20Model%20(Oct%2028,%2004).xls" TargetMode="External"/></Relationships>
</file>

<file path=xl/externalLinks/_rels/externalLink4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ihe%20WestInt_Paid" TargetMode="External"/></Relationships>
</file>

<file path=xl/externalLinks/_rels/externalLink42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z1panos/Documents/&#27993;&#21830;&#36731;&#24037;/&#21280;&#24515;&#23478;&#23621;/3B47BCE4/DDM&#20272;&#20540;&#27169;&#22411;&#65288;A&#32929;&#30003;&#19975;&#37325;&#28857;&#20844;&#21496;&#29256;09&#24180;&#65289;-&#25105;&#25913;09-2-17-&#26417;&#30340;&#30408;&#21033;&#39044;&#27979;&#27969;&#36890;&#30424;&#35843;&#25972;-&#29992;.xls" TargetMode="External"/><Relationship Id="rId1" Type="http://schemas.openxmlformats.org/officeDocument/2006/relationships/externalLinkPath" Target="/Users/z1panos/Documents/&#27993;&#21830;&#36731;&#24037;/&#21280;&#24515;&#23478;&#23621;/3B47BCE4/DDM&#20272;&#20540;&#27169;&#22411;&#65288;A&#32929;&#30003;&#19975;&#37325;&#28857;&#20844;&#21496;&#29256;09&#24180;&#65289;-&#25105;&#25913;09-2-17-&#26417;&#30340;&#30408;&#21033;&#39044;&#27979;&#27969;&#36890;&#30424;&#35843;&#25972;-&#29992;.xls" TargetMode="External"/></Relationships>
</file>

<file path=xl/externalLinks/_rels/externalLink4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ttp:\mail.sina.com.cn\cgi-bin\attachment.cgi\luowei_73\application\vnd.ms-excel\1051677789.16794.dell1550.sina.com.cn:2,S.a01.xls\Old%20files\Jeff\KONKA3.xls" TargetMode="External"/></Relationships>
</file>

<file path=xl/externalLinks/_rels/externalLink4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&#19978;&#24066;&#20844;&#21496;\000402&#37329;&#34701;&#34903;\000402_&#37329;&#34701;&#34903;.xls" TargetMode="External"/></Relationships>
</file>

<file path=xl/externalLinks/_rels/externalLink45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z1panos/Documents/&#27993;&#21830;&#36731;&#24037;/&#21280;&#24515;&#23478;&#23621;/Users/z1panos/Documents/&#27993;&#21830;&#36731;&#24037;/&#21280;&#24515;&#23478;&#23621;/D:/Users/Grace%20Liu/Desktop/&#24037;&#20316;&#20869;&#23481;/&#20013;&#25253;&#24213;&#31295;/&#19996;&#21556;&#20272;&#20540;&#27169;&#22411;%20&#36125;&#26684;&#29256;20180509.xlsm" TargetMode="External"/><Relationship Id="rId1" Type="http://schemas.openxmlformats.org/officeDocument/2006/relationships/externalLinkPath" Target="/Users/z1panos/Documents/&#27993;&#21830;&#36731;&#24037;/&#21280;&#24515;&#23478;&#23621;/Users/z1panos/Documents/&#27993;&#21830;&#36731;&#24037;/&#21280;&#24515;&#23478;&#23621;/D:/Users/Grace%20Liu/Desktop/&#24037;&#20316;&#20869;&#23481;/&#20013;&#25253;&#24213;&#31295;/&#19996;&#21556;&#20272;&#20540;&#27169;&#22411;%20&#36125;&#26684;&#29256;20180509.xlsm" TargetMode="External"/></Relationships>
</file>

<file path=xl/externalLinks/_rels/externalLink4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0-&#25105;&#30340;&#24037;&#20316;\2-&#34892;&#19994;&#30740;&#31350;-&#24314;&#31569;&#24037;&#31243;\600068-&#33883;&#27954;&#22365;\&#30003;&#19975;&#36130;&#21153;&#27169;&#22411;3.1.2&#29256;-&#33883;&#27954;&#22365;20170705-V8.xls" TargetMode="External"/></Relationships>
</file>

<file path=xl/externalLinks/_rels/externalLink47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z1panos/Documents/&#27993;&#21830;&#36731;&#24037;/&#21280;&#24515;&#23478;&#23621;/Users/z1panos/Documents/&#27993;&#21830;&#36731;&#24037;/&#21280;&#24515;&#23478;&#23621;/E:/&#36731;&#24037;&#21046;&#36896;/&#21382;&#21490;&#25968;&#25454;&#24211;--&#20854;&#20182;&#21334;&#26041;/0802/&#36731;&#24037;&#25968;&#25454;/&#28023;&#36890;&#35777;&#21048;&#26377;&#33394;&#37329;&#23646;&#25968;&#25454;&#21608;&#25253;20121119.xls" TargetMode="External"/><Relationship Id="rId1" Type="http://schemas.openxmlformats.org/officeDocument/2006/relationships/externalLinkPath" Target="/Users/z1panos/Documents/&#27993;&#21830;&#36731;&#24037;/&#21280;&#24515;&#23478;&#23621;/Users/z1panos/Documents/&#27993;&#21830;&#36731;&#24037;/&#21280;&#24515;&#23478;&#23621;/E:/&#36731;&#24037;&#21046;&#36896;/&#21382;&#21490;&#25968;&#25454;&#24211;--&#20854;&#20182;&#21334;&#26041;/0802/&#36731;&#24037;&#25968;&#25454;/&#28023;&#36890;&#35777;&#21048;&#26377;&#33394;&#37329;&#23646;&#25968;&#25454;&#21608;&#25253;20121119.xls" TargetMode="External"/></Relationships>
</file>

<file path=xl/externalLinks/_rels/externalLink4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macro\loan_composition.xls" TargetMode="External"/></Relationships>
</file>

<file path=xl/externalLinks/_rels/externalLink49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z1panos/Documents/&#27993;&#21830;&#36731;&#24037;/&#21280;&#24515;&#23478;&#23621;/Users/z1panos/Documents/&#27993;&#21830;&#36731;&#24037;/&#21280;&#24515;&#23478;&#23621;/C:/Documents%20and%20Settings/yuanyi.SWSRESEARCH/Local%20Settings/Temporary%20Internet%20Files/OLKA/DOCUME~1/DAIHUI~1/LOCALS~1/Temp/&#37325;&#28857;&#20844;&#21496;&#30408;&#21033;&#39044;&#27979;&#21450;&#25237;&#36164;&#35780;&#32423;&#34920;20080808.xls" TargetMode="External"/><Relationship Id="rId2" Type="http://schemas.microsoft.com/office/2019/04/relationships/externalLinkLongPath" Target="/Users/z1panos/Documents/&#27993;&#21830;&#36731;&#24037;/&#21280;&#24515;&#23478;&#23621;/Users/z1panos/Documents/&#27993;&#21830;&#36731;&#24037;/&#21280;&#24515;&#23478;&#23621;/C:/Documents%20and%20Settings/yuanyi.SWSRESEARCH/Local%20Settings/Temporary%20Internet%20Files/OLKA/DOCUME~1/DAIHUI~1/LOCALS~1/Temp/&#37325;&#28857;&#20844;&#21496;&#30408;&#21033;&#39044;&#27979;&#21450;&#25237;&#36164;&#35780;&#32423;&#34920;20080808.xls?786E588F" TargetMode="External"/><Relationship Id="rId1" Type="http://schemas.openxmlformats.org/officeDocument/2006/relationships/externalLinkPath" Target="file:///\\786E588F\&#37325;&#28857;&#20844;&#21496;&#30408;&#21033;&#39044;&#27979;&#21450;&#25237;&#36164;&#35780;&#32423;&#34920;20080808.xls" TargetMode="External"/></Relationships>
</file>

<file path=xl/externalLinks/_rels/externalLink50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z1panos/Documents/&#27993;&#21830;&#36731;&#24037;/&#21280;&#24515;&#23478;&#23621;/Users/z1panos/Documents/&#27993;&#21830;&#36731;&#24037;/&#21280;&#24515;&#23478;&#23621;/C:/Documents%20and%20Settings/yuanyi/Local%20Settings/Temporary%20Internet%20Files/OLK97/&#26149;&#23395;&#31574;&#30053;&#20250;&#24037;&#20316;&#24213;&#31295;20100312%20(6).xls" TargetMode="External"/><Relationship Id="rId1" Type="http://schemas.openxmlformats.org/officeDocument/2006/relationships/externalLinkPath" Target="/Users/z1panos/Documents/&#27993;&#21830;&#36731;&#24037;/&#21280;&#24515;&#23478;&#23621;/Users/z1panos/Documents/&#27993;&#21830;&#36731;&#24037;/&#21280;&#24515;&#23478;&#23621;/C:/Documents%20and%20Settings/yuanyi/Local%20Settings/Temporary%20Internet%20Files/OLK97/&#26149;&#23395;&#31574;&#30053;&#20250;&#24037;&#20316;&#24213;&#31295;20100312%20(6).xls" TargetMode="External"/></Relationships>
</file>

<file path=xl/externalLinks/_rels/externalLink51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z1panos/Documents/&#27993;&#21830;&#36731;&#24037;/&#21280;&#24515;&#23478;&#23621;/Users/z1panos/Documents/&#27993;&#21830;&#36731;&#24037;/&#21280;&#24515;&#23478;&#23621;/C:/Mac/Mac/Mac/Mac/Home/Users/Jwq/Desktop/Users/shen/Desktop/Beta&#35745;&#31639;&#22120;.xls" TargetMode="External"/><Relationship Id="rId1" Type="http://schemas.openxmlformats.org/officeDocument/2006/relationships/externalLinkPath" Target="/Users/z1panos/Documents/&#27993;&#21830;&#36731;&#24037;/&#21280;&#24515;&#23478;&#23621;/Users/z1panos/Documents/&#27993;&#21830;&#36731;&#24037;/&#21280;&#24515;&#23478;&#23621;/C:/Mac/Mac/Mac/Mac/Home/Users/Jwq/Desktop/Users/shen/Desktop/Beta&#35745;&#31639;&#22120;.xls" TargetMode="External"/></Relationships>
</file>

<file path=xl/externalLinks/_rels/externalLink5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work\&#26085;&#29992;&#21270;&#22918;&#21697;\&#19978;&#28023;&#23478;&#21270;\09&#24180;&#19977;&#23395;&#25253;&#28857;&#35780;\v3.1&#19978;&#28023;&#23478;&#21270;_600315&#30003;&#19975;&#27491;&#24335;&#27169;&#22411;0515.xls" TargetMode="External"/></Relationships>
</file>

<file path=xl/externalLinks/_rels/externalLink53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z1panos/Documents/&#27993;&#21830;&#36731;&#24037;/&#21280;&#24515;&#23478;&#23621;/Users/z1panos/Documents/&#27993;&#21830;&#36731;&#24037;/&#21280;&#24515;&#23478;&#23621;/D:/share/&#27993;&#21830;&#36731;&#24037;/&#19978;&#28023;&#33406;&#24405;/&#27993;&#21830;&#27169;&#22411;-&#19978;&#28023;&#33406;&#24405;211218.xlsm" TargetMode="External"/><Relationship Id="rId1" Type="http://schemas.openxmlformats.org/officeDocument/2006/relationships/externalLinkPath" Target="/Users/z1panos/Documents/&#27993;&#21830;&#36731;&#24037;/&#21280;&#24515;&#23478;&#23621;/Users/z1panos/Documents/&#27993;&#21830;&#36731;&#24037;/&#21280;&#24515;&#23478;&#23621;/D:/share/&#27993;&#21830;&#36731;&#24037;/&#19978;&#28023;&#33406;&#24405;/&#27993;&#21830;&#27169;&#22411;-&#19978;&#28023;&#33406;&#24405;211218.xlsm" TargetMode="External"/></Relationships>
</file>

<file path=xl/externalLinks/_rels/externalLink5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TEMP\Standard_wacc.xls" TargetMode="External"/></Relationships>
</file>

<file path=xl/externalLinks/_rels/externalLink55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z1panos/Documents/&#27993;&#21830;&#36731;&#24037;/&#21280;&#24515;&#23478;&#23621;/Users/z1panos/Documents/&#27993;&#21830;&#36731;&#24037;/&#21280;&#24515;&#23478;&#23621;/C:/Documents%20and%20Settings/yuanyi.SWSRESEARCH/Local%20Settings/Temporary%20Internet%20Files/OLKA/personal/&#36164;&#20135;&#37197;&#32622;/&#23395;&#24230;&#25253;&#21578;/2007&#24180;1&#23395;&#24230;&#36164;&#20135;&#37197;&#32622;/&#32929;&#31080;&#25910;&#30410;&#39044;&#27979;&#22240;&#23376;&#31579;&#36873;.XLS" TargetMode="External"/><Relationship Id="rId1" Type="http://schemas.openxmlformats.org/officeDocument/2006/relationships/externalLinkPath" Target="/Users/z1panos/Documents/&#27993;&#21830;&#36731;&#24037;/&#21280;&#24515;&#23478;&#23621;/Users/z1panos/Documents/&#27993;&#21830;&#36731;&#24037;/&#21280;&#24515;&#23478;&#23621;/C:/Documents%20and%20Settings/yuanyi.SWSRESEARCH/Local%20Settings/Temporary%20Internet%20Files/OLKA/personal/&#36164;&#20135;&#37197;&#32622;/&#23395;&#24230;&#25253;&#21578;/2007&#24180;1&#23395;&#24230;&#36164;&#20135;&#37197;&#32622;/&#32929;&#31080;&#25910;&#30410;&#39044;&#27979;&#22240;&#23376;&#31579;&#36873;.XLS" TargetMode="External"/></Relationships>
</file>

<file path=xl/externalLinks/_rels/externalLink56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z1panos/Documents/&#27993;&#21830;&#36731;&#24037;/&#21280;&#24515;&#23478;&#23621;/Users/z1panos/Documents/&#27993;&#21830;&#36731;&#24037;/&#21280;&#24515;&#23478;&#23621;/C:/Documents%20and%20Settings/yuanyi.SWSRESEARCH/Local%20Settings/Temporary%20Internet%20Files/OLKA/DOCUME~1/xuyan/LOCALS~1/Temp/&#30408;&#21033;&#39044;&#27979;&#20462;&#35746;&#27604;&#29575;.xls" TargetMode="External"/><Relationship Id="rId1" Type="http://schemas.openxmlformats.org/officeDocument/2006/relationships/externalLinkPath" Target="/Users/z1panos/Documents/&#27993;&#21830;&#36731;&#24037;/&#21280;&#24515;&#23478;&#23621;/Users/z1panos/Documents/&#27993;&#21830;&#36731;&#24037;/&#21280;&#24515;&#23478;&#23621;/C:/Documents%20and%20Settings/yuanyi.SWSRESEARCH/Local%20Settings/Temporary%20Internet%20Files/OLKA/DOCUME~1/xuyan/LOCALS~1/Temp/&#30408;&#21033;&#39044;&#27979;&#20462;&#35746;&#27604;&#29575;.xls" TargetMode="External"/></Relationships>
</file>

<file path=xl/externalLinks/_rels/externalLink57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z1panos/Documents/&#27993;&#21830;&#36731;&#24037;/&#21280;&#24515;&#23478;&#23621;/Users/z1panos/Documents/&#27993;&#21830;&#36731;&#24037;/&#21280;&#24515;&#23478;&#23621;/C:/Documents%20and%20Settings/yuanyi.SWSRESEARCH/Local%20Settings/Temporary%20Internet%20Files/OLKA/TEMP/2003-3-24.xls" TargetMode="External"/><Relationship Id="rId1" Type="http://schemas.openxmlformats.org/officeDocument/2006/relationships/externalLinkPath" Target="/Users/z1panos/Documents/&#27993;&#21830;&#36731;&#24037;/&#21280;&#24515;&#23478;&#23621;/Users/z1panos/Documents/&#27993;&#21830;&#36731;&#24037;/&#21280;&#24515;&#23478;&#23621;/C:/Documents%20and%20Settings/yuanyi.SWSRESEARCH/Local%20Settings/Temporary%20Internet%20Files/OLKA/TEMP/2003-3-24.xls" TargetMode="External"/></Relationships>
</file>

<file path=xl/externalLinks/_rels/externalLink5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IB-SHG-01\VOL1\PROPERTY\SZCOMP\VANKE\twopage.xls" TargetMode="External"/></Relationships>
</file>

<file path=xl/externalLinks/_rels/externalLink5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RESEARCH\JACOBELL\SMR9705\HECMODEL.XLS" TargetMode="External"/></Relationships>
</file>

<file path=xl/externalLinks/_rels/externalLink60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z1panos/Documents/&#27993;&#21830;&#36731;&#24037;/&#21280;&#24515;&#23478;&#23621;/Users/z1panos/Documents/&#27993;&#21830;&#36731;&#24037;/&#21280;&#24515;&#23478;&#23621;/E:/&#21608;&#25253;/&#21608;&#25253;20131001/&#21608;&#25253;/&#21608;&#25253;%2020130831/&#21457;&#36865;/&#21608;&#25253;/&#21608;&#25253;%2020130803/&#21457;&#36865;&#22242;&#38431;&#21021;&#31295;/&#21608;&#25253;/&#21608;&#25253;%2020130622/&#21608;&#25253;0622/&#20013;&#22269;&#38134;&#27827;&#35777;&#21048;&#26377;&#33394;&#37329;&#23646;&#34892;&#19994;&#30740;&#31350;&#25968;&#25454;&#24211;%20(2013-4-22).xls" TargetMode="External"/><Relationship Id="rId1" Type="http://schemas.openxmlformats.org/officeDocument/2006/relationships/externalLinkPath" Target="/Users/z1panos/Documents/&#27993;&#21830;&#36731;&#24037;/&#21280;&#24515;&#23478;&#23621;/Users/z1panos/Documents/&#27993;&#21830;&#36731;&#24037;/&#21280;&#24515;&#23478;&#23621;/E:/&#21608;&#25253;/&#21608;&#25253;20131001/&#21608;&#25253;/&#21608;&#25253;%2020130831/&#21457;&#36865;/&#21608;&#25253;/&#21608;&#25253;%2020130803/&#21457;&#36865;&#22242;&#38431;&#21021;&#31295;/&#21608;&#25253;/&#21608;&#25253;%2020130622/&#21608;&#25253;0622/&#20013;&#22269;&#38134;&#27827;&#35777;&#21048;&#26377;&#33394;&#37329;&#23646;&#34892;&#19994;&#30740;&#31350;&#25968;&#25454;&#24211;%20(2013-4-22).xls" TargetMode="External"/></Relationships>
</file>

<file path=xl/externalLinks/_rels/externalLink61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z1panos/Documents/&#27993;&#21830;&#36731;&#24037;/&#21280;&#24515;&#23478;&#23621;/Users/z1panos/Documents/&#27993;&#21830;&#36731;&#24037;/&#21280;&#24515;&#23478;&#23621;/C:/&#30003;&#19975;&#36130;&#21153;&#20998;&#26512;&#23454;&#29992;&#23567;&#24037;&#20855;.xls" TargetMode="External"/><Relationship Id="rId1" Type="http://schemas.openxmlformats.org/officeDocument/2006/relationships/externalLinkPath" Target="/Users/z1panos/Documents/&#27993;&#21830;&#36731;&#24037;/&#21280;&#24515;&#23478;&#23621;/Users/z1panos/Documents/&#27993;&#21830;&#36731;&#24037;/&#21280;&#24515;&#23478;&#23621;/C:/&#30003;&#19975;&#36130;&#21153;&#20998;&#26512;&#23454;&#29992;&#23567;&#24037;&#20855;.xls" TargetMode="External"/></Relationships>
</file>

<file path=xl/externalLinks/_rels/externalLink62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z1panos/Documents/&#27993;&#21830;&#36731;&#24037;/&#21280;&#24515;&#23478;&#23621;/3B06F2B6/&#28023;&#36890;&#35777;&#21048;&#26032;&#20250;&#35745;&#20934;&#21017;&#20272;&#20540;&#27169;&#22411;V2.11.xls" TargetMode="External"/><Relationship Id="rId1" Type="http://schemas.openxmlformats.org/officeDocument/2006/relationships/externalLinkPath" Target="/Users/z1panos/Documents/&#27993;&#21830;&#36731;&#24037;/&#21280;&#24515;&#23478;&#23621;/3B06F2B6/&#28023;&#36890;&#35777;&#21048;&#26032;&#20250;&#35745;&#20934;&#21017;&#20272;&#20540;&#27169;&#22411;V2.11.xls" TargetMode="External"/></Relationships>
</file>

<file path=xl/externalLinks/_rels/externalLink63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z1panos/Documents/&#27993;&#21830;&#36731;&#24037;/&#21280;&#24515;&#23478;&#23621;/Users/z1panos/Documents/&#27993;&#21830;&#36731;&#24037;/&#21280;&#24515;&#23478;&#23621;/C:/Users/zhanwenqian/Desktop/Y:/&#23433;&#35013;&#25991;&#20214;&#22841;/DataBrowse/XLA/pe-band.xls" TargetMode="External"/><Relationship Id="rId1" Type="http://schemas.openxmlformats.org/officeDocument/2006/relationships/externalLinkPath" Target="/Users/z1panos/Documents/&#27993;&#21830;&#36731;&#24037;/&#21280;&#24515;&#23478;&#23621;/Users/z1panos/Documents/&#27993;&#21830;&#36731;&#24037;/&#21280;&#24515;&#23478;&#23621;/C:/Users/zhanwenqian/Desktop/Y:/&#23433;&#35013;&#25991;&#20214;&#22841;/DataBrowse/XLA/pe-band.xls" TargetMode="External"/></Relationships>
</file>

<file path=xl/externalLinks/_rels/externalLink64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z1panos/Documents/&#27993;&#21830;&#36731;&#24037;/&#21280;&#24515;&#23478;&#23621;/850EFCCE/ICB&#21508;&#34892;&#19994;&#25351;&#25968;&#25910;&#30410;&#29575;&#65288;&#21494;&#39134;&#65289;.xls" TargetMode="External"/><Relationship Id="rId1" Type="http://schemas.openxmlformats.org/officeDocument/2006/relationships/externalLinkPath" Target="/Users/z1panos/Documents/&#27993;&#21830;&#36731;&#24037;/&#21280;&#24515;&#23478;&#23621;/850EFCCE/ICB&#21508;&#34892;&#19994;&#25351;&#25968;&#25910;&#30410;&#29575;&#65288;&#21494;&#39134;&#65289;.xls" TargetMode="External"/></Relationships>
</file>

<file path=xl/externalLinks/_rels/externalLink65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z1panos/Documents/&#27993;&#21830;&#36731;&#24037;/&#21280;&#24515;&#23478;&#23621;/Users/z1panos/Documents/&#27993;&#21830;&#36731;&#24037;/&#21280;&#24515;&#23478;&#23621;/D:/Users/zhanwenqian/Desktop/Y:/Wind/Wind.NET.Client/WindNET/DataBrowse/XLA/pe-band.xls" TargetMode="External"/><Relationship Id="rId1" Type="http://schemas.openxmlformats.org/officeDocument/2006/relationships/externalLinkPath" Target="/Users/z1panos/Documents/&#27993;&#21830;&#36731;&#24037;/&#21280;&#24515;&#23478;&#23621;/Users/z1panos/Documents/&#27993;&#21830;&#36731;&#24037;/&#21280;&#24515;&#23478;&#23621;/D:/Users/zhanwenqian/Desktop/Y:/Wind/Wind.NET.Client/WindNET/DataBrowse/XLA/pe-band.xls" TargetMode="External"/></Relationships>
</file>

<file path=xl/externalLinks/_rels/externalLink66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z1panos/Documents/&#27993;&#21830;&#36731;&#24037;/&#21280;&#24515;&#23478;&#23621;/Users/z1panos/Documents/&#27993;&#21830;&#36731;&#24037;/&#21280;&#24515;&#23478;&#23621;/C:/Users/zhanwenqian/Desktop/Y:/Wind/Wind.NET.Client/WindNET/DataBrowse/XLA/pe-band.xls" TargetMode="External"/><Relationship Id="rId1" Type="http://schemas.openxmlformats.org/officeDocument/2006/relationships/externalLinkPath" Target="/Users/z1panos/Documents/&#27993;&#21830;&#36731;&#24037;/&#21280;&#24515;&#23478;&#23621;/Users/z1panos/Documents/&#27993;&#21830;&#36731;&#24037;/&#21280;&#24515;&#23478;&#23621;/C:/Users/zhanwenqian/Desktop/Y:/Wind/Wind.NET.Client/WindNET/DataBrowse/XLA/pe-band.xls" TargetMode="External"/></Relationships>
</file>

<file path=xl/externalLinks/_rels/externalLink67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z1panos/Documents/&#27993;&#21830;&#36731;&#24037;/&#21280;&#24515;&#23478;&#23621;/Users/z1panos/Documents/&#27993;&#21830;&#36731;&#24037;/&#21280;&#24515;&#23478;&#23621;/C:/Mac/Home/&#36719;&#20214;/DataBrowse/XLA/pe-band.xls" TargetMode="External"/><Relationship Id="rId1" Type="http://schemas.openxmlformats.org/officeDocument/2006/relationships/externalLinkPath" Target="/Users/z1panos/Documents/&#27993;&#21830;&#36731;&#24037;/&#21280;&#24515;&#23478;&#23621;/Users/z1panos/Documents/&#27993;&#21830;&#36731;&#24037;/&#21280;&#24515;&#23478;&#23621;/C:/Mac/Home/&#36719;&#20214;/DataBrowse/XLA/pe-band.xls" TargetMode="External"/></Relationships>
</file>

<file path=xl/externalLinks/_rels/externalLink68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z1panos/Documents/&#27993;&#21830;&#36731;&#24037;/&#21280;&#24515;&#23478;&#23621;/Users/z1panos/Documents/&#27993;&#21830;&#36731;&#24037;/&#21280;&#24515;&#23478;&#23621;/C:/&#22522;&#30784;&#21270;&#24037;&#25968;&#25454;/&#21608;&#25253;&#24213;&#31295;&#33258;&#21160;&#26356;&#26032;/DOCUME~1/YUCHUN~1.SWY/LOCALS~1/Temp/&#27993;&#27743;&#22825;&#39532;.xls" TargetMode="External"/><Relationship Id="rId1" Type="http://schemas.openxmlformats.org/officeDocument/2006/relationships/externalLinkPath" Target="/Users/z1panos/Documents/&#27993;&#21830;&#36731;&#24037;/&#21280;&#24515;&#23478;&#23621;/Users/z1panos/Documents/&#27993;&#21830;&#36731;&#24037;/&#21280;&#24515;&#23478;&#23621;/C:/&#22522;&#30784;&#21270;&#24037;&#25968;&#25454;/&#21608;&#25253;&#24213;&#31295;&#33258;&#21160;&#26356;&#26032;/DOCUME~1/YUCHUN~1.SWY/LOCALS~1/Temp/&#27993;&#27743;&#22825;&#39532;.xls" TargetMode="External"/></Relationships>
</file>

<file path=xl/externalLinks/_rels/externalLink69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Wind/Wind.NET.Client/WindNET/DataBrowse/XLA/WindFunc.xla" TargetMode="External"/><Relationship Id="rId2" Type="http://schemas.openxmlformats.org/officeDocument/2006/relationships/externalLinkPath" Target="file:///C:\Wind\Wind.NET.Client\WindNET\DataBrowse\XLA\WindFunc.xla" TargetMode="External"/><Relationship Id="rId1" Type="http://schemas.openxmlformats.org/officeDocument/2006/relationships/externalLinkPath" Target="/Wind/Wind.NET.Client/WindNET/DataBrowse/XLA/WindFunc.xla" TargetMode="External"/></Relationships>
</file>

<file path=xl/externalLinks/_rels/externalLink7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0-&#25105;&#30340;&#24037;&#20316;\2-&#34892;&#19994;&#30740;&#31350;-&#29615;&#20445;\0-&#22253;&#26519;&#24037;&#31243;\002310-&#19996;&#26041;&#22253;&#26519;\&#19996;&#26041;&#22253;&#26519;-Model-201708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"/>
      <sheetName val="#REF"/>
      <sheetName val="全国"/>
      <sheetName val="环卫机械"/>
      <sheetName val="工程施工"/>
      <sheetName val="销售收入"/>
      <sheetName val="NAV-Proj."/>
      <sheetName val="Interface"/>
      <sheetName val="Check Sums"/>
      <sheetName val="Collected data"/>
      <sheetName val="Page Details"/>
      <sheetName val="Page Sizes"/>
      <sheetName val="Sample Layout"/>
      <sheetName val="BRIEF"/>
      <sheetName val="price"/>
      <sheetName val="NAV Proj"/>
      <sheetName val="Capex"/>
      <sheetName val="MAGANG4"/>
      <sheetName val="月度销量数据"/>
      <sheetName val="石膏板财务质量"/>
      <sheetName val="Charts_1"/>
      <sheetName val="锂电池子版块目录"/>
      <sheetName val="动力电池"/>
      <sheetName val="图3：营收变化；图4：归母净利润变化"/>
      <sheetName val="图3"/>
      <sheetName val="营收变化；图4：归母净利润变化"/>
      <sheetName val="cover"/>
      <sheetName val="行业估值+个股估值"/>
      <sheetName val="模型说明"/>
      <sheetName val="公司说明"/>
      <sheetName val="财务摘要"/>
      <sheetName val="财务分析"/>
      <sheetName val="预测汇总.shadow"/>
      <sheetName val="SYSDATA"/>
      <sheetName val="关键假设表"/>
      <sheetName val="收入"/>
      <sheetName val="业务（分产品）"/>
      <sheetName val="成本（分产品）"/>
      <sheetName val="公告数据—成本拆分"/>
      <sheetName val="公司主营"/>
      <sheetName val="收入拆分"/>
      <sheetName val="利润表"/>
      <sheetName val="资产负债"/>
      <sheetName val="现金流量"/>
      <sheetName val="复杂FCFF"/>
      <sheetName val="DDM"/>
      <sheetName val="资金成本"/>
      <sheetName val="可比公司分析"/>
      <sheetName val="预测汇总"/>
      <sheetName val="子公司"/>
      <sheetName val="季报分析"/>
      <sheetName val="CHART"/>
      <sheetName val="市场表现"/>
      <sheetName val="EPS"/>
      <sheetName val="TAB1A"/>
      <sheetName val="TAB11A"/>
      <sheetName val="TAB2A"/>
      <sheetName val="TAB4A"/>
      <sheetName val="TAB5A"/>
      <sheetName val="TAB6A"/>
      <sheetName val="TAB7A"/>
      <sheetName val="TAB9A"/>
      <sheetName val="NEW FINANCIALS"/>
      <sheetName val="13W-(机型)"/>
      <sheetName val="Curtran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ub"/>
      <sheetName val="Graph Synthèse"/>
      <sheetName val="封面"/>
    </sheetNames>
    <sheetDataSet>
      <sheetData sheetId="0"/>
      <sheetData sheetId="1"/>
      <sheetData sheetId="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F"/>
      <sheetName val="cf old"/>
      <sheetName val="P&amp;L"/>
      <sheetName val="BS"/>
      <sheetName val="Profit"/>
      <sheetName val="WICarrData"/>
      <sheetName val="Inv Prop"/>
      <sheetName val="Devel Summary"/>
      <sheetName val="deve"/>
      <sheetName val="NAV"/>
      <sheetName val="Loan"/>
      <sheetName val="BS_table"/>
      <sheetName val="cashflow_table"/>
      <sheetName val="P&amp;L Table"/>
      <sheetName val="Interim"/>
      <sheetName val="earnings"/>
      <sheetName val="Final results"/>
      <sheetName val="Sheet3"/>
      <sheetName val="landbk"/>
      <sheetName val="sale proceed"/>
      <sheetName val="presale"/>
      <sheetName val="Sen"/>
      <sheetName val="SenMacro"/>
      <sheetName val="invest"/>
      <sheetName val="hokun"/>
      <sheetName val="hut"/>
      <sheetName val="in"/>
      <sheetName val="Sheet2"/>
      <sheetName val="Nit1"/>
      <sheetName val="PC GM Chart"/>
      <sheetName val="GrossMargin"/>
      <sheetName val="Units FY"/>
      <sheetName val="Pricing"/>
      <sheetName val="Target"/>
      <sheetName val="PC"/>
      <sheetName val="PC Fin"/>
      <sheetName val="Fin BD"/>
      <sheetName val="Market share"/>
      <sheetName val="Contend Segments"/>
      <sheetName val="Contenders"/>
      <sheetName val="Segments"/>
      <sheetName val="Costs"/>
      <sheetName val="ConMan Net"/>
      <sheetName val="Needs"/>
      <sheetName val="P&amp;L actual"/>
      <sheetName val="Quarterly"/>
      <sheetName val="P&amp;L proforma"/>
      <sheetName val="Key"/>
      <sheetName val="Bridge"/>
      <sheetName val="JP PL"/>
      <sheetName val="0992.HK-Forecast"/>
      <sheetName val="Print PL"/>
      <sheetName val="Print BS"/>
      <sheetName val="Print CF"/>
      <sheetName val="pagemaker detail"/>
      <sheetName val="耀皮B股"/>
      <sheetName val="#REF"/>
      <sheetName val="IncomeStatement"/>
      <sheetName val="PE-Band(港股)"/>
      <sheetName val="MODE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 refreshError="1"/>
      <sheetData sheetId="56" refreshError="1"/>
      <sheetData sheetId="57" refreshError="1"/>
      <sheetData sheetId="58" refreshError="1"/>
      <sheetData sheetId="59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首页"/>
      <sheetName val="Summary"/>
      <sheetName val="Model"/>
      <sheetName val="DCF "/>
      <sheetName val="Data"/>
      <sheetName val="商用车销量及预测"/>
      <sheetName val="汽车销量"/>
      <sheetName val="公司公告收入"/>
      <sheetName val="中联电子股权比例"/>
      <sheetName val="收入利润结构"/>
      <sheetName val="商用车销量及预测 (2)"/>
      <sheetName val="毛利率变化"/>
      <sheetName val="图表"/>
      <sheetName val="收入利润结构（2）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al"/>
      <sheetName val="Summary"/>
      <sheetName val="DCF_Matrix"/>
      <sheetName val="生产物流图"/>
      <sheetName val="Basic_Assum"/>
      <sheetName val="PP&amp;E"/>
      <sheetName val="Price_Assum"/>
      <sheetName val="P&amp;L_Model"/>
      <sheetName val="B sht"/>
      <sheetName val="Prod_Vol"/>
      <sheetName val="Sales(2)"/>
      <sheetName val="CAPEX&amp;WC"/>
      <sheetName val="CF"/>
      <sheetName val="Prod_line"/>
      <sheetName val="WACC"/>
      <sheetName val="Charts"/>
      <sheetName val="sheet"/>
      <sheetName val="Comps"/>
      <sheetName val="S&amp;C"/>
      <sheetName val="GEMiner"/>
      <sheetName val="NAV Proj"/>
      <sheetName val="AA"/>
      <sheetName val="海螺成本拆分-口径2"/>
      <sheetName val="股票App MAU"/>
      <sheetName val="股票&amp;基金App MAU"/>
      <sheetName val="现金管理工具份额数"/>
      <sheetName val="Valuation"/>
      <sheetName val="MarketDMA"/>
      <sheetName val="Consolidated Financials"/>
      <sheetName val="B_sht"/>
      <sheetName val="NAV_Proj"/>
      <sheetName val="EPS"/>
      <sheetName val="中期景气度分析"/>
      <sheetName val="A"/>
      <sheetName val="封面"/>
      <sheetName val="中金国债净价指数"/>
      <sheetName val="光伏玻璃海外公司"/>
      <sheetName val="PL"/>
      <sheetName val="经销商资料"/>
      <sheetName val="Inputs"/>
      <sheetName val="CE"/>
      <sheetName val="Depreciation"/>
      <sheetName val="Balance Sheet"/>
      <sheetName val="Revenues"/>
      <sheetName val="INTERBREW"/>
      <sheetName val="B"/>
      <sheetName val="复杂FCFF"/>
      <sheetName val="公司说明"/>
      <sheetName val="Financials"/>
      <sheetName val="tabela"/>
      <sheetName val="P&amp;L"/>
      <sheetName val="BS"/>
      <sheetName val="WorldSummary"/>
      <sheetName val="new_data"/>
      <sheetName val="Crude Steel"/>
      <sheetName val="txfyb"/>
      <sheetName val="lrjsb"/>
      <sheetName val="Segment Information"/>
      <sheetName val="对应参数表"/>
    </sheetNames>
    <sheetDataSet>
      <sheetData sheetId="0" refreshError="1"/>
      <sheetData sheetId="1" refreshError="1">
        <row r="17">
          <cell r="H17" t="str">
            <v>Perpetual Growth Rate (%)</v>
          </cell>
        </row>
        <row r="20">
          <cell r="D20" t="str">
            <v>EBITDA Multiple</v>
          </cell>
        </row>
        <row r="21">
          <cell r="D21" t="str">
            <v>Net Income Multiple(P/E)</v>
          </cell>
        </row>
        <row r="22">
          <cell r="D22" t="str">
            <v>Perpetual Growth Rate (%)</v>
          </cell>
        </row>
        <row r="23">
          <cell r="D23" t="str">
            <v>Sales Multiple</v>
          </cell>
        </row>
      </sheetData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/>
      <sheetData sheetId="30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首页"/>
      <sheetName val="说明"/>
      <sheetName val="历史报表(简化)"/>
      <sheetName val="历史报表(原始)"/>
      <sheetName val="投资现金流移动平均"/>
      <sheetName val="基本假设"/>
      <sheetName val="收入"/>
      <sheetName val="收入拆分"/>
      <sheetName val="成本拆分"/>
      <sheetName val="投资"/>
      <sheetName val="筹资"/>
      <sheetName val="预测IS"/>
      <sheetName val="预测BS"/>
      <sheetName val="预测CS"/>
      <sheetName val="财务分析"/>
      <sheetName val="预测合理性检验"/>
      <sheetName val="绝对估值"/>
      <sheetName val="敏感分析"/>
      <sheetName val="估值(可比公司)"/>
      <sheetName val="相对估值"/>
      <sheetName val="杜邦分析"/>
      <sheetName val="历史报表(单季)"/>
      <sheetName val="输出报告"/>
      <sheetName val="创建预测sheet"/>
      <sheetName val="宏观数据"/>
      <sheetName val="图表辅助"/>
      <sheetName val="市场表现_4"/>
      <sheetName val="假设"/>
    </sheetNames>
    <sheetDataSet>
      <sheetData sheetId="0" refreshError="1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/>
      <sheetData sheetId="10" refreshError="1"/>
      <sheetData sheetId="11"/>
      <sheetData sheetId="12"/>
      <sheetData sheetId="13"/>
      <sheetData sheetId="14"/>
      <sheetData sheetId="15"/>
      <sheetData sheetId="16" refreshError="1"/>
      <sheetData sheetId="17"/>
      <sheetData sheetId="18"/>
      <sheetData sheetId="19"/>
      <sheetData sheetId="20"/>
      <sheetData sheetId="21"/>
      <sheetData sheetId="22"/>
      <sheetData sheetId="23"/>
      <sheetData sheetId="24" refreshError="1"/>
      <sheetData sheetId="25" refreshError="1"/>
      <sheetData sheetId="26" refreshError="1"/>
      <sheetData sheetId="2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&amp;L"/>
      <sheetName val="Layout"/>
      <sheetName val="销售收入"/>
      <sheetName val="Jihe WestInt_Paid"/>
      <sheetName val="A"/>
      <sheetName val="Oil Consumption – barrels"/>
      <sheetName val="Valuation"/>
      <sheetName val="SEA"/>
      <sheetName val="Circuit(ok)"/>
      <sheetName val="Component(ok)"/>
      <sheetName val="Packing(ok)"/>
      <sheetName val="Plastic(ok)"/>
      <sheetName val="Telecom(ok)"/>
      <sheetName val="全国及钢铁行业PMI指数"/>
      <sheetName val="不锈钢价格库存及镍价格库存数据"/>
      <sheetName val="出口数量前十的国家地区"/>
      <sheetName val="大宗电子盘交易价格"/>
      <sheetName val="电工钢数据"/>
      <sheetName val="二线重点区域钢材价格"/>
      <sheetName val="国内钢材价格"/>
      <sheetName val="主要钢材品种毛利"/>
      <sheetName val="国际钢材价格"/>
      <sheetName val="国内钢铁产量"/>
      <sheetName val="海外宏观"/>
      <sheetName val="海运费价格"/>
      <sheetName val="韩国、美国和欧盟各品种钢材价格"/>
      <sheetName val="机械类主要下游投资情况"/>
      <sheetName val="机械类主要下游生产情况"/>
      <sheetName val="基建行业"/>
      <sheetName val="钢铁行业主要产品进出口"/>
      <sheetName val="进口数量前十的国家地区"/>
      <sheetName val="社会库存季节性变动（原口径）"/>
      <sheetName val="钢材社会库存与钢价的关系（新口径）"/>
      <sheetName val="期现分析"/>
      <sheetName val="水泥行业"/>
      <sheetName val="铁矿石掉期合约"/>
      <sheetName val="钢铁下游PMI指数"/>
      <sheetName val="小品种钢材品种价格"/>
      <sheetName val="钢材社会库存(新口径)"/>
      <sheetName val="印度、南欧和巴西各品种钢材价格"/>
      <sheetName val="钢材出口vs全国产量"/>
      <sheetName val="Jihe_WestInt_Paid"/>
      <sheetName val="Model"/>
      <sheetName val="CRB估值EVEBITDA"/>
      <sheetName val="ALLINDEX2"/>
      <sheetName val="Sheet1"/>
      <sheetName val="设置"/>
      <sheetName val="目录"/>
      <sheetName val="5、宏观"/>
      <sheetName val="2、中观行业-中游"/>
      <sheetName val="1、中观行业-下游"/>
      <sheetName val="BS"/>
      <sheetName val="FXRATES"/>
      <sheetName val="Contents"/>
      <sheetName val="FCF Ranking"/>
      <sheetName val="其它金属"/>
      <sheetName val="铝"/>
      <sheetName val="大宗商品"/>
      <sheetName val="贵金属"/>
      <sheetName val="宏观数据"/>
      <sheetName val="铜"/>
      <sheetName val="镍"/>
      <sheetName val="铅"/>
      <sheetName val="稀土"/>
      <sheetName val="锡"/>
      <sheetName val="锌"/>
      <sheetName val="backup行业走势"/>
      <sheetName val="Balance Sheet"/>
      <sheetName val="Cashflow"/>
      <sheetName val="Income Statement"/>
      <sheetName val="Output for Monthly"/>
      <sheetName val="GS_DCF"/>
      <sheetName val="SMR"/>
      <sheetName val="投资"/>
      <sheetName val="筹资"/>
      <sheetName val="绝对估值"/>
      <sheetName val="首页"/>
      <sheetName val="NWDP&amp;L"/>
      <sheetName val="Assumptions"/>
      <sheetName val="Stock Prices"/>
      <sheetName val="HK rates"/>
      <sheetName val="Utility Returns"/>
      <sheetName val="industry output"/>
      <sheetName val="Amzn"/>
      <sheetName val="TBI NAV"/>
      <sheetName val="Cmdty scenarios"/>
      <sheetName val="offshore ETF"/>
      <sheetName val="银证转账"/>
      <sheetName val="ATB Cost"/>
      <sheetName val="GEMiner"/>
    </sheetNames>
    <sheetDataSet>
      <sheetData sheetId="0"/>
      <sheetData sheetId="1" refreshError="1">
        <row r="1">
          <cell r="A1">
            <v>0</v>
          </cell>
        </row>
        <row r="2">
          <cell r="C2" t="str">
            <v>HOLD (MAINTAINED)</v>
          </cell>
          <cell r="K2" t="str">
            <v>SHANGHAI DAZHONG TAXI CO.</v>
          </cell>
          <cell r="P2" t="str">
            <v xml:space="preserve">     Price:
Reuters:</v>
          </cell>
          <cell r="R2" t="str">
            <v>US$0.400
 900903.SS</v>
          </cell>
        </row>
        <row r="4">
          <cell r="B4" t="str">
            <v>MAIN POINTS</v>
          </cell>
          <cell r="L4" t="str">
            <v>SHARE DATA</v>
          </cell>
        </row>
        <row r="5">
          <cell r="M5" t="str">
            <v>Total no of shs</v>
          </cell>
          <cell r="O5">
            <v>426</v>
          </cell>
          <cell r="P5" t="str">
            <v>m</v>
          </cell>
          <cell r="Q5" t="str">
            <v>Price/book ratio</v>
          </cell>
          <cell r="S5">
            <v>2.819677045802004</v>
          </cell>
        </row>
        <row r="6">
          <cell r="M6" t="str">
            <v>No of shares (B)</v>
          </cell>
          <cell r="O6">
            <v>202</v>
          </cell>
          <cell r="P6" t="str">
            <v>m</v>
          </cell>
          <cell r="Q6" t="str">
            <v>Beta</v>
          </cell>
        </row>
        <row r="7">
          <cell r="M7" t="str">
            <v>Market cap. (B) (US$)</v>
          </cell>
          <cell r="O7">
            <v>80.800000000000011</v>
          </cell>
          <cell r="P7" t="str">
            <v>m</v>
          </cell>
        </row>
        <row r="9">
          <cell r="L9" t="str">
            <v>CAPITAL HISTORY</v>
          </cell>
        </row>
        <row r="20">
          <cell r="L20" t="str">
            <v>MAJOR SHAREHOLDERS (%)</v>
          </cell>
        </row>
        <row r="27">
          <cell r="B27" t="str">
            <v>FORECASTS AND RATINGS</v>
          </cell>
          <cell r="L27" t="str">
            <v>PRICE CHART</v>
          </cell>
        </row>
        <row r="28">
          <cell r="C28" t="str">
            <v>Yr to Dec</v>
          </cell>
          <cell r="E28">
            <v>96</v>
          </cell>
          <cell r="F28">
            <v>97</v>
          </cell>
          <cell r="G28" t="str">
            <v>98F</v>
          </cell>
          <cell r="H28" t="str">
            <v>99F</v>
          </cell>
          <cell r="I28" t="str">
            <v>00F</v>
          </cell>
        </row>
        <row r="30">
          <cell r="C30" t="str">
            <v>(Rmb m)</v>
          </cell>
        </row>
        <row r="31">
          <cell r="C31" t="str">
            <v>Turnover</v>
          </cell>
          <cell r="E31">
            <v>235.96899999999999</v>
          </cell>
          <cell r="F31">
            <v>306.22610516666663</v>
          </cell>
          <cell r="G31">
            <v>362.12610696179485</v>
          </cell>
          <cell r="H31">
            <v>413.98557312302569</v>
          </cell>
          <cell r="I31">
            <v>448.57770625577638</v>
          </cell>
        </row>
        <row r="32">
          <cell r="C32" t="str">
            <v>GP</v>
          </cell>
          <cell r="E32">
            <v>89.841999999999985</v>
          </cell>
          <cell r="F32">
            <v>114.3751051666666</v>
          </cell>
          <cell r="G32">
            <v>150.94898528131063</v>
          </cell>
          <cell r="H32">
            <v>174.72556732171444</v>
          </cell>
          <cell r="I32">
            <v>191.4824603703172</v>
          </cell>
        </row>
        <row r="33">
          <cell r="C33" t="str">
            <v>EBIT</v>
          </cell>
          <cell r="E33">
            <v>119.46699999999998</v>
          </cell>
          <cell r="F33">
            <v>165.23610516666662</v>
          </cell>
          <cell r="G33">
            <v>172.7914121873313</v>
          </cell>
          <cell r="H33">
            <v>200.21061278563266</v>
          </cell>
          <cell r="I33">
            <v>214.09692825477205</v>
          </cell>
        </row>
        <row r="34">
          <cell r="C34" t="str">
            <v>PBT</v>
          </cell>
          <cell r="E34">
            <v>116.47599999999998</v>
          </cell>
          <cell r="F34">
            <v>161.45210516666663</v>
          </cell>
          <cell r="G34">
            <v>170.7914121873313</v>
          </cell>
          <cell r="H34">
            <v>198.21061278563266</v>
          </cell>
          <cell r="I34">
            <v>213.09692825477205</v>
          </cell>
        </row>
        <row r="37">
          <cell r="C37" t="str">
            <v>NPAT</v>
          </cell>
          <cell r="E37">
            <v>110.00899999999999</v>
          </cell>
          <cell r="F37">
            <v>145.35510516666662</v>
          </cell>
          <cell r="G37">
            <v>157.12809921234481</v>
          </cell>
          <cell r="H37">
            <v>182.35376376278205</v>
          </cell>
          <cell r="I37">
            <v>196.04917399439029</v>
          </cell>
        </row>
        <row r="38">
          <cell r="C38" t="str">
            <v>FD EPS (Rmb)</v>
          </cell>
          <cell r="E38">
            <v>0.51647417840375576</v>
          </cell>
          <cell r="F38">
            <v>0.34120916705790288</v>
          </cell>
          <cell r="G38">
            <v>0.36884530331536342</v>
          </cell>
          <cell r="H38">
            <v>0.42806047831638977</v>
          </cell>
          <cell r="I38">
            <v>0.46020932862532932</v>
          </cell>
        </row>
        <row r="39">
          <cell r="C39" t="str">
            <v>EPS (% ch)</v>
          </cell>
          <cell r="E39">
            <v>-19.248001280878292</v>
          </cell>
          <cell r="F39">
            <v>-33.934902977635161</v>
          </cell>
          <cell r="G39">
            <v>8.0994706255270934</v>
          </cell>
          <cell r="H39">
            <v>16.05420333911567</v>
          </cell>
          <cell r="I39">
            <v>7.5103523771651526</v>
          </cell>
        </row>
        <row r="40">
          <cell r="C40" t="str">
            <v>PER (x)</v>
          </cell>
          <cell r="E40">
            <v>6.4282013289821762</v>
          </cell>
          <cell r="F40">
            <v>9.7301020034921848</v>
          </cell>
          <cell r="G40">
            <v>9.0010635086259843</v>
          </cell>
          <cell r="H40">
            <v>7.7559134005034416</v>
          </cell>
          <cell r="I40">
            <v>7.2141084360828227</v>
          </cell>
        </row>
        <row r="42">
          <cell r="C42" t="str">
            <v>Div (Rmb)</v>
          </cell>
          <cell r="E42">
            <v>0</v>
          </cell>
          <cell r="F42">
            <v>0.119423208470266</v>
          </cell>
          <cell r="G42">
            <v>0.1401612152598381</v>
          </cell>
          <cell r="H42">
            <v>0.16266298176022811</v>
          </cell>
          <cell r="I42">
            <v>0.17487954487762514</v>
          </cell>
        </row>
        <row r="43">
          <cell r="C43" t="str">
            <v>Yield (%)</v>
          </cell>
          <cell r="E43" t="str">
            <v>N/A</v>
          </cell>
          <cell r="F43">
            <v>3.5970845924778914E-2</v>
          </cell>
          <cell r="G43">
            <v>4.2217233511999422E-2</v>
          </cell>
          <cell r="H43">
            <v>4.8994874024165087E-2</v>
          </cell>
          <cell r="I43">
            <v>5.2674561710128048E-2</v>
          </cell>
        </row>
        <row r="45">
          <cell r="C45" t="str">
            <v>CEPS (Rmb)</v>
          </cell>
          <cell r="E45">
            <v>0.65817370892018778</v>
          </cell>
          <cell r="F45">
            <v>0.33795070422535212</v>
          </cell>
          <cell r="G45">
            <v>0.32960996141392324</v>
          </cell>
          <cell r="H45">
            <v>0.37478105869573397</v>
          </cell>
          <cell r="I45">
            <v>0.41043179322114914</v>
          </cell>
        </row>
        <row r="46">
          <cell r="C46" t="str">
            <v>CEM (x)</v>
          </cell>
          <cell r="E46">
            <v>5.0442610438615896</v>
          </cell>
          <cell r="F46">
            <v>9.8239179812040263</v>
          </cell>
          <cell r="G46">
            <v>10.072511115132087</v>
          </cell>
          <cell r="H46">
            <v>8.8585053138860541</v>
          </cell>
          <cell r="I46">
            <v>8.0890419671049116</v>
          </cell>
        </row>
        <row r="49">
          <cell r="B49" t="str">
            <v>BUSINESS BACKGROUND</v>
          </cell>
          <cell r="L49" t="str">
            <v>OUTLOOK</v>
          </cell>
        </row>
        <row r="86">
          <cell r="B86" t="str">
            <v>ilb</v>
          </cell>
          <cell r="K86" t="str">
            <v>1</v>
          </cell>
          <cell r="T86" t="str">
            <v>China Stock Market Review, November 1998</v>
          </cell>
        </row>
        <row r="87">
          <cell r="V87" t="str">
            <v>SERVICE</v>
          </cell>
          <cell r="AM87" t="str">
            <v>SHANGHAI DAZHONG</v>
          </cell>
        </row>
        <row r="88">
          <cell r="V88" t="str">
            <v>PROFIT BREAKDOWN (Rmb m)</v>
          </cell>
          <cell r="AF88" t="str">
            <v>CASH FLOW (Rmb m)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</row>
        <row r="89">
          <cell r="W89" t="str">
            <v>Yr to Dec</v>
          </cell>
          <cell r="Y89">
            <v>96</v>
          </cell>
          <cell r="Z89">
            <v>97</v>
          </cell>
          <cell r="AA89" t="str">
            <v>98F</v>
          </cell>
          <cell r="AB89" t="str">
            <v>99F</v>
          </cell>
          <cell r="AC89" t="str">
            <v>00F</v>
          </cell>
          <cell r="AG89" t="str">
            <v>Yr to Dec</v>
          </cell>
          <cell r="AI89">
            <v>96</v>
          </cell>
          <cell r="AJ89">
            <v>97</v>
          </cell>
          <cell r="AK89" t="str">
            <v>98F</v>
          </cell>
          <cell r="AL89" t="str">
            <v>99F</v>
          </cell>
          <cell r="AM89" t="str">
            <v>00F</v>
          </cell>
        </row>
        <row r="90">
          <cell r="W90" t="str">
            <v xml:space="preserve">Taxi </v>
          </cell>
          <cell r="Y90">
            <v>192.70064999999997</v>
          </cell>
          <cell r="Z90">
            <v>230.90124</v>
          </cell>
          <cell r="AA90">
            <v>295.32664</v>
          </cell>
          <cell r="AB90">
            <v>341.07120000000003</v>
          </cell>
          <cell r="AC90">
            <v>380.06233299999997</v>
          </cell>
        </row>
        <row r="91">
          <cell r="W91" t="str">
            <v>Car rental</v>
          </cell>
          <cell r="Y91">
            <v>19.733055833333331</v>
          </cell>
          <cell r="Z91">
            <v>23.714865166666662</v>
          </cell>
          <cell r="AA91">
            <v>30.741005423333341</v>
          </cell>
          <cell r="AB91">
            <v>35.886680815333342</v>
          </cell>
          <cell r="AC91">
            <v>43.798450178853336</v>
          </cell>
          <cell r="AG91" t="str">
            <v>PBT</v>
          </cell>
          <cell r="AI91">
            <v>116.473</v>
          </cell>
          <cell r="AJ91">
            <v>161.49100000000001</v>
          </cell>
          <cell r="AK91">
            <v>170.7914121873313</v>
          </cell>
          <cell r="AL91">
            <v>198.21061278563266</v>
          </cell>
          <cell r="AM91">
            <v>213.09692825477205</v>
          </cell>
        </row>
        <row r="92">
          <cell r="W92" t="str">
            <v>Property</v>
          </cell>
          <cell r="Y92">
            <v>23.504999999999999</v>
          </cell>
          <cell r="Z92">
            <v>37.929000000000002</v>
          </cell>
          <cell r="AA92">
            <v>21.52</v>
          </cell>
          <cell r="AB92">
            <v>21.52</v>
          </cell>
          <cell r="AC92">
            <v>10.76</v>
          </cell>
          <cell r="AG92" t="str">
            <v xml:space="preserve">    Depreciation of FA</v>
          </cell>
          <cell r="AI92">
            <v>71.593999999999994</v>
          </cell>
          <cell r="AJ92">
            <v>65.915999999999997</v>
          </cell>
          <cell r="AK92">
            <v>83.385024000000001</v>
          </cell>
          <cell r="AL92">
            <v>94.76090880000001</v>
          </cell>
          <cell r="AM92">
            <v>109.03141055999998</v>
          </cell>
        </row>
        <row r="93">
          <cell r="W93" t="str">
            <v>Others</v>
          </cell>
          <cell r="Y93">
            <v>3.0294166666696043E-2</v>
          </cell>
          <cell r="Z93">
            <v>13.680999999999999</v>
          </cell>
          <cell r="AA93">
            <v>14.53846153846154</v>
          </cell>
          <cell r="AB93">
            <v>15.507692307692308</v>
          </cell>
          <cell r="AC93">
            <v>13.956923076923077</v>
          </cell>
          <cell r="AG93" t="str">
            <v xml:space="preserve">    Disposal of FA</v>
          </cell>
          <cell r="AI93">
            <v>-3.4750000000000001</v>
          </cell>
          <cell r="AJ93">
            <v>-8.5730000000000004</v>
          </cell>
          <cell r="AK93">
            <v>-9.4303000000000008</v>
          </cell>
          <cell r="AL93">
            <v>-10.373330000000001</v>
          </cell>
          <cell r="AM93">
            <v>-11.410663000000001</v>
          </cell>
        </row>
        <row r="94">
          <cell r="W94" t="str">
            <v>Turnover</v>
          </cell>
          <cell r="Y94">
            <v>235.96899999999999</v>
          </cell>
          <cell r="Z94">
            <v>306.22610516666663</v>
          </cell>
          <cell r="AA94">
            <v>362.12610696179485</v>
          </cell>
          <cell r="AB94">
            <v>413.98557312302569</v>
          </cell>
          <cell r="AC94">
            <v>448.57770625577638</v>
          </cell>
          <cell r="AG94" t="str">
            <v xml:space="preserve">    Amortizations</v>
          </cell>
          <cell r="AI94">
            <v>3.129</v>
          </cell>
          <cell r="AJ94">
            <v>4.7130000000000001</v>
          </cell>
          <cell r="AK94">
            <v>0</v>
          </cell>
          <cell r="AL94">
            <v>0</v>
          </cell>
          <cell r="AM94">
            <v>0</v>
          </cell>
        </row>
        <row r="95">
          <cell r="AG95" t="str">
            <v xml:space="preserve">    Interest expense</v>
          </cell>
          <cell r="AI95">
            <v>9.6679999999999993</v>
          </cell>
          <cell r="AJ95">
            <v>7.9729999999999999</v>
          </cell>
          <cell r="AK95">
            <v>2</v>
          </cell>
          <cell r="AL95">
            <v>2</v>
          </cell>
          <cell r="AM95">
            <v>1</v>
          </cell>
        </row>
        <row r="96">
          <cell r="W96" t="str">
            <v>turnover tax</v>
          </cell>
          <cell r="Y96">
            <v>-10.227</v>
          </cell>
          <cell r="Z96">
            <v>-12.944000000000001</v>
          </cell>
          <cell r="AA96">
            <v>-15.306860680484213</v>
          </cell>
          <cell r="AB96">
            <v>-17.498930261311187</v>
          </cell>
          <cell r="AC96">
            <v>-18.961119681859206</v>
          </cell>
          <cell r="AG96" t="str">
            <v>Cash from operations</v>
          </cell>
          <cell r="AI96">
            <v>30.569000000000027</v>
          </cell>
          <cell r="AJ96">
            <v>-69.10199999999999</v>
          </cell>
          <cell r="AK96">
            <v>52.797043562331346</v>
          </cell>
          <cell r="AL96">
            <v>122.60419100438264</v>
          </cell>
          <cell r="AM96">
            <v>158.20320691220957</v>
          </cell>
        </row>
        <row r="97">
          <cell r="W97" t="str">
            <v>Taxi renta</v>
          </cell>
          <cell r="Y97">
            <v>-59.96230666666667</v>
          </cell>
          <cell r="Z97">
            <v>-69.715679999999992</v>
          </cell>
          <cell r="AA97">
            <v>-85.759121000000007</v>
          </cell>
          <cell r="AB97">
            <v>-97.922458500000005</v>
          </cell>
          <cell r="AC97">
            <v>-112.09460824999999</v>
          </cell>
          <cell r="AG97" t="str">
            <v xml:space="preserve">    Income tax paid</v>
          </cell>
          <cell r="AI97">
            <v>-6.3739999999999997</v>
          </cell>
          <cell r="AJ97">
            <v>-8.6959999999999997</v>
          </cell>
          <cell r="AK97">
            <v>-13.663312974986505</v>
          </cell>
          <cell r="AL97">
            <v>-15.856849022850612</v>
          </cell>
          <cell r="AM97">
            <v>-17.047754260381765</v>
          </cell>
        </row>
        <row r="98">
          <cell r="W98" t="str">
            <v>Car rental</v>
          </cell>
          <cell r="Y98">
            <v>-13.478999999999999</v>
          </cell>
          <cell r="Z98">
            <v>-16.036920000000002</v>
          </cell>
          <cell r="AA98">
            <v>-17.929824</v>
          </cell>
          <cell r="AB98">
            <v>-20.680108800000003</v>
          </cell>
          <cell r="AC98">
            <v>-24.139810559999997</v>
          </cell>
          <cell r="AG98" t="str">
            <v xml:space="preserve">    Interest paid</v>
          </cell>
          <cell r="AI98">
            <v>-9.6679999999999993</v>
          </cell>
          <cell r="AJ98">
            <v>-8.6549999999999994</v>
          </cell>
          <cell r="AK98">
            <v>-2</v>
          </cell>
          <cell r="AL98">
            <v>-2</v>
          </cell>
          <cell r="AM98">
            <v>-1</v>
          </cell>
        </row>
        <row r="99">
          <cell r="W99" t="str">
            <v>Property cost</v>
          </cell>
          <cell r="Y99">
            <v>-14.18</v>
          </cell>
          <cell r="Z99">
            <v>-24.375</v>
          </cell>
          <cell r="AA99">
            <v>-13.7728</v>
          </cell>
          <cell r="AB99">
            <v>-13.7728</v>
          </cell>
          <cell r="AC99">
            <v>0</v>
          </cell>
          <cell r="AG99" t="str">
            <v xml:space="preserve">    Interest received</v>
          </cell>
          <cell r="AI99">
            <v>5.0469999999999997</v>
          </cell>
          <cell r="AJ99">
            <v>3.2050000000000001</v>
          </cell>
          <cell r="AK99">
            <v>4.1890000000000001</v>
          </cell>
          <cell r="AL99">
            <v>4.1890000000000001</v>
          </cell>
          <cell r="AM99">
            <v>4.1890000000000001</v>
          </cell>
        </row>
        <row r="100">
          <cell r="W100" t="str">
            <v>Others</v>
          </cell>
          <cell r="Y100">
            <v>-48.278693333333344</v>
          </cell>
          <cell r="Z100">
            <v>-68.77940000000001</v>
          </cell>
          <cell r="AA100">
            <v>-78.408516000000006</v>
          </cell>
          <cell r="AB100">
            <v>-89.38570824</v>
          </cell>
          <cell r="AC100">
            <v>-101.8997073936</v>
          </cell>
          <cell r="AG100" t="str">
            <v>Cash generated fr. op</v>
          </cell>
          <cell r="AI100">
            <v>19.57400000000003</v>
          </cell>
          <cell r="AJ100">
            <v>-83.24799999999999</v>
          </cell>
          <cell r="AK100">
            <v>41.322730587344843</v>
          </cell>
          <cell r="AL100">
            <v>108.93634198153202</v>
          </cell>
          <cell r="AM100">
            <v>144.34445265182779</v>
          </cell>
        </row>
        <row r="101">
          <cell r="W101" t="str">
            <v>Total cost</v>
          </cell>
          <cell r="Y101">
            <v>-135.9</v>
          </cell>
          <cell r="Z101">
            <v>-178.90700000000001</v>
          </cell>
          <cell r="AA101">
            <v>-195.87026100000003</v>
          </cell>
          <cell r="AB101">
            <v>-221.76107554000004</v>
          </cell>
          <cell r="AC101">
            <v>-238.13412620359998</v>
          </cell>
          <cell r="AG101" t="str">
            <v xml:space="preserve">   Chg. in S-T invest.</v>
          </cell>
          <cell r="AI101">
            <v>-1</v>
          </cell>
          <cell r="AJ101">
            <v>3.677</v>
          </cell>
          <cell r="AK101">
            <v>-0.52119999999999989</v>
          </cell>
          <cell r="AL101">
            <v>-0.62543999999999977</v>
          </cell>
          <cell r="AM101">
            <v>-0.75052800000000008</v>
          </cell>
        </row>
        <row r="102">
          <cell r="W102" t="str">
            <v>Gross profit</v>
          </cell>
          <cell r="Y102">
            <v>89.841999999999985</v>
          </cell>
          <cell r="Z102">
            <v>114.3751051666666</v>
          </cell>
          <cell r="AA102">
            <v>150.94898528131063</v>
          </cell>
          <cell r="AB102">
            <v>174.72556732171444</v>
          </cell>
          <cell r="AC102">
            <v>191.4824603703172</v>
          </cell>
          <cell r="AG102" t="str">
            <v xml:space="preserve">   De. in investments</v>
          </cell>
          <cell r="AI102">
            <v>-49.777000000000001</v>
          </cell>
          <cell r="AJ102">
            <v>51.831000000000003</v>
          </cell>
          <cell r="AK102">
            <v>-196.1352</v>
          </cell>
          <cell r="AL102">
            <v>52.302719999999965</v>
          </cell>
          <cell r="AM102">
            <v>47.072448000000009</v>
          </cell>
        </row>
        <row r="103">
          <cell r="W103" t="str">
            <v>S G &amp; A</v>
          </cell>
          <cell r="Y103">
            <v>-40.6</v>
          </cell>
          <cell r="Z103">
            <v>-64.492999999999995</v>
          </cell>
          <cell r="AA103">
            <v>-76.265865718979313</v>
          </cell>
          <cell r="AB103">
            <v>-85.482415117331769</v>
          </cell>
          <cell r="AC103">
            <v>-92.572764018107662</v>
          </cell>
          <cell r="AG103" t="str">
            <v xml:space="preserve">   Investment income </v>
          </cell>
          <cell r="AI103">
            <v>22.821999999999999</v>
          </cell>
          <cell r="AJ103">
            <v>77.983000000000004</v>
          </cell>
          <cell r="AK103">
            <v>102.143292625</v>
          </cell>
          <cell r="AL103">
            <v>120.75246058124999</v>
          </cell>
          <cell r="AM103">
            <v>132.6847319025625</v>
          </cell>
        </row>
        <row r="104">
          <cell r="W104" t="str">
            <v>OP Profit</v>
          </cell>
          <cell r="Y104">
            <v>49.241999999999983</v>
          </cell>
          <cell r="Z104">
            <v>49.882105166666605</v>
          </cell>
          <cell r="AA104">
            <v>74.683119562331314</v>
          </cell>
          <cell r="AB104">
            <v>89.243152204382667</v>
          </cell>
          <cell r="AC104">
            <v>98.909696352209536</v>
          </cell>
          <cell r="AG104" t="str">
            <v xml:space="preserve">   Add in FA and CIP</v>
          </cell>
          <cell r="AI104">
            <v>-203.42599999999999</v>
          </cell>
          <cell r="AJ104">
            <v>-215.334</v>
          </cell>
          <cell r="AK104">
            <v>-169.99202400000001</v>
          </cell>
          <cell r="AL104">
            <v>-133.56895880000008</v>
          </cell>
          <cell r="AM104">
            <v>-135.92274306000004</v>
          </cell>
        </row>
        <row r="105">
          <cell r="AG105" t="str">
            <v>Cash used in invest</v>
          </cell>
          <cell r="AI105">
            <v>-207.92500000000001</v>
          </cell>
          <cell r="AJ105">
            <v>-68.142999999999986</v>
          </cell>
          <cell r="AK105">
            <v>-255.07483137500003</v>
          </cell>
          <cell r="AL105">
            <v>49.234111781249901</v>
          </cell>
          <cell r="AM105">
            <v>54.494571842562465</v>
          </cell>
        </row>
        <row r="106">
          <cell r="W106" t="str">
            <v>Vehicle sales gains</v>
          </cell>
          <cell r="Y106">
            <v>3.4750000000000001</v>
          </cell>
          <cell r="Z106">
            <v>8.5730000000000004</v>
          </cell>
          <cell r="AA106">
            <v>5.9649999999999999</v>
          </cell>
          <cell r="AB106">
            <v>4.7149999999999999</v>
          </cell>
          <cell r="AC106">
            <v>3.5274999999999999</v>
          </cell>
          <cell r="AG106" t="str">
            <v xml:space="preserve">Cash fr financing </v>
          </cell>
          <cell r="AI106">
            <v>247.47800000000001</v>
          </cell>
          <cell r="AJ106">
            <v>155.28700000000003</v>
          </cell>
          <cell r="AK106">
            <v>270.09132229930896</v>
          </cell>
          <cell r="AL106">
            <v>-184.29443022985717</v>
          </cell>
          <cell r="AM106">
            <v>-164.89868611786829</v>
          </cell>
        </row>
        <row r="107">
          <cell r="W107" t="str">
            <v>Dazhong Insurance</v>
          </cell>
          <cell r="Y107">
            <v>15.798999999999999</v>
          </cell>
          <cell r="Z107">
            <v>10.35</v>
          </cell>
          <cell r="AA107">
            <v>13.046252624999999</v>
          </cell>
          <cell r="AB107">
            <v>16.30781578125</v>
          </cell>
          <cell r="AC107">
            <v>20.384769726562499</v>
          </cell>
          <cell r="AG107" t="str">
            <v>Change in cash</v>
          </cell>
          <cell r="AI107">
            <v>59.127000000000038</v>
          </cell>
          <cell r="AJ107">
            <v>3.8960000000000719</v>
          </cell>
          <cell r="AK107">
            <v>56.339221511653761</v>
          </cell>
          <cell r="AL107">
            <v>-26.123976467075238</v>
          </cell>
          <cell r="AM107">
            <v>33.940338376521964</v>
          </cell>
        </row>
        <row r="108">
          <cell r="W108" t="str">
            <v>Pudong Dazhong</v>
          </cell>
          <cell r="Y108">
            <v>17.835000000000001</v>
          </cell>
          <cell r="Z108">
            <v>12.789375</v>
          </cell>
          <cell r="AA108">
            <v>7.7669999999999995</v>
          </cell>
          <cell r="AB108">
            <v>7.7669999999999995</v>
          </cell>
          <cell r="AC108">
            <v>7.7669999999999995</v>
          </cell>
          <cell r="AG108" t="str">
            <v>Cash, begin of yr.</v>
          </cell>
          <cell r="AI108">
            <v>64.123000000000005</v>
          </cell>
          <cell r="AJ108">
            <v>123.25</v>
          </cell>
          <cell r="AK108">
            <v>127.146</v>
          </cell>
          <cell r="AL108">
            <v>183.48522151165378</v>
          </cell>
          <cell r="AM108">
            <v>157.36124504457854</v>
          </cell>
        </row>
        <row r="109">
          <cell r="W109" t="str">
            <v xml:space="preserve">Only One </v>
          </cell>
          <cell r="Y109">
            <v>0</v>
          </cell>
          <cell r="Z109">
            <v>0</v>
          </cell>
          <cell r="AA109">
            <v>10</v>
          </cell>
          <cell r="AB109">
            <v>14.5</v>
          </cell>
          <cell r="AC109">
            <v>21.024999999999999</v>
          </cell>
          <cell r="AG109" t="str">
            <v>Cash, end of yr.</v>
          </cell>
          <cell r="AI109">
            <v>123.25</v>
          </cell>
          <cell r="AJ109">
            <v>127.146</v>
          </cell>
          <cell r="AK109">
            <v>183.48522151165378</v>
          </cell>
          <cell r="AL109">
            <v>157.36124504457854</v>
          </cell>
          <cell r="AM109">
            <v>191.3015834211005</v>
          </cell>
        </row>
        <row r="110">
          <cell r="W110" t="str">
            <v>Other invest. income</v>
          </cell>
          <cell r="Y110">
            <v>17.844999999999999</v>
          </cell>
          <cell r="Z110">
            <v>21.641249999999999</v>
          </cell>
          <cell r="AA110">
            <v>29.33004</v>
          </cell>
          <cell r="AB110">
            <v>35.177644799999996</v>
          </cell>
          <cell r="AC110">
            <v>36.507962176000007</v>
          </cell>
        </row>
        <row r="111">
          <cell r="W111" t="str">
            <v>interest expense</v>
          </cell>
          <cell r="Y111">
            <v>-2.9910000000000001</v>
          </cell>
          <cell r="Z111">
            <v>-3.7839999999999998</v>
          </cell>
          <cell r="AA111">
            <v>-2</v>
          </cell>
          <cell r="AB111">
            <v>-2</v>
          </cell>
          <cell r="AC111">
            <v>-1</v>
          </cell>
        </row>
        <row r="112">
          <cell r="W112" t="str">
            <v>Gain on disposal</v>
          </cell>
          <cell r="Y112">
            <v>0</v>
          </cell>
          <cell r="Z112">
            <v>0</v>
          </cell>
          <cell r="AA112">
            <v>0</v>
          </cell>
          <cell r="AB112">
            <v>0</v>
          </cell>
          <cell r="AC112">
            <v>0</v>
          </cell>
        </row>
        <row r="113">
          <cell r="W113" t="str">
            <v>Bond coupons</v>
          </cell>
          <cell r="Y113">
            <v>0</v>
          </cell>
          <cell r="Z113">
            <v>0</v>
          </cell>
          <cell r="AA113">
            <v>0</v>
          </cell>
          <cell r="AB113">
            <v>0</v>
          </cell>
          <cell r="AC113">
            <v>0</v>
          </cell>
        </row>
        <row r="114">
          <cell r="W114" t="str">
            <v>Net forex</v>
          </cell>
          <cell r="Y114">
            <v>0</v>
          </cell>
          <cell r="Z114">
            <v>0</v>
          </cell>
          <cell r="AA114">
            <v>0</v>
          </cell>
          <cell r="AB114">
            <v>0</v>
          </cell>
          <cell r="AC114">
            <v>0</v>
          </cell>
        </row>
        <row r="115">
          <cell r="W115" t="str">
            <v>Other</v>
          </cell>
          <cell r="Y115">
            <v>15.271000000000004</v>
          </cell>
          <cell r="Z115">
            <v>62.000375000000012</v>
          </cell>
          <cell r="AA115">
            <v>42</v>
          </cell>
          <cell r="AB115">
            <v>47</v>
          </cell>
          <cell r="AC115">
            <v>47</v>
          </cell>
        </row>
        <row r="116">
          <cell r="W116" t="str">
            <v>Pre-tax Profit</v>
          </cell>
          <cell r="Y116">
            <v>116.47599999999998</v>
          </cell>
          <cell r="Z116">
            <v>161.45210516666663</v>
          </cell>
          <cell r="AA116">
            <v>170.7914121873313</v>
          </cell>
          <cell r="AB116">
            <v>198.21061278563266</v>
          </cell>
          <cell r="AC116">
            <v>213.09692825477205</v>
          </cell>
        </row>
        <row r="117">
          <cell r="W117" t="str">
            <v>Tax</v>
          </cell>
          <cell r="Y117">
            <v>-6.4669999999999996</v>
          </cell>
          <cell r="Z117">
            <v>-16.097000000000001</v>
          </cell>
          <cell r="AA117">
            <v>-13.663312974986505</v>
          </cell>
          <cell r="AB117">
            <v>-15.856849022850612</v>
          </cell>
          <cell r="AC117">
            <v>-17.047754260381765</v>
          </cell>
        </row>
        <row r="118">
          <cell r="W118" t="str">
            <v>NPAT</v>
          </cell>
          <cell r="Y118">
            <v>110.00899999999999</v>
          </cell>
          <cell r="Z118">
            <v>145.35510516666662</v>
          </cell>
          <cell r="AA118">
            <v>157.12809921234481</v>
          </cell>
          <cell r="AB118">
            <v>182.35376376278205</v>
          </cell>
          <cell r="AC118">
            <v>196.04917399439029</v>
          </cell>
        </row>
        <row r="122">
          <cell r="V122" t="str">
            <v xml:space="preserve">FORECAST ASSUMPTIONS </v>
          </cell>
          <cell r="AF122" t="str">
            <v>EXPANSION</v>
          </cell>
          <cell r="AG122">
            <v>0</v>
          </cell>
          <cell r="AH122">
            <v>0</v>
          </cell>
          <cell r="AI122">
            <v>0</v>
          </cell>
          <cell r="AJ122">
            <v>0</v>
          </cell>
          <cell r="AK122">
            <v>0</v>
          </cell>
          <cell r="AL122">
            <v>0</v>
          </cell>
          <cell r="AM122">
            <v>0</v>
          </cell>
          <cell r="AN122">
            <v>0</v>
          </cell>
        </row>
        <row r="123">
          <cell r="Z123">
            <v>97</v>
          </cell>
          <cell r="AA123" t="str">
            <v>98F</v>
          </cell>
          <cell r="AB123" t="str">
            <v>99F</v>
          </cell>
          <cell r="AC123" t="str">
            <v>00F</v>
          </cell>
        </row>
        <row r="125">
          <cell r="W125" t="str">
            <v>Taxi Fleet Forecast</v>
          </cell>
        </row>
        <row r="127">
          <cell r="W127" t="str">
            <v># of Taxi owned (1/1)</v>
          </cell>
          <cell r="Z127">
            <v>1877</v>
          </cell>
          <cell r="AA127">
            <v>2227</v>
          </cell>
          <cell r="AB127">
            <v>2577</v>
          </cell>
          <cell r="AC127">
            <v>2877</v>
          </cell>
        </row>
        <row r="128">
          <cell r="W128" t="str">
            <v>Purchase</v>
          </cell>
          <cell r="Z128">
            <v>600</v>
          </cell>
          <cell r="AA128">
            <v>600</v>
          </cell>
          <cell r="AB128">
            <v>600</v>
          </cell>
          <cell r="AC128">
            <v>600</v>
          </cell>
        </row>
        <row r="129">
          <cell r="W129" t="str">
            <v>Disposal</v>
          </cell>
          <cell r="Z129">
            <v>-250</v>
          </cell>
          <cell r="AA129">
            <v>-250</v>
          </cell>
          <cell r="AB129">
            <v>-250</v>
          </cell>
          <cell r="AC129">
            <v>-250</v>
          </cell>
        </row>
        <row r="130">
          <cell r="W130" t="str">
            <v># of Taxi owned (12/31)</v>
          </cell>
          <cell r="Z130">
            <v>2227</v>
          </cell>
          <cell r="AA130">
            <v>2577</v>
          </cell>
          <cell r="AB130">
            <v>2877</v>
          </cell>
          <cell r="AC130">
            <v>3178</v>
          </cell>
        </row>
        <row r="139">
          <cell r="V139" t="str">
            <v>BALANCE SHEET (Rmb m)</v>
          </cell>
          <cell r="AF139" t="str">
            <v>DIVIDEND DATA</v>
          </cell>
          <cell r="AG139">
            <v>0</v>
          </cell>
          <cell r="AH139">
            <v>0</v>
          </cell>
          <cell r="AI139">
            <v>0</v>
          </cell>
          <cell r="AJ139">
            <v>0</v>
          </cell>
          <cell r="AK139">
            <v>0</v>
          </cell>
          <cell r="AL139">
            <v>0</v>
          </cell>
          <cell r="AM139">
            <v>0</v>
          </cell>
          <cell r="AN139">
            <v>0</v>
          </cell>
        </row>
        <row r="140">
          <cell r="W140" t="str">
            <v>As at Dec</v>
          </cell>
          <cell r="Y140">
            <v>96</v>
          </cell>
          <cell r="Z140">
            <v>97</v>
          </cell>
          <cell r="AA140" t="str">
            <v>98F</v>
          </cell>
          <cell r="AB140" t="str">
            <v>99F</v>
          </cell>
          <cell r="AC140" t="str">
            <v>00F</v>
          </cell>
          <cell r="AG140" t="str">
            <v>Dividend</v>
          </cell>
          <cell r="AI140" t="str">
            <v>Dividend</v>
          </cell>
          <cell r="AM140" t="str">
            <v>Dividend</v>
          </cell>
        </row>
        <row r="141">
          <cell r="W141" t="str">
            <v>Share capital</v>
          </cell>
          <cell r="Y141">
            <v>212.92599999999999</v>
          </cell>
          <cell r="Z141">
            <v>425.85199999999998</v>
          </cell>
          <cell r="AA141">
            <v>425.85199999999998</v>
          </cell>
          <cell r="AB141">
            <v>425.85199999999998</v>
          </cell>
          <cell r="AC141">
            <v>425.85199999999998</v>
          </cell>
          <cell r="AG141" t="str">
            <v>Date</v>
          </cell>
          <cell r="AI141" t="str">
            <v>(Rmb)</v>
          </cell>
          <cell r="AK141" t="str">
            <v>Payout (%)</v>
          </cell>
          <cell r="AM141" t="str">
            <v>cover</v>
          </cell>
        </row>
        <row r="142">
          <cell r="W142" t="str">
            <v>Share premium</v>
          </cell>
          <cell r="Y142">
            <v>493.358</v>
          </cell>
          <cell r="Z142">
            <v>354.95499999999998</v>
          </cell>
          <cell r="AA142">
            <v>354.95499999999998</v>
          </cell>
          <cell r="AB142">
            <v>354.95499999999998</v>
          </cell>
          <cell r="AC142">
            <v>354.95499999999998</v>
          </cell>
          <cell r="AG142" t="str">
            <v>5/4/1995</v>
          </cell>
          <cell r="AI142">
            <v>0.22</v>
          </cell>
          <cell r="AK142">
            <v>38.299999999999997</v>
          </cell>
          <cell r="AM142">
            <v>2.6109660574412534</v>
          </cell>
        </row>
        <row r="143">
          <cell r="W143" t="str">
            <v>Reserves</v>
          </cell>
          <cell r="Y143">
            <v>251.89800000000008</v>
          </cell>
          <cell r="Z143">
            <v>322.95600000000002</v>
          </cell>
          <cell r="AA143">
            <v>420.37542151165383</v>
          </cell>
          <cell r="AB143">
            <v>533.43475504457865</v>
          </cell>
          <cell r="AC143">
            <v>654.98524292110062</v>
          </cell>
          <cell r="AG143" t="str">
            <v>7/1/1996</v>
          </cell>
          <cell r="AI143">
            <v>0.24</v>
          </cell>
          <cell r="AK143">
            <v>38.700000000000003</v>
          </cell>
          <cell r="AM143">
            <v>2.58</v>
          </cell>
        </row>
        <row r="144">
          <cell r="W144" t="str">
            <v>Sh'ders' funds</v>
          </cell>
          <cell r="Y144">
            <v>958.18200000000002</v>
          </cell>
          <cell r="Z144">
            <v>1103.7629999999999</v>
          </cell>
          <cell r="AA144">
            <v>1201.1824215116537</v>
          </cell>
          <cell r="AB144">
            <v>1314.2417550445787</v>
          </cell>
          <cell r="AC144">
            <v>1435.7922429211005</v>
          </cell>
        </row>
        <row r="145">
          <cell r="W145" t="str">
            <v>Long-term debt</v>
          </cell>
          <cell r="Y145">
            <v>33.5</v>
          </cell>
          <cell r="Z145">
            <v>4.7</v>
          </cell>
          <cell r="AA145">
            <v>0</v>
          </cell>
          <cell r="AB145">
            <v>0</v>
          </cell>
          <cell r="AC145">
            <v>0</v>
          </cell>
          <cell r="AF145" t="str">
            <v>SUBSIDIARIES AND ASSOCIATES (%)</v>
          </cell>
          <cell r="AG145">
            <v>0</v>
          </cell>
          <cell r="AH145">
            <v>0</v>
          </cell>
          <cell r="AI145">
            <v>0</v>
          </cell>
          <cell r="AJ145">
            <v>0</v>
          </cell>
          <cell r="AK145">
            <v>0</v>
          </cell>
          <cell r="AL145">
            <v>0</v>
          </cell>
          <cell r="AM145">
            <v>0</v>
          </cell>
          <cell r="AN145">
            <v>0</v>
          </cell>
        </row>
        <row r="146">
          <cell r="W146" t="str">
            <v>Minorities</v>
          </cell>
          <cell r="Y146">
            <v>0</v>
          </cell>
          <cell r="Z146">
            <v>0</v>
          </cell>
          <cell r="AA146">
            <v>0</v>
          </cell>
          <cell r="AB146">
            <v>0</v>
          </cell>
          <cell r="AC146">
            <v>0</v>
          </cell>
        </row>
        <row r="147">
          <cell r="W147" t="str">
            <v>Total capital</v>
          </cell>
          <cell r="Y147">
            <v>991.68200000000002</v>
          </cell>
          <cell r="Z147">
            <v>1108.463</v>
          </cell>
          <cell r="AA147">
            <v>1201.1824215116537</v>
          </cell>
          <cell r="AB147">
            <v>1314.2417550445787</v>
          </cell>
          <cell r="AC147">
            <v>1435.7922429211005</v>
          </cell>
        </row>
        <row r="148">
          <cell r="W148" t="str">
            <v>Fixed assets</v>
          </cell>
          <cell r="Y148">
            <v>333.00099999999998</v>
          </cell>
          <cell r="Z148">
            <v>574.07799999999997</v>
          </cell>
          <cell r="AA148">
            <v>602.947</v>
          </cell>
          <cell r="AB148">
            <v>633.09435000000008</v>
          </cell>
          <cell r="AC148">
            <v>664.74906750000014</v>
          </cell>
        </row>
        <row r="149">
          <cell r="W149" t="str">
            <v>Investment</v>
          </cell>
          <cell r="Y149">
            <v>367.72899999999998</v>
          </cell>
          <cell r="Z149">
            <v>326.892</v>
          </cell>
          <cell r="AA149">
            <v>523.02719999999999</v>
          </cell>
          <cell r="AB149">
            <v>470.72448000000003</v>
          </cell>
          <cell r="AC149">
            <v>423.65203200000002</v>
          </cell>
        </row>
        <row r="150">
          <cell r="W150" t="str">
            <v>Constr'n in progress</v>
          </cell>
          <cell r="Y150">
            <v>125.655</v>
          </cell>
          <cell r="Z150">
            <v>28.869</v>
          </cell>
          <cell r="AA150">
            <v>86.606999999999999</v>
          </cell>
          <cell r="AB150">
            <v>95.267700000000005</v>
          </cell>
          <cell r="AC150">
            <v>90.504315000000005</v>
          </cell>
        </row>
        <row r="151">
          <cell r="W151" t="str">
            <v>Deferred exp</v>
          </cell>
          <cell r="Y151">
            <v>38.424999999999997</v>
          </cell>
          <cell r="Z151">
            <v>115.05</v>
          </cell>
          <cell r="AA151">
            <v>149.565</v>
          </cell>
          <cell r="AB151">
            <v>164.5215</v>
          </cell>
          <cell r="AC151">
            <v>156.29542499999999</v>
          </cell>
        </row>
        <row r="152">
          <cell r="W152" t="str">
            <v xml:space="preserve">  Cash &amp; bank</v>
          </cell>
          <cell r="Y152">
            <v>123.25</v>
          </cell>
          <cell r="Z152">
            <v>127.146</v>
          </cell>
          <cell r="AA152">
            <v>183.48522151165378</v>
          </cell>
          <cell r="AB152">
            <v>157.36124504457854</v>
          </cell>
          <cell r="AC152">
            <v>191.3015834211005</v>
          </cell>
        </row>
        <row r="153">
          <cell r="W153" t="str">
            <v xml:space="preserve">  A/R</v>
          </cell>
          <cell r="Y153">
            <v>6.048</v>
          </cell>
          <cell r="Z153">
            <v>8.0120000000000005</v>
          </cell>
          <cell r="AA153">
            <v>16.024000000000001</v>
          </cell>
          <cell r="AB153">
            <v>19.2288</v>
          </cell>
          <cell r="AC153">
            <v>23.074559999999998</v>
          </cell>
        </row>
        <row r="154">
          <cell r="W154" t="str">
            <v xml:space="preserve">  Inventories</v>
          </cell>
          <cell r="Y154">
            <v>88.27</v>
          </cell>
          <cell r="Z154">
            <v>89.456000000000003</v>
          </cell>
          <cell r="AA154">
            <v>98.401600000000016</v>
          </cell>
          <cell r="AB154">
            <v>108.24176000000003</v>
          </cell>
          <cell r="AC154">
            <v>119.06593600000004</v>
          </cell>
        </row>
        <row r="155">
          <cell r="W155" t="str">
            <v xml:space="preserve">  Pre-payment</v>
          </cell>
          <cell r="Y155">
            <v>71.156000000000006</v>
          </cell>
          <cell r="Z155">
            <v>190.76599999999999</v>
          </cell>
          <cell r="AA155">
            <v>209.8426</v>
          </cell>
          <cell r="AB155">
            <v>230.82686000000001</v>
          </cell>
          <cell r="AC155">
            <v>253.90954600000003</v>
          </cell>
        </row>
        <row r="156">
          <cell r="W156" t="str">
            <v xml:space="preserve">  S-T inv</v>
          </cell>
          <cell r="Y156">
            <v>6.2830000000000004</v>
          </cell>
          <cell r="Z156">
            <v>2.6059999999999999</v>
          </cell>
          <cell r="AA156">
            <v>3.1271999999999998</v>
          </cell>
          <cell r="AB156">
            <v>3.7526399999999995</v>
          </cell>
          <cell r="AC156">
            <v>4.5031679999999996</v>
          </cell>
          <cell r="AF156" t="str">
            <v>1998F EARNINGS BREAKDOWN</v>
          </cell>
          <cell r="AG156">
            <v>0</v>
          </cell>
          <cell r="AH156">
            <v>0</v>
          </cell>
          <cell r="AI156">
            <v>0</v>
          </cell>
          <cell r="AJ156">
            <v>0</v>
          </cell>
          <cell r="AK156">
            <v>0</v>
          </cell>
          <cell r="AL156">
            <v>0</v>
          </cell>
          <cell r="AM156">
            <v>0</v>
          </cell>
          <cell r="AN156">
            <v>0</v>
          </cell>
        </row>
        <row r="157">
          <cell r="W157" t="str">
            <v>Current assets</v>
          </cell>
          <cell r="Y157">
            <v>340.46899999999999</v>
          </cell>
          <cell r="Z157">
            <v>504.24</v>
          </cell>
          <cell r="AA157">
            <v>597.13462151165379</v>
          </cell>
          <cell r="AB157">
            <v>606.66530504457853</v>
          </cell>
          <cell r="AC157">
            <v>680.10879342110059</v>
          </cell>
        </row>
        <row r="158">
          <cell r="W158" t="str">
            <v xml:space="preserve">  S-T loans</v>
          </cell>
          <cell r="Y158">
            <v>51.980000000000004</v>
          </cell>
          <cell r="Z158">
            <v>268.55099999999999</v>
          </cell>
          <cell r="AA158">
            <v>611.80610000000001</v>
          </cell>
          <cell r="AB158">
            <v>503.48671000000002</v>
          </cell>
          <cell r="AC158">
            <v>418.23538100000002</v>
          </cell>
        </row>
        <row r="159">
          <cell r="W159" t="str">
            <v xml:space="preserve">  Bills payable</v>
          </cell>
          <cell r="Y159">
            <v>16.132999999999999</v>
          </cell>
          <cell r="Z159">
            <v>11.26</v>
          </cell>
          <cell r="AA159">
            <v>12.386000000000001</v>
          </cell>
          <cell r="AB159">
            <v>13.624600000000003</v>
          </cell>
          <cell r="AC159">
            <v>14.987060000000005</v>
          </cell>
        </row>
        <row r="160">
          <cell r="W160" t="str">
            <v xml:space="preserve">  Creditors</v>
          </cell>
          <cell r="Y160">
            <v>112.142</v>
          </cell>
          <cell r="Z160">
            <v>120.34399999999999</v>
          </cell>
          <cell r="AA160">
            <v>96.275199999999998</v>
          </cell>
          <cell r="AB160">
            <v>101.08896</v>
          </cell>
          <cell r="AC160">
            <v>106.14340800000001</v>
          </cell>
        </row>
        <row r="161">
          <cell r="W161" t="str">
            <v xml:space="preserve">  Div payable</v>
          </cell>
          <cell r="Y161">
            <v>23.629000000000001</v>
          </cell>
          <cell r="Z161">
            <v>23.1</v>
          </cell>
          <cell r="AA161">
            <v>23.629000000000001</v>
          </cell>
          <cell r="AB161">
            <v>24.629000000000001</v>
          </cell>
          <cell r="AC161">
            <v>25.629000000000001</v>
          </cell>
        </row>
        <row r="162">
          <cell r="W162" t="str">
            <v xml:space="preserve">  Tax payable</v>
          </cell>
          <cell r="Y162">
            <v>2.6080000000000001</v>
          </cell>
          <cell r="Z162">
            <v>10.911</v>
          </cell>
          <cell r="AA162">
            <v>12.0021</v>
          </cell>
          <cell r="AB162">
            <v>13.202310000000001</v>
          </cell>
          <cell r="AC162">
            <v>14.522541000000002</v>
          </cell>
        </row>
        <row r="163">
          <cell r="W163" t="str">
            <v>Current liab</v>
          </cell>
          <cell r="Y163">
            <v>213.59699999999998</v>
          </cell>
          <cell r="Z163">
            <v>440.666</v>
          </cell>
          <cell r="AA163">
            <v>758.09840000000008</v>
          </cell>
          <cell r="AB163">
            <v>656.03158000000008</v>
          </cell>
          <cell r="AC163">
            <v>579.51739000000009</v>
          </cell>
        </row>
        <row r="166">
          <cell r="W166" t="str">
            <v>Total assets</v>
          </cell>
          <cell r="Y166">
            <v>1205.279</v>
          </cell>
          <cell r="Z166">
            <v>1549.1289999999999</v>
          </cell>
          <cell r="AA166">
            <v>1959.2808215116538</v>
          </cell>
          <cell r="AB166">
            <v>1970.2733350445787</v>
          </cell>
          <cell r="AC166">
            <v>2015.3096329211007</v>
          </cell>
        </row>
        <row r="168">
          <cell r="V168" t="str">
            <v>RATIO ANALYSIS (%)</v>
          </cell>
        </row>
        <row r="169">
          <cell r="W169" t="str">
            <v>Yr to Dec</v>
          </cell>
          <cell r="Y169">
            <v>96</v>
          </cell>
          <cell r="Z169">
            <v>97</v>
          </cell>
          <cell r="AA169" t="str">
            <v>98F</v>
          </cell>
          <cell r="AB169" t="str">
            <v>99F</v>
          </cell>
          <cell r="AC169" t="str">
            <v>00F</v>
          </cell>
        </row>
        <row r="170">
          <cell r="W170" t="str">
            <v>Op margins</v>
          </cell>
          <cell r="Y170">
            <v>20.867995372273469</v>
          </cell>
          <cell r="Z170">
            <v>16.28930529600596</v>
          </cell>
          <cell r="AA170">
            <v>20.623511568639969</v>
          </cell>
          <cell r="AB170">
            <v>21.557068168136848</v>
          </cell>
          <cell r="AC170">
            <v>22.049623726911609</v>
          </cell>
        </row>
        <row r="171">
          <cell r="W171" t="str">
            <v>Net debt/equity</v>
          </cell>
          <cell r="Y171" t="str">
            <v>net cash</v>
          </cell>
          <cell r="Z171">
            <v>9.9707998909186113</v>
          </cell>
          <cell r="AA171">
            <v>31.928104476063162</v>
          </cell>
          <cell r="AB171">
            <v>22.418915988970952</v>
          </cell>
          <cell r="AC171">
            <v>11.860937222535039</v>
          </cell>
        </row>
        <row r="172">
          <cell r="W172" t="str">
            <v xml:space="preserve">Return on equity </v>
          </cell>
          <cell r="Y172">
            <v>11.48101300170531</v>
          </cell>
          <cell r="Z172">
            <v>13.16905034565089</v>
          </cell>
          <cell r="AA172">
            <v>13.081118770836122</v>
          </cell>
          <cell r="AB172">
            <v>13.875206982492857</v>
          </cell>
          <cell r="AC172">
            <v>13.65442493236562</v>
          </cell>
        </row>
        <row r="173">
          <cell r="W173" t="str">
            <v>Return on assts</v>
          </cell>
          <cell r="Y173">
            <v>9.1272643097573241</v>
          </cell>
          <cell r="Z173">
            <v>9.3830213730855601</v>
          </cell>
          <cell r="AA173">
            <v>8.0196824001530818</v>
          </cell>
          <cell r="AB173">
            <v>9.255252076923437</v>
          </cell>
          <cell r="AC173">
            <v>9.7279927010633003</v>
          </cell>
        </row>
        <row r="176">
          <cell r="W176" t="str">
            <v>ilb</v>
          </cell>
          <cell r="AE176" t="str">
            <v>2</v>
          </cell>
          <cell r="AN176" t="str">
            <v>Wu Hui, Feng Shuaizhang (8621) 6279-7106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模型说明"/>
      <sheetName val="模型目录"/>
      <sheetName val="公司说明"/>
      <sheetName val="历史收入结构"/>
      <sheetName val="盈利预测"/>
      <sheetName val="输出"/>
      <sheetName val="利润表"/>
      <sheetName val="资产负债"/>
      <sheetName val="现金流量"/>
      <sheetName val="资本性开支"/>
      <sheetName val="季报分析"/>
      <sheetName val="DCF工具"/>
      <sheetName val="财务分析"/>
      <sheetName val="复杂FCFF"/>
      <sheetName val="简单FCFF"/>
      <sheetName val="DDM"/>
      <sheetName val="相对估值"/>
      <sheetName val="资金成本"/>
      <sheetName val="FXRATES"/>
      <sheetName val="DDETABLE "/>
      <sheetName val="韩国"/>
      <sheetName val="台湾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首页"/>
      <sheetName val="图1 图2"/>
      <sheetName val="图3 图4"/>
      <sheetName val="图5"/>
      <sheetName val="图6"/>
      <sheetName val="CHART"/>
      <sheetName val="市场表现"/>
      <sheetName val="市场估值状况"/>
      <sheetName val="各类资产价格跟踪"/>
      <sheetName val="复杂FCFF"/>
      <sheetName val="公司说明"/>
      <sheetName val="DDM"/>
      <sheetName val="复杂FCFF(2)"/>
      <sheetName val="DCF工具"/>
      <sheetName val="输出"/>
      <sheetName val="资产负债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PARC"/>
      <sheetName val="Data"/>
      <sheetName val="VALUE TABLE"/>
      <sheetName val="参数"/>
      <sheetName val="Controls"/>
      <sheetName val="白酒重点个股营收及增速（16Q1-17Q3)"/>
    </sheet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ub"/>
      <sheetName val="data"/>
      <sheetName val="DIFAN"/>
      <sheetName val="REM"/>
    </sheet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假设"/>
    </sheetNames>
    <sheetDataSet>
      <sheetData sheetId="0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耀皮B股"/>
      <sheetName val="P&amp;L"/>
      <sheetName val="Layout"/>
      <sheetName val="所有项目及权重"/>
      <sheetName val="其它金属"/>
      <sheetName val="铝"/>
      <sheetName val="大宗商品"/>
      <sheetName val="贵金属"/>
      <sheetName val="宏观数据"/>
      <sheetName val="铜"/>
      <sheetName val="镍"/>
      <sheetName val="铅"/>
      <sheetName val="稀土"/>
      <sheetName val="锡"/>
      <sheetName val="锌"/>
      <sheetName val="backup行业走势"/>
      <sheetName val="上海"/>
      <sheetName val="Model"/>
      <sheetName val="industry output"/>
      <sheetName val="NWDP&amp;L"/>
      <sheetName val="Spot Earnings"/>
      <sheetName val="Bunkers"/>
      <sheetName val="CABI"/>
      <sheetName val="Macros"/>
      <sheetName val="Formulae"/>
      <sheetName val="Page 4"/>
      <sheetName val="Spot Rates"/>
      <sheetName val="HK rates"/>
      <sheetName val="Data"/>
      <sheetName val="#REF"/>
      <sheetName val="Modeles (S)"/>
      <sheetName val="Ventilation (S)"/>
      <sheetName val="MarketDMA"/>
      <sheetName val="Jihe WestCashEarnings"/>
      <sheetName val="Dev Sum"/>
      <sheetName val="GWP-WLin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Jihe WestCashEarnings"/>
      <sheetName val="SMR"/>
      <sheetName val="钢材价格"/>
      <sheetName val="P&amp;L"/>
      <sheetName val="Layout"/>
      <sheetName val="耀皮B股"/>
      <sheetName val="DCF Inputs"/>
      <sheetName val="Supply monthly"/>
      <sheetName val="Revenues"/>
      <sheetName val="Balance Sheet"/>
      <sheetName val="Costs"/>
      <sheetName val="Capex and Depreciation"/>
      <sheetName val="PNL"/>
      <sheetName val="复杂FCFF"/>
      <sheetName val="公司说明"/>
      <sheetName val="HK rates"/>
      <sheetName val="price vs. volume"/>
      <sheetName val="NERD"/>
      <sheetName val="DCX HP"/>
      <sheetName val="调整分录汇总本年"/>
      <sheetName val="ISBSCF"/>
      <sheetName val="平板玻璃产量"/>
      <sheetName val="5MM浮白价格"/>
      <sheetName val="供给-玻璃信息"/>
      <sheetName val="纯碱重油日价格"/>
      <sheetName val="城镇固投"/>
      <sheetName val="粉磨开工率"/>
      <sheetName val="全国固投"/>
      <sheetName val="区域交通运输固投"/>
      <sheetName val="全国房地产"/>
      <sheetName val="熟料价格"/>
      <sheetName val="熟料库存"/>
      <sheetName val="水泥产量"/>
      <sheetName val="水泥库存"/>
      <sheetName val="熟料产量"/>
      <sheetName val="Model"/>
      <sheetName val="Jihe_WestCashEarnings"/>
      <sheetName val="上海"/>
      <sheetName val="纯碱价格(月)"/>
      <sheetName val="股价"/>
      <sheetName val="煤炭周价格 "/>
      <sheetName val="批发价格"/>
      <sheetName val="US Total"/>
      <sheetName val="BS"/>
      <sheetName val="Gen_Assumptions"/>
      <sheetName val="Summary"/>
      <sheetName val="Depreciation"/>
      <sheetName val="Data"/>
      <sheetName val="Calc"/>
      <sheetName val="Parameter"/>
      <sheetName val="Price"/>
      <sheetName val="DB"/>
      <sheetName val="TSS"/>
      <sheetName val="Cash Flow"/>
      <sheetName val="Infrastructure &amp; Other"/>
      <sheetName val="PL"/>
      <sheetName val="SOC"/>
      <sheetName val="Fin position"/>
      <sheetName val="SOCsupp"/>
      <sheetName val="FDI"/>
      <sheetName val="DCF"/>
      <sheetName val="Vendor Data"/>
      <sheetName val="Link"/>
      <sheetName val="FormerEB monthly prod"/>
      <sheetName val="DATA INPUT"/>
      <sheetName val="Dev Sum"/>
      <sheetName val="VOCs行业新闻更新"/>
      <sheetName val="old Model"/>
      <sheetName val="Calculations"/>
      <sheetName val="price chart"/>
      <sheetName val="SOTP"/>
      <sheetName val="EXTERNAL"/>
      <sheetName val="TABLE"/>
      <sheetName val="CHARTS"/>
      <sheetName val="INTERIMS"/>
      <sheetName val="VALUATION"/>
      <sheetName val="COST ASSUMPTIONS"/>
      <sheetName val="USDEAL"/>
      <sheetName val="PROFIT &amp; LOSS"/>
      <sheetName val="ROIC"/>
      <sheetName val="GROWTH ASSUMPTIONS"/>
      <sheetName val="GEMiner"/>
      <sheetName val="Dial cash  flow"/>
      <sheetName val="Dial P&amp;L"/>
      <sheetName val="CXA-201"/>
      <sheetName val="Variance table"/>
      <sheetName val="145020.KS_Exchange_Sheet"/>
      <sheetName val="145020.KS_Live_Sheet"/>
      <sheetName val="145020.KS_Validation_Sheet"/>
      <sheetName val="假设"/>
      <sheetName val="0410.HK_Annotation_Sheet"/>
      <sheetName val="0410.HK_Exchange_Sheet"/>
      <sheetName val="0410.HK_Live_Sheet"/>
      <sheetName val="0410.HK_Validation_Sheet"/>
      <sheetName val="C1"/>
      <sheetName val="资源品"/>
      <sheetName val="C2"/>
      <sheetName val="纯苯及下游"/>
      <sheetName val="C4"/>
      <sheetName val="FXRATES"/>
      <sheetName val="上报资产负债表"/>
      <sheetName val="SETUP"/>
      <sheetName val="Income Statement"/>
      <sheetName val="TW ind GDP"/>
      <sheetName val="CONSTANT"/>
      <sheetName val="DTPOutput2"/>
      <sheetName val="Inputs"/>
      <sheetName val="Page 7"/>
      <sheetName val="Global Assumptions"/>
      <sheetName val="TCL_A"/>
      <sheetName val="kejian"/>
      <sheetName val="Bird"/>
      <sheetName val="BYD"/>
      <sheetName val="EVA1"/>
      <sheetName val="所有项目及权重"/>
      <sheetName val="博彩-澳门博彩·季度"/>
      <sheetName val="Drivers &amp; Metrics"/>
      <sheetName val="180日留存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S"/>
      <sheetName val="PL"/>
      <sheetName val="Shares"/>
      <sheetName val="P&amp;L"/>
      <sheetName val="Layout"/>
      <sheetName val="Jihe WestCashEarnings"/>
      <sheetName val="SMR"/>
      <sheetName val="IDCs"/>
      <sheetName val="HK rates"/>
      <sheetName val="Sheet2"/>
      <sheetName val="DCF Inputs"/>
      <sheetName val="data"/>
      <sheetName val="Model"/>
      <sheetName val="NERD"/>
      <sheetName val="Jihe_WestCashEarnings"/>
      <sheetName val="PADD 1-4 Total"/>
      <sheetName val="PADD 3"/>
      <sheetName val="PADD 5"/>
      <sheetName val="PADD 1"/>
      <sheetName val="U.S. Totals"/>
      <sheetName val="Properties"/>
      <sheetName val="Gen_Assumptions"/>
      <sheetName val="Summary"/>
      <sheetName val="FAI Growth by sector"/>
      <sheetName val="CHART"/>
      <sheetName val="进口大豆价格-data"/>
      <sheetName val="市场表现"/>
      <sheetName val="收益率曲线"/>
      <sheetName val="海外市场"/>
      <sheetName val="公开市场"/>
      <sheetName val="货币市场"/>
      <sheetName val="price chart"/>
      <sheetName val="Oil Consumption – barrels"/>
      <sheetName val="Dial cash  flow"/>
      <sheetName val="Dial P&amp;L"/>
      <sheetName val="DCF"/>
      <sheetName val="Costs_Table"/>
      <sheetName val="145020.KS_Exchange_Sheet"/>
      <sheetName val="145020.KS_Live_Sheet"/>
      <sheetName val="145020.KS_Validation_Sheet"/>
      <sheetName val="1789.HK_Exchange_Sheet"/>
      <sheetName val="1789.HK_Live_Sheet"/>
      <sheetName val="1789.HK_Validation_Sheet"/>
      <sheetName val="EVA1"/>
      <sheetName val="Quarterly "/>
      <sheetName val="敏感性分析"/>
      <sheetName val="PE-Band(港股)"/>
      <sheetName val="BS Growth"/>
      <sheetName val="假设"/>
      <sheetName val="复杂FCFF"/>
      <sheetName val="利润表"/>
      <sheetName val="隐含折现率"/>
      <sheetName val="资产负债"/>
      <sheetName val="DDETABLE "/>
      <sheetName val="old Model"/>
    </sheetNames>
    <sheetDataSet>
      <sheetData sheetId="0" refreshError="1">
        <row r="4">
          <cell r="D4">
            <v>1996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模型说明"/>
      <sheetName val="公司说明"/>
      <sheetName val="输出"/>
      <sheetName val="驱动要素"/>
      <sheetName val="利润表"/>
      <sheetName val="资产负债"/>
      <sheetName val="现金流量"/>
      <sheetName val="季报分析"/>
      <sheetName val="财务分析"/>
      <sheetName val="DCF工具"/>
      <sheetName val="复杂FCFF"/>
      <sheetName val="简单FCFF"/>
      <sheetName val="DDM"/>
      <sheetName val="相对估值"/>
      <sheetName val="资金成本"/>
      <sheetName val="沈阳化工PVC糊树脂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模型说明"/>
      <sheetName val="公司说明"/>
      <sheetName val="输出"/>
      <sheetName val="利润表"/>
      <sheetName val="收入拆分"/>
      <sheetName val="CAPEX"/>
      <sheetName val="资产负债"/>
      <sheetName val="现金流量"/>
      <sheetName val="季报分析"/>
      <sheetName val="财务分析"/>
      <sheetName val="DCF工具"/>
      <sheetName val="复杂FCFF"/>
      <sheetName val="复杂FCFF(2)"/>
      <sheetName val="简单FCFF"/>
      <sheetName val="DDM"/>
      <sheetName val="相对估值"/>
      <sheetName val="资金成本"/>
      <sheetName val="沈阳化工PVC糊树脂"/>
      <sheetName val="投资"/>
      <sheetName val="筹资"/>
      <sheetName val="绝对估值"/>
      <sheetName val="首页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 refreshError="1"/>
      <sheetData sheetId="19" refreshError="1"/>
      <sheetData sheetId="20" refreshError="1"/>
      <sheetData sheetId="21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v2"/>
      <sheetName val="Financials"/>
      <sheetName val="Model"/>
      <sheetName val="Av2.xls"/>
      <sheetName val="BS"/>
      <sheetName val="SCF &amp; BS"/>
      <sheetName val="\ACE\Editing\Excel - nonFin Ver"/>
      <sheetName val="\P\ACE\Editing\Excel - nonFin V"/>
      <sheetName val="\C\P\ACE\Editing\Excel - nonFin"/>
      <sheetName val="Supply monthly"/>
      <sheetName val="19年以来政策"/>
      <sheetName val="具体方案"/>
      <sheetName val="Sheet3"/>
      <sheetName val="Sheet4"/>
      <sheetName val="投资密度"/>
      <sheetName val="财政出资"/>
      <sheetName val="Sheet5"/>
      <sheetName val="广州"/>
      <sheetName val="_ACE_Editing_Excel - nonFin Ver"/>
      <sheetName val="_P_ACE_Editing_Excel - nonFin V"/>
      <sheetName val="_C_P_ACE_Editing_Excel - nonFin"/>
      <sheetName val="Jihe WestCashEarnings"/>
      <sheetName val="from blmbg"/>
      <sheetName val="GUT"/>
      <sheetName val="Data"/>
      <sheetName val="纯碱价格(月)"/>
      <sheetName val="股价"/>
      <sheetName val="煤炭周价格 "/>
      <sheetName val="批发价格"/>
      <sheetName val="Bloomberg"/>
      <sheetName val="price chart"/>
      <sheetName val="PZN DCF"/>
      <sheetName val="酒鬼酒"/>
      <sheetName val="公司说明"/>
      <sheetName val="复杂FCFF(2)"/>
      <sheetName val="输出"/>
      <sheetName val="ISBSCF"/>
      <sheetName val="CHART"/>
      <sheetName val="进口大豆价格-data"/>
      <sheetName val="市场表现"/>
      <sheetName val="DDETABLE "/>
      <sheetName val="GEMiner"/>
      <sheetName val="ClarkSeaIndex"/>
      <sheetName val="Client Data"/>
      <sheetName val="IPIndex"/>
      <sheetName val="[Av2.xls]\ACE\Editing\Excel - n"/>
      <sheetName val="[Av2.xls]\P\ACE\Editing\Excel -"/>
      <sheetName val="[Av2.xls]\C\P\ACE\Editing\Excel"/>
      <sheetName val="1672.HK_Exchange_Sheet"/>
      <sheetName val="1672.HK_Live_Sheet"/>
      <sheetName val="1672.HK_Validation_Sheet"/>
      <sheetName val="1801.HK_Exchange_Sheet"/>
      <sheetName val="1801.HK_Live_Sheet"/>
      <sheetName val="1801.HK_Validation_Sheet"/>
      <sheetName val="DDM"/>
      <sheetName val="资产负债"/>
      <sheetName val="PRINCIPAL"/>
      <sheetName val="耀皮B股"/>
      <sheetName val="假设"/>
      <sheetName val="IDCs"/>
    </sheetNames>
    <definedNames>
      <definedName name="cmdOK2_click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 refreshError="1"/>
      <sheetData sheetId="19" refreshError="1"/>
      <sheetData sheetId="20" refreshError="1"/>
      <sheetData sheetId="21" refreshError="1"/>
      <sheetData sheetId="22" refreshError="1"/>
      <sheetData sheetId="23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AV"/>
      <sheetName val="常数表"/>
      <sheetName val="利润表驱动"/>
      <sheetName val="负债表驱动"/>
      <sheetName val="流量表驱动"/>
      <sheetName val="业务汇总"/>
      <sheetName val="地价"/>
      <sheetName val="存货"/>
      <sheetName val="开发性物业(Print)"/>
      <sheetName val="开发性物业"/>
      <sheetName val="投资性物业(Print)"/>
      <sheetName val="投资性物业"/>
      <sheetName val="Assumptions"/>
      <sheetName val="Cover"/>
      <sheetName val="2186.HK_Exchange_Sheet"/>
      <sheetName val="2186.HK_Live_Sheet"/>
      <sheetName val="2186.HK_Validation_Sheet"/>
    </sheet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  <sheetData sheetId="10" refreshError="1"/>
      <sheetData sheetId="1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参数"/>
      <sheetName val="数据"/>
      <sheetName val="Driver"/>
      <sheetName val="ROE"/>
      <sheetName val="EBIT Margin"/>
      <sheetName val="GrossMargin"/>
      <sheetName val="ProfitGrowth"/>
      <sheetName val="SalesGrowth"/>
      <sheetName val="SalesGrowth (2)"/>
      <sheetName val="ProfitGrowth (2)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目录"/>
      <sheetName val="年度数据重构"/>
      <sheetName val="会计科目代码"/>
      <sheetName val="操作指南"/>
      <sheetName val="历史数据"/>
      <sheetName val="历史数据（简化）"/>
      <sheetName val="年度数据 (函数)"/>
      <sheetName val="年度数据"/>
      <sheetName val="输出"/>
      <sheetName val="假设"/>
      <sheetName val="收入成本预测"/>
      <sheetName val="收入驱动因素拆分"/>
      <sheetName val="曲美家居一图看"/>
      <sheetName val="收入预测"/>
      <sheetName val="报告期历史数据"/>
      <sheetName val="季度利润表预测"/>
      <sheetName val="品类拆分"/>
      <sheetName val="曲美家居一图看 (3)"/>
      <sheetName val="曲美家居一图看 (2)"/>
      <sheetName val="利润表"/>
      <sheetName val="现金流量"/>
      <sheetName val="债务"/>
      <sheetName val="资产负债"/>
      <sheetName val="单季度利润表"/>
      <sheetName val="资本投资"/>
      <sheetName val="营运资本"/>
      <sheetName val="财务分析"/>
      <sheetName val="预测合理性检验"/>
      <sheetName val="估值"/>
      <sheetName val="Cache"/>
      <sheetName val="可比公司估值"/>
      <sheetName val="相对估值"/>
      <sheetName val="绝对估值"/>
      <sheetName val="单产品敏感性分析"/>
      <sheetName val="情景表"/>
      <sheetName val="绝对估值敏感性分析"/>
      <sheetName val="单公司Beta"/>
      <sheetName val="季度数据"/>
      <sheetName val="季度财务分析"/>
      <sheetName val="GraphData"/>
      <sheetName val="季度分析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arnings"/>
      <sheetName val="P&amp;L"/>
      <sheetName val="BS"/>
      <sheetName val="Cashflow"/>
      <sheetName val="Valuation"/>
      <sheetName val="Chart"/>
      <sheetName val="GEMiner"/>
      <sheetName val="Data"/>
      <sheetName val="tsingtao1"/>
      <sheetName val="industry output"/>
      <sheetName val="Financials"/>
      <sheetName val="Database"/>
      <sheetName val="Cover_CT"/>
      <sheetName val="Assumptions"/>
      <sheetName val="Investment"/>
      <sheetName val="Sheet1"/>
      <sheetName val="Loan_Q"/>
      <sheetName val="cover"/>
      <sheetName val="user"/>
      <sheetName val="DCF Inputs"/>
      <sheetName val="Jihe WestCashEarnings"/>
      <sheetName val="TCL_A"/>
      <sheetName val="kejian"/>
      <sheetName val="Bird"/>
      <sheetName val="BYD"/>
      <sheetName val="天津"/>
      <sheetName val="SRP"/>
      <sheetName val="纯碱价格(月)"/>
      <sheetName val="股价"/>
      <sheetName val="煤炭周价格 "/>
      <sheetName val="批发价格"/>
      <sheetName val="price chart"/>
      <sheetName val="PZN DCF"/>
      <sheetName val="Optus.XLS"/>
      <sheetName val="说明"/>
      <sheetName val="Line0512"/>
      <sheetName val="0611损益明细"/>
      <sheetName val="Line0505"/>
      <sheetName val="Line0611"/>
      <sheetName val="Res_line"/>
      <sheetName val="Line"/>
      <sheetName val="损益明细"/>
      <sheetName val="产业在线电视"/>
      <sheetName val="冰箱"/>
      <sheetName val="家空行业"/>
      <sheetName val="冰行业"/>
      <sheetName val="洗行业"/>
      <sheetName val="家用空调"/>
      <sheetName val="电视机"/>
      <sheetName val="洗衣机"/>
      <sheetName val="家电下乡"/>
      <sheetName val="#REF"/>
      <sheetName val="Cases"/>
      <sheetName val="AECC1"/>
      <sheetName val="Capex-nm"/>
      <sheetName val="估值－2"/>
      <sheetName val="假设"/>
      <sheetName val="Inputs &amp; Assumptions"/>
      <sheetName val="WIRE"/>
      <sheetName val="mutacao"/>
      <sheetName val="Parc. de ICMS"/>
      <sheetName val="Variables"/>
      <sheetName val="单产品敏感性分析"/>
      <sheetName val="年度数据"/>
      <sheetName val="单公司Beta"/>
      <sheetName val="利润表"/>
      <sheetName val="现金流量"/>
      <sheetName val="资本投资"/>
      <sheetName val="资产负债"/>
      <sheetName val="Client Data"/>
      <sheetName val="Monthly_OECD"/>
      <sheetName val="Margins"/>
      <sheetName val="T1 UK new"/>
      <sheetName val="Link"/>
    </sheetNames>
    <sheetDataSet>
      <sheetData sheetId="0"/>
      <sheetData sheetId="1"/>
      <sheetData sheetId="2"/>
      <sheetData sheetId="3"/>
      <sheetData sheetId="4"/>
      <sheetData sheetId="5"/>
      <sheetData sheetId="6" refreshError="1">
        <row r="11">
          <cell r="O11" t="str">
            <v>BUY</v>
          </cell>
        </row>
        <row r="12">
          <cell r="O12" t="str">
            <v>LT BUY</v>
          </cell>
        </row>
        <row r="13">
          <cell r="O13" t="str">
            <v>SELL</v>
          </cell>
        </row>
        <row r="14">
          <cell r="O14" t="str">
            <v>SWITCH TO ABC</v>
          </cell>
        </row>
        <row r="18">
          <cell r="N18" t="str">
            <v>BA</v>
          </cell>
          <cell r="O18" t="str">
            <v>ARS</v>
          </cell>
        </row>
        <row r="19">
          <cell r="N19" t="str">
            <v>SA</v>
          </cell>
          <cell r="O19" t="str">
            <v>BRL</v>
          </cell>
        </row>
        <row r="20">
          <cell r="N20" t="str">
            <v>SN</v>
          </cell>
          <cell r="O20" t="str">
            <v>CLP</v>
          </cell>
        </row>
        <row r="21">
          <cell r="N21" t="str">
            <v>CN</v>
          </cell>
          <cell r="O21" t="str">
            <v>CNY</v>
          </cell>
        </row>
        <row r="22">
          <cell r="N22" t="str">
            <v>BG</v>
          </cell>
          <cell r="O22" t="str">
            <v>COP</v>
          </cell>
        </row>
        <row r="23">
          <cell r="N23" t="str">
            <v>ZA</v>
          </cell>
          <cell r="O23" t="str">
            <v>HRK</v>
          </cell>
        </row>
        <row r="24">
          <cell r="N24" t="str">
            <v>PR</v>
          </cell>
          <cell r="O24" t="str">
            <v>CZK</v>
          </cell>
        </row>
        <row r="25">
          <cell r="N25" t="str">
            <v>AT</v>
          </cell>
          <cell r="O25" t="str">
            <v>GRD</v>
          </cell>
        </row>
        <row r="26">
          <cell r="N26" t="str">
            <v>HK</v>
          </cell>
          <cell r="O26" t="str">
            <v>HKD</v>
          </cell>
        </row>
        <row r="27">
          <cell r="N27" t="str">
            <v>BU</v>
          </cell>
          <cell r="O27" t="str">
            <v>HUF</v>
          </cell>
        </row>
        <row r="28">
          <cell r="N28" t="str">
            <v>BO</v>
          </cell>
          <cell r="O28" t="str">
            <v>INR</v>
          </cell>
        </row>
        <row r="29">
          <cell r="N29" t="str">
            <v>JK</v>
          </cell>
          <cell r="O29" t="str">
            <v>IDR</v>
          </cell>
        </row>
        <row r="30">
          <cell r="N30" t="str">
            <v>KS</v>
          </cell>
          <cell r="O30" t="str">
            <v>KRW</v>
          </cell>
        </row>
        <row r="31">
          <cell r="N31" t="str">
            <v>KL</v>
          </cell>
          <cell r="O31" t="str">
            <v>MYR</v>
          </cell>
        </row>
        <row r="32">
          <cell r="N32" t="str">
            <v>MX</v>
          </cell>
          <cell r="O32" t="str">
            <v>MXN</v>
          </cell>
        </row>
        <row r="33">
          <cell r="N33" t="str">
            <v>KA</v>
          </cell>
          <cell r="O33" t="str">
            <v>PKR</v>
          </cell>
        </row>
        <row r="34">
          <cell r="N34" t="str">
            <v>LM</v>
          </cell>
          <cell r="O34" t="str">
            <v>PEN</v>
          </cell>
        </row>
        <row r="35">
          <cell r="N35" t="str">
            <v>PS</v>
          </cell>
          <cell r="O35" t="str">
            <v>PHP</v>
          </cell>
        </row>
        <row r="36">
          <cell r="N36" t="str">
            <v>WA</v>
          </cell>
          <cell r="O36" t="str">
            <v>PLN</v>
          </cell>
        </row>
        <row r="37">
          <cell r="N37" t="str">
            <v>RS</v>
          </cell>
          <cell r="O37" t="str">
            <v>RUB</v>
          </cell>
        </row>
        <row r="38">
          <cell r="N38" t="str">
            <v>SI</v>
          </cell>
          <cell r="O38" t="str">
            <v>SGD</v>
          </cell>
        </row>
        <row r="39">
          <cell r="N39" t="str">
            <v>TW</v>
          </cell>
          <cell r="O39" t="str">
            <v>TWD</v>
          </cell>
        </row>
        <row r="40">
          <cell r="N40" t="str">
            <v>BK</v>
          </cell>
          <cell r="O40" t="str">
            <v>THB</v>
          </cell>
        </row>
        <row r="41">
          <cell r="N41" t="str">
            <v>IS</v>
          </cell>
          <cell r="O41" t="str">
            <v>TRL</v>
          </cell>
        </row>
        <row r="42">
          <cell r="N42" t="str">
            <v>CR</v>
          </cell>
          <cell r="O42" t="str">
            <v>VEB</v>
          </cell>
        </row>
        <row r="43">
          <cell r="O43" t="str">
            <v>USD</v>
          </cell>
        </row>
        <row r="44">
          <cell r="O44" t="str">
            <v>EUR</v>
          </cell>
        </row>
        <row r="45">
          <cell r="O45" t="str">
            <v>GBP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ver"/>
      <sheetName val="Summary"/>
      <sheetName val="Assumptions"/>
      <sheetName val="Market"/>
      <sheetName val="Total_Revenue"/>
      <sheetName val="Total_Revenue_rolling"/>
      <sheetName val="Domestic_Revenue"/>
      <sheetName val="Dome_Rev_rolling"/>
      <sheetName val="Inter_Revenue"/>
      <sheetName val="BS"/>
      <sheetName val="P&amp;L"/>
      <sheetName val="CF"/>
      <sheetName val="DCF"/>
      <sheetName val="COGS"/>
      <sheetName val="S&amp;M"/>
      <sheetName val="R&amp;D"/>
      <sheetName val="Capex"/>
      <sheetName val="long-term"/>
      <sheetName val="long-term within 1 yr"/>
      <sheetName val="short-term"/>
      <sheetName val="EBIT_Fixed"/>
      <sheetName val="EBIT_Optical"/>
      <sheetName val="EBIT_Wireless"/>
      <sheetName val="EBIT_Software"/>
      <sheetName val="Cases_Domestic_Market"/>
      <sheetName val="Cases_Operating"/>
      <sheetName val="Output"/>
      <sheetName val="Template"/>
      <sheetName val="Customer_Service"/>
      <sheetName val="Output_Template"/>
    </sheetNames>
    <sheetDataSet>
      <sheetData sheetId="0" refreshError="1"/>
      <sheetData sheetId="1"/>
      <sheetData sheetId="2" refreshError="1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ev Sum"/>
      <sheetName val="Dev"/>
      <sheetName val="GEMiner"/>
      <sheetName val="Data"/>
      <sheetName val="HKDEV"/>
      <sheetName val="industry output"/>
      <sheetName val="Assumptions"/>
      <sheetName val="Cover"/>
      <sheetName val="EVA1"/>
      <sheetName val="#REF"/>
      <sheetName val="Inputs"/>
      <sheetName val="Vendor Data"/>
      <sheetName val="BS"/>
      <sheetName val="ISBSCF"/>
      <sheetName val="Profile"/>
      <sheetName val="Model"/>
      <sheetName val="database"/>
      <sheetName val="Investment"/>
      <sheetName val="Sheet1"/>
      <sheetName val="Loan_Q"/>
      <sheetName val="user"/>
      <sheetName val="No. of passengers carried(1)"/>
      <sheetName val="产业在线电视"/>
      <sheetName val="冰箱"/>
      <sheetName val="家空行业"/>
      <sheetName val="冰行业"/>
      <sheetName val="洗行业"/>
      <sheetName val="家用空调"/>
      <sheetName val="电视机"/>
      <sheetName val="洗衣机"/>
      <sheetName val="家电下乡"/>
      <sheetName val="Link"/>
      <sheetName val="T1 UK new"/>
      <sheetName val="Inputs &amp; Assumptions"/>
      <sheetName val="WACC_VDF"/>
      <sheetName val="Variables"/>
      <sheetName val="mutacao"/>
      <sheetName val="设置"/>
      <sheetName val="Parc. de ICMS"/>
      <sheetName val="SegSum"/>
      <sheetName val="TCL_A"/>
      <sheetName val="kejian"/>
      <sheetName val="Bird"/>
      <sheetName val="BYD"/>
      <sheetName val="进销存"/>
      <sheetName val="Sheet2"/>
      <sheetName val="Monthly_OECD"/>
      <sheetName val="对美元汇率"/>
    </sheetNames>
    <sheetDataSet>
      <sheetData sheetId="0" refreshError="1">
        <row r="116">
          <cell r="B116">
            <v>7.0000000000000007E-2</v>
          </cell>
        </row>
        <row r="123">
          <cell r="B123">
            <v>0.125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GDP FAI"/>
      <sheetName val="地价"/>
      <sheetName val="全国住宅建设情况c9"/>
      <sheetName val="可支配收入C3 11&amp;12"/>
      <sheetName val="Beijing"/>
      <sheetName val="Shanghai"/>
      <sheetName val="Investment"/>
      <sheetName val="Shenzhen"/>
      <sheetName val="3Q"/>
      <sheetName val="Sheet1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PE-Band(A股)"/>
      <sheetName val="PE-Band(港股)"/>
      <sheetName val="PE-Band(指数)"/>
      <sheetName val="使用说明"/>
      <sheetName val="假设"/>
      <sheetName val="利润表"/>
      <sheetName val="资产负债"/>
      <sheetName val="复杂FCFF"/>
      <sheetName val="公司说明"/>
      <sheetName val="宏观数据"/>
      <sheetName val="图表辅助"/>
      <sheetName val="市场表现_4"/>
      <sheetName val="价值链拆分"/>
      <sheetName val="家居非标低频，渠道价值占比较高"/>
      <sheetName val="价值链拆分：家居非标低频，渠道价值占比较高"/>
      <sheetName val="mutacao"/>
      <sheetName val="Bloomberg即时版"/>
      <sheetName val="估值－2"/>
      <sheetName val="Variables"/>
      <sheetName val="C2"/>
      <sheetName val="纯苯及下游"/>
      <sheetName val="C4"/>
      <sheetName val="C1"/>
      <sheetName val="资源品"/>
      <sheetName val="单产品敏感性分析"/>
      <sheetName val="年度数据"/>
      <sheetName val="单公司Beta"/>
      <sheetName val="现金流量"/>
      <sheetName val="资本投资"/>
      <sheetName val="Investment"/>
      <sheetName val="GEMiner"/>
    </sheetNames>
    <sheetDataSet>
      <sheetData sheetId="0"/>
      <sheetData sheetId="1"/>
      <sheetData sheetId="2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PARC"/>
      <sheetName val="Data"/>
      <sheetName val="FlowChart"/>
      <sheetName val="Dev Sum"/>
      <sheetName val="环卫机械"/>
      <sheetName val="Investment"/>
      <sheetName val="Sheet1"/>
      <sheetName val="DDETABLE "/>
      <sheetName val="BS"/>
      <sheetName val="Inputs"/>
      <sheetName val="Summary"/>
      <sheetName val="KeyMultInputs"/>
      <sheetName val="Jihe WestCashEarnings"/>
      <sheetName val="c1"/>
      <sheetName val="GEMiner"/>
      <sheetName val="HK rates"/>
      <sheetName val="ISBSCF"/>
      <sheetName val="Intro"/>
      <sheetName val="Assumptions"/>
      <sheetName val="Cover"/>
      <sheetName val="DCF"/>
      <sheetName val="Model"/>
      <sheetName val="Drivers &amp; Metrics"/>
      <sheetName val="产业在线"/>
      <sheetName val="零售总额"/>
      <sheetName val="下游家电行业数据"/>
      <sheetName val="TCL_A"/>
      <sheetName val="kejian"/>
      <sheetName val="Bird"/>
      <sheetName val="BYD"/>
      <sheetName val="raw data"/>
      <sheetName val="2003 HHSize"/>
      <sheetName val="PE-Band(港股)"/>
      <sheetName val="TW ind GDP"/>
      <sheetName val="MenuData"/>
      <sheetName val="BA"/>
      <sheetName val="BigRED Downloader"/>
      <sheetName val="BigRED Downloader (Banks)"/>
      <sheetName val="Backpage Template (Banks)"/>
      <sheetName val="LD monthly data"/>
      <sheetName val="Revenues"/>
      <sheetName val="Owners"/>
      <sheetName val="Company caps"/>
      <sheetName val="감가상각"/>
      <sheetName val="Proj."/>
      <sheetName val="Brand Total"/>
      <sheetName val="Industry Grand"/>
      <sheetName val="Variables"/>
      <sheetName val="001979.SZ_Annotation_Sheet"/>
      <sheetName val="001979.SZ_Exchange_Sheet"/>
      <sheetName val="001979.SZ_Live_Sheet"/>
      <sheetName val="Sen-output (NAV)"/>
      <sheetName val="Sensitivity"/>
      <sheetName val="001979.SZ_Validation_Sheet"/>
      <sheetName val="整理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PE-Band(港股)"/>
      <sheetName val="PE-Band(A股)"/>
      <sheetName val="PE-Band(指数)"/>
      <sheetName val="使用说明"/>
      <sheetName val="韩国"/>
      <sheetName val="台湾"/>
      <sheetName val="单产品敏感性分析"/>
      <sheetName val="假设"/>
      <sheetName val="年度数据"/>
      <sheetName val="单公司Beta"/>
      <sheetName val="利润表"/>
      <sheetName val="现金流量"/>
      <sheetName val="资本投资"/>
      <sheetName val="资产负债"/>
    </sheetNames>
    <sheetDataSet>
      <sheetData sheetId="0"/>
      <sheetData sheetId="1"/>
      <sheetData sheetId="2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报告可用剪贴版"/>
      <sheetName val="COPY 港股"/>
      <sheetName val="港股彭博链接"/>
      <sheetName val="COPY 国际"/>
      <sheetName val="国际彭博链接"/>
      <sheetName val="Sheet1"/>
      <sheetName val="Sheet2"/>
      <sheetName val="港股服装"/>
      <sheetName val="Bloomberg即时版"/>
      <sheetName val="宏观数据"/>
      <sheetName val="图表辅助"/>
      <sheetName val="金属价格涨跌速览（2）"/>
      <sheetName val="市场表现_4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dex"/>
      <sheetName val="structure"/>
      <sheetName val="indicators(construction)"/>
      <sheetName val="indicatiors(finance)"/>
      <sheetName val="No. of passengers carried(1)"/>
      <sheetName val="No. of passengers carried(2)"/>
      <sheetName val="No.of passengers national way"/>
      <sheetName val="No. of passengers local way"/>
      <sheetName val="No passenger joint venture way"/>
      <sheetName val="passenger-kilometer(1)"/>
      <sheetName val="passenger-kilometer(2)"/>
      <sheetName val="freight carried(1)"/>
      <sheetName val="freight carried(2)"/>
      <sheetName val="freight carried nationalrailway"/>
      <sheetName val="freight carried localrailway"/>
      <sheetName val="freight carried jonitventureway"/>
      <sheetName val="freight ton-kilometer(1)"/>
      <sheetName val="freight ton-kilometer(2)"/>
      <sheetName val="length"/>
      <sheetName val="length national"/>
      <sheetName val="length local"/>
      <sheetName val="length joint venture"/>
      <sheetName val=" no of passenger departed"/>
      <sheetName val="freight despatched"/>
      <sheetName val="no of employee"/>
      <sheetName val="freight by catagory of cargo "/>
      <sheetName val="freight ton-kilometer by cargo"/>
      <sheetName val="length of transport by cargo"/>
      <sheetName val="No of Railway Locomotive……"/>
      <sheetName val="Average transport distance  "/>
      <sheetName val="turnover_all type"/>
      <sheetName val="railway nation"/>
      <sheetName val="container"/>
      <sheetName val="railway data of countries"/>
      <sheetName val="US railway statistics"/>
      <sheetName val="US passenger revenue"/>
      <sheetName val="US freight ton-miles"/>
      <sheetName val="railway investment"/>
      <sheetName val="investment of transportation"/>
      <sheetName val="Summary"/>
      <sheetName val="铁路投资"/>
      <sheetName val="铁路运力及预测"/>
      <sheetName val="铁路建设及预测"/>
      <sheetName val="机车产量"/>
      <sheetName val="机车保有量及预测"/>
      <sheetName val="关系换算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dex"/>
      <sheetName val="Consolidated Financials"/>
      <sheetName val="segment"/>
      <sheetName val="Segment Analysis"/>
      <sheetName val="Valuation"/>
      <sheetName val="hist performance"/>
      <sheetName val="Factsheet"/>
      <sheetName val="Summary"/>
      <sheetName val="financial performance"/>
      <sheetName val="Module1"/>
      <sheetName val="Module2"/>
      <sheetName val="Module3"/>
      <sheetName val="Module4"/>
      <sheetName val="Module5"/>
      <sheetName val="Module7"/>
    </sheetNames>
    <sheetDataSet>
      <sheetData sheetId="0"/>
      <sheetData sheetId="1" refreshError="1"/>
      <sheetData sheetId="2"/>
      <sheetData sheetId="3"/>
      <sheetData sheetId="4"/>
      <sheetData sheetId="5"/>
      <sheetData sheetId="6"/>
      <sheetData sheetId="7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3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 (2)"/>
      <sheetName val="Sheet1"/>
    </sheetNames>
    <sheetDataSet>
      <sheetData sheetId="0"/>
      <sheetData sheetId="1"/>
    </sheetDataSet>
  </externalBook>
</externalLink>
</file>

<file path=xl/externalLinks/externalLink3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onthly-chart_deposit"/>
      <sheetName val="Sheet1"/>
      <sheetName val="Loan-maturity"/>
      <sheetName val="Mortgage"/>
      <sheetName val="Mortgage-EN"/>
      <sheetName val="Loan outstanding structure_Q_en"/>
      <sheetName val="LD growth Chart"/>
      <sheetName val="New issued loan structure_Q"/>
      <sheetName val="LD ratio"/>
      <sheetName val="LD monthly data"/>
      <sheetName val="New issued loan_year"/>
      <sheetName val="Loan stucture_Q"/>
      <sheetName val="Loan_Q"/>
      <sheetName val="monthly-chart"/>
      <sheetName val="Total Loan"/>
      <sheetName val="Other Commercial LD-money data"/>
      <sheetName val="other commercial bank loan-CEIC"/>
      <sheetName val="本外币信贷"/>
      <sheetName val="quaterly"/>
      <sheetName val="loan-deposit-gd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3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分离债指标券"/>
      <sheetName val="分离债利率走势"/>
      <sheetName val="分离债利差走势"/>
      <sheetName val="公司债利率"/>
      <sheetName val="公司债利差走势"/>
      <sheetName val="企业债金融债利差走势"/>
      <sheetName val="宏观数据"/>
      <sheetName val="图表辅助"/>
      <sheetName val="市场表现_4"/>
      <sheetName val="Sheet1"/>
    </sheetNames>
    <sheetDataSet>
      <sheetData sheetId="0" refreshError="1"/>
      <sheetData sheetId="1"/>
      <sheetData sheetId="2"/>
      <sheetData sheetId="3"/>
      <sheetData sheetId="4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3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首页"/>
    </sheetNames>
    <sheetDataSet>
      <sheetData sheetId="0" refreshError="1"/>
    </sheetDataSet>
  </externalBook>
</externalLink>
</file>

<file path=xl/externalLinks/externalLink3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Sheet1"/>
      <sheetName val="Sheet2"/>
      <sheetName val="EQUITYPREMIUM"/>
      <sheetName val="PE-Band(港股)"/>
      <sheetName val="首页"/>
    </sheetNames>
    <sheetDataSet>
      <sheetData sheetId="0" refreshError="1"/>
      <sheetData sheetId="1" refreshError="1"/>
      <sheetData sheetId="2"/>
      <sheetData sheetId="3" refreshError="1"/>
      <sheetData sheetId="4" refreshError="1"/>
    </sheetDataSet>
  </externalBook>
</externalLink>
</file>

<file path=xl/externalLinks/externalLink3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ink"/>
      <sheetName val="Sparc"/>
      <sheetName val="Data"/>
      <sheetName val="Daily"/>
      <sheetName val="Assumptions"/>
      <sheetName val="PL"/>
      <sheetName val="CF"/>
      <sheetName val="BS"/>
      <sheetName val="NAV"/>
      <sheetName val="Dev"/>
      <sheetName val="Dev Sum"/>
      <sheetName val="Inv"/>
      <sheetName val="Inv Sum"/>
      <sheetName val="pre-sale"/>
      <sheetName val="smr"/>
      <sheetName val="Spark"/>
      <sheetName val="Land bank"/>
      <sheetName val="Z-Score"/>
      <sheetName val="Ratio"/>
      <sheetName val="int."/>
      <sheetName val="Sheet15"/>
      <sheetName val="设置"/>
      <sheetName val="Sheet1"/>
      <sheetName val="Bal Sheet &amp; Cash Flow"/>
      <sheetName val="P&amp;L"/>
      <sheetName val="LD monthly data"/>
      <sheetName val="Inputs_NonTimeBased"/>
      <sheetName val="EQUITYPREMIUM"/>
      <sheetName val="Consolidated Financials"/>
      <sheetName val="全国固投"/>
      <sheetName val="eval"/>
      <sheetName val="debt"/>
      <sheetName val="Projections"/>
      <sheetName val="Other"/>
      <sheetName val="R&amp;M"/>
      <sheetName val="chems"/>
      <sheetName val="SNAM"/>
      <sheetName val="groupE&amp;P"/>
      <sheetName val="RoW"/>
      <sheetName val="North Sea"/>
      <sheetName val="West Africa"/>
      <sheetName val="Italy"/>
      <sheetName val="North Africa"/>
      <sheetName val="Oilservice"/>
      <sheetName val="assms"/>
      <sheetName val="Accounting"/>
      <sheetName val=" BRANCHES VS REEL"/>
      <sheetName val="纯碱价格(月)"/>
      <sheetName val="股价"/>
      <sheetName val="煤炭周价格 "/>
      <sheetName val="批发价格"/>
      <sheetName val="BEILAND1109"/>
      <sheetName val="Cover"/>
      <sheetName val="分离债利率走势"/>
      <sheetName val="分离债利差走势"/>
      <sheetName val="PROFSVC"/>
      <sheetName val="Q_MODEL"/>
      <sheetName val="公司说明"/>
      <sheetName val="复杂FCFF"/>
      <sheetName val="Loan_Q"/>
      <sheetName val="FY Model"/>
      <sheetName val="Indexes"/>
      <sheetName val="Truck Output"/>
      <sheetName val="Car Output"/>
      <sheetName val="Plottool"/>
      <sheetName val="Basic Financials"/>
      <sheetName val="首页"/>
      <sheetName val="资本开支"/>
      <sheetName val="PE-Band(港股)"/>
      <sheetName val="估值－2"/>
      <sheetName val="假设"/>
      <sheetName val="DCF"/>
      <sheetName val="#REF"/>
      <sheetName val="PNL"/>
      <sheetName val="database"/>
      <sheetName val="Investment"/>
      <sheetName val="user"/>
      <sheetName val="PZN DCF"/>
      <sheetName val="Prices"/>
      <sheetName val="B"/>
      <sheetName val="二级行业市场表现"/>
      <sheetName val="平安太保EV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>
        <row r="97">
          <cell r="H97">
            <v>1496.4594279999999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</sheetDataSet>
  </externalBook>
</externalLink>
</file>

<file path=xl/externalLinks/externalLink3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FORECAST_OUTSAM"/>
      <sheetName val="Bloomberg即时版"/>
      <sheetName val="EQUITYPREMIUM"/>
    </sheetNames>
    <sheetDataSet>
      <sheetData sheetId="0"/>
      <sheetData sheetId="1" refreshError="1"/>
      <sheetData sheetId="2" refreshError="1"/>
    </sheetDataSet>
  </externalBook>
</externalLink>
</file>

<file path=xl/externalLinks/externalLink3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PE-Band(A股)"/>
      <sheetName val="Sheet2"/>
      <sheetName val="Sheet1"/>
      <sheetName val="PE-Band(港股)"/>
      <sheetName val="Sheet6"/>
      <sheetName val="PE-Band(指数)"/>
      <sheetName val="使用说明"/>
      <sheetName val="太阳纸业"/>
      <sheetName val="玖龙纸业"/>
      <sheetName val="理文纸业"/>
      <sheetName val="山鹰纸业"/>
      <sheetName val="晨鸣纸业"/>
      <sheetName val="博汇纸业"/>
      <sheetName val="FORECAST_OUTSAM"/>
      <sheetName val="基本金属"/>
      <sheetName val="基本金属期货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4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CE-IN"/>
      <sheetName val="ACE-OUT"/>
      <sheetName val="Stand-TB"/>
      <sheetName val="Project details"/>
      <sheetName val="Interim"/>
      <sheetName val="FX "/>
      <sheetName val="Rmb"/>
      <sheetName val="Sheet1"/>
      <sheetName val="Quarterly"/>
      <sheetName val="Consolidated "/>
      <sheetName val="FinStmt"/>
      <sheetName val="Sheet3"/>
      <sheetName val="Tables"/>
      <sheetName val="Price"/>
      <sheetName val="NH"/>
      <sheetName val="NJ-SH II"/>
      <sheetName val="S-A(XC)"/>
      <sheetName val="N-A(GJ)"/>
      <sheetName val="NL"/>
      <sheetName val="JY Bdg"/>
      <sheetName val="WACC"/>
      <sheetName val="Sheet2"/>
      <sheetName val="Yicao"/>
      <sheetName val="sensitivity analysis"/>
      <sheetName val="current toll rate comparison"/>
    </sheetNames>
    <sheetDataSet>
      <sheetData sheetId="0"/>
      <sheetData sheetId="1" refreshError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4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Jihe WestInt_Paid"/>
      <sheetName val="Jihe WestCashEarnings"/>
      <sheetName val="民用燃煤消费量"/>
      <sheetName val="PL"/>
      <sheetName val="902"/>
      <sheetName val="BS Growth"/>
      <sheetName val="ACE-OUT"/>
      <sheetName val="Data"/>
      <sheetName val="Valuation"/>
      <sheetName val="PZN DCF"/>
      <sheetName val="主营构成"/>
      <sheetName val="十大股东"/>
      <sheetName val="战略优势"/>
      <sheetName val="生产端"/>
      <sheetName val="控股或参股公司"/>
      <sheetName val="销售"/>
      <sheetName val="成本优势"/>
      <sheetName val="快速应对客户需求"/>
      <sheetName val="竞争对手对比"/>
      <sheetName val="全球继电器市场 子领域"/>
      <sheetName val="市场判断-细分赛道"/>
      <sheetName val="调研资料整理"/>
      <sheetName val="新能源车市场总表"/>
      <sheetName val="高压直流继电器"/>
      <sheetName val="汽车继电器"/>
      <sheetName val="家电 通用"/>
      <sheetName val="电力继电器"/>
      <sheetName val="商品房销售面积"/>
      <sheetName val="工控"/>
      <sheetName val="通信"/>
      <sheetName val="低压电器"/>
      <sheetName val="Sheet1"/>
      <sheetName val="DCF"/>
      <sheetName val="CVC NY GAAP Fin. Statements"/>
      <sheetName val="绝对估值"/>
      <sheetName val="国别GDP"/>
      <sheetName val="Inputs_NonTimeBased"/>
      <sheetName val="Costs_Table"/>
      <sheetName val="FORECAST_OUTSAM"/>
      <sheetName val="Jihe_WestInt_Paid"/>
      <sheetName val="GEMiner"/>
      <sheetName val="EX-IM main"/>
      <sheetName val="Comps Raw"/>
      <sheetName val="FXRATES"/>
      <sheetName val="Consolidated Financials"/>
      <sheetName val="_Control"/>
      <sheetName val="(13)商用车"/>
      <sheetName val="Report1"/>
      <sheetName val="AP"/>
      <sheetName val="未来10年保费预测"/>
      <sheetName val="Global Assumptions"/>
      <sheetName val="CopperSupplyDemand"/>
      <sheetName val="P&amp;L"/>
      <sheetName val="Layout"/>
      <sheetName val="VOCs行业新闻更新"/>
      <sheetName val="c1"/>
      <sheetName val="NDF"/>
      <sheetName val="Essbase RESEAU"/>
      <sheetName val="PetroConsultants"/>
      <sheetName val="B"/>
      <sheetName val="Ratios"/>
      <sheetName val="C"/>
      <sheetName val="进口大豆价格-data"/>
      <sheetName val="水泥固投"/>
      <sheetName val="SMR"/>
      <sheetName val="Instruction"/>
      <sheetName val="Monthly figures"/>
      <sheetName val="DEMAND"/>
      <sheetName val="估值－2"/>
      <sheetName val="假设"/>
      <sheetName val="GOE"/>
      <sheetName val="图表输出-各种增长率对比图表"/>
      <sheetName val="Dmab summary"/>
      <sheetName val="PE-Band(港股)"/>
      <sheetName val="资产负债表"/>
      <sheetName val="融资"/>
      <sheetName val="投资"/>
      <sheetName val="设置"/>
      <sheetName val="股东权益变动表"/>
      <sheetName val="利润表"/>
      <sheetName val="利润表(QoQ)"/>
      <sheetName val="预测假设"/>
      <sheetName val="Raw"/>
      <sheetName val="目录"/>
      <sheetName val="Annual disposable income-urban"/>
      <sheetName val="GYSTD LIST"/>
      <sheetName val="Info"/>
      <sheetName val="毛利率分析表"/>
      <sheetName val="LTM"/>
      <sheetName val="CREDIT STATS"/>
      <sheetName val="DropZone"/>
      <sheetName val="MAIN"/>
      <sheetName val="DCF Inputs"/>
      <sheetName val="Link"/>
      <sheetName val="FX"/>
      <sheetName val="Bunkers"/>
      <sheetName val="CATI"/>
      <sheetName val="Earnings Macros"/>
      <sheetName val="Spot Earnings"/>
      <sheetName val="Gulf Spot"/>
      <sheetName val="Spot Activity"/>
      <sheetName val="Port Costs"/>
      <sheetName val="Spot Rates"/>
      <sheetName val="REER"/>
      <sheetName val="Prices"/>
      <sheetName val="Amzn"/>
      <sheetName val="Collateral"/>
      <sheetName val="Gen_Assumptions"/>
      <sheetName val="fai"/>
      <sheetName val="IndexInformation"/>
      <sheetName val="Client Data"/>
      <sheetName val="LD monthly dat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57">
          <cell r="A57" t="str">
            <v>成本</v>
          </cell>
        </row>
      </sheetData>
      <sheetData sheetId="11">
        <row r="57">
          <cell r="A57" t="str">
            <v>成本</v>
          </cell>
        </row>
      </sheetData>
      <sheetData sheetId="12">
        <row r="57">
          <cell r="A57" t="str">
            <v>成本</v>
          </cell>
        </row>
      </sheetData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57">
          <cell r="A57" t="str">
            <v>成本</v>
          </cell>
        </row>
      </sheetData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</sheetDataSet>
  </externalBook>
</externalLink>
</file>

<file path=xl/externalLinks/externalLink4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敏感性分析"/>
    </sheetNames>
    <sheetDataSet>
      <sheetData sheetId="0" refreshError="1"/>
    </sheetDataSet>
  </externalBook>
</externalLink>
</file>

<file path=xl/externalLinks/externalLink4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GEMiner (3)"/>
      <sheetName val="GEMiner (2)"/>
      <sheetName val="Chart data"/>
      <sheetName val="Bkdwn of exports"/>
      <sheetName val="Cost structure"/>
      <sheetName val="China Monitor"/>
      <sheetName val="KONKA.XLS"/>
      <sheetName val="K.XLS (12-04-96)"/>
      <sheetName val="K.XLS (13-1-97)"/>
      <sheetName val="K.XLS (15-4-97)"/>
      <sheetName val="K.XLS (2-6-97)"/>
      <sheetName val="Previous forecast"/>
      <sheetName val="Stresstest"/>
      <sheetName val="Master "/>
      <sheetName val="GEMiner"/>
      <sheetName val="GEModel"/>
      <sheetName val="耀皮B股"/>
      <sheetName val="industry output"/>
      <sheetName val="Jihe WestInt_Paid"/>
      <sheetName val="GEMiner_(3)"/>
      <sheetName val="GEMiner_(2)"/>
      <sheetName val="Chart_data"/>
      <sheetName val="Bkdwn_of_exports"/>
      <sheetName val="Cost_structure"/>
      <sheetName val="China_Monitor"/>
      <sheetName val="KONKA_XLS"/>
      <sheetName val="K_XLS_(12-04-96)"/>
      <sheetName val="K_XLS_(13-1-97)"/>
      <sheetName val="K_XLS_(15-4-97)"/>
      <sheetName val="K_XLS_(2-6-97)"/>
      <sheetName val="Previous_forecast"/>
      <sheetName val="Master_"/>
      <sheetName val="敏感性分析"/>
      <sheetName val="AP"/>
      <sheetName val="SMR"/>
      <sheetName val="Valuation"/>
      <sheetName val="BS Growth"/>
      <sheetName val="KONKA3"/>
      <sheetName val="FXRATES"/>
      <sheetName val="隐含折现率"/>
      <sheetName val="CVC NY GAAP Fin. Statements"/>
      <sheetName val="估值－2"/>
      <sheetName val="假设"/>
      <sheetName val="FORECAST_OUTSAM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</sheetDataSet>
  </externalBook>
</externalLink>
</file>

<file path=xl/externalLinks/externalLink4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概况"/>
      <sheetName val="利润表"/>
      <sheetName val="主营业务收入"/>
      <sheetName val="融资"/>
      <sheetName val="存货"/>
      <sheetName val="金融街地块明细"/>
      <sheetName val="外地"/>
      <sheetName val="投资性物业"/>
      <sheetName val="北京房地产"/>
      <sheetName val="投资性物业(刘浩)"/>
      <sheetName val="投资性物业(Print)(刘浩)"/>
      <sheetName val="开发性物业(刘浩)"/>
      <sheetName val="开发性物业(Print)(刘浩)"/>
      <sheetName val="存货 (刘浩)"/>
      <sheetName val="GEMiner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  <sheetData sheetId="10" refreshError="1"/>
      <sheetData sheetId="11"/>
      <sheetData sheetId="12" refreshError="1"/>
      <sheetData sheetId="13" refreshError="1"/>
      <sheetData sheetId="14" refreshError="1"/>
    </sheetDataSet>
  </externalBook>
</externalLink>
</file>

<file path=xl/externalLinks/externalLink4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主营业务"/>
      <sheetName val="财务对照表"/>
      <sheetName val="现金流量原始数据"/>
      <sheetName val="数据输入"/>
      <sheetName val="数据"/>
      <sheetName val="备用数据"/>
      <sheetName val="说明"/>
      <sheetName val="目录"/>
      <sheetName val="年度数据重构"/>
      <sheetName val="年度数据"/>
      <sheetName val="收入成本预测"/>
      <sheetName val="单产品敏感性分析"/>
      <sheetName val="假设"/>
      <sheetName val="营运资本"/>
      <sheetName val="资本投资"/>
      <sheetName val="债务"/>
      <sheetName val="利润表"/>
      <sheetName val="资产负债"/>
      <sheetName val="现金流量"/>
      <sheetName val="财务分析"/>
      <sheetName val="图形"/>
      <sheetName val="估值"/>
      <sheetName val="情景表"/>
      <sheetName val="绝对估值"/>
      <sheetName val="绝对估值敏感性分析"/>
      <sheetName val="相对估值"/>
      <sheetName val="报告期历史数据"/>
      <sheetName val="资产规模指数化分析"/>
      <sheetName val="输出_BD"/>
      <sheetName val="数据输入季度数据"/>
      <sheetName val="季度数据"/>
      <sheetName val="季度财务分析"/>
      <sheetName val="报告期利润变化"/>
      <sheetName val="输出"/>
      <sheetName val="东吴输出"/>
      <sheetName val="首页"/>
      <sheetName val="PE-Band(港股)"/>
      <sheetName val="Sheet1"/>
      <sheetName val="敏感性分析"/>
      <sheetName val="Bloomberg即时版"/>
      <sheetName val="Cache"/>
      <sheetName val="单公司Beta"/>
      <sheetName val="资产负债表"/>
      <sheetName val="融资"/>
      <sheetName val="投资"/>
      <sheetName val="设置"/>
      <sheetName val="股东权益变动表"/>
      <sheetName val="利润表(QoQ)"/>
      <sheetName val="预测假设"/>
      <sheetName val="估值－2"/>
      <sheetName val="板块配置"/>
      <sheetName val="Calculations"/>
      <sheetName val="中怡康零售数据监测"/>
      <sheetName val="空调零售数据(中怡康)"/>
      <sheetName val="主要家电类产品月度产量"/>
      <sheetName val="洗衣机零售数据(中怡康)"/>
      <sheetName val="油烟机零售数据(中怡康)"/>
      <sheetName val="下游房地产月度数据详细统计"/>
      <sheetName val="合格证丨车企&amp;三电明细"/>
      <sheetName val="乘联会丨销量"/>
      <sheetName val="锂电池丨产能、产量、格局"/>
      <sheetName val="电解液丨产能、产量、格局"/>
      <sheetName val="负极丨产能、产量、格局"/>
      <sheetName val="隔膜丨产能、产量、格局"/>
      <sheetName val="全球产销分析"/>
      <sheetName val="合格证丨产量&amp;装机总量"/>
      <sheetName val="产业链价格高频&amp;季度跟踪"/>
      <sheetName val="正极丨产能、产量、格局"/>
      <sheetName val="中汽协丨产销量"/>
      <sheetName val="总供给—进出口"/>
      <sheetName val="宏观"/>
      <sheetName val="东吴估值模型 贝格版20180509"/>
      <sheetName val="Assumptions"/>
      <sheetName val="Cover"/>
      <sheetName val="SWIndex"/>
      <sheetName val="T_21"/>
      <sheetName val="FORECAST_OUTSAM"/>
      <sheetName val="资本开支"/>
      <sheetName val="Variables"/>
      <sheetName val="CHART"/>
      <sheetName val="跟踪表（明细表）"/>
      <sheetName val="市场表现"/>
      <sheetName val="Prices"/>
      <sheetName val="Jihe WestInt_Paid"/>
      <sheetName val="分船型月度跟踪"/>
      <sheetName val="REVIEWRATE"/>
      <sheetName val="EQUITYPREMIUM"/>
      <sheetName val="NWDP&amp;L"/>
      <sheetName val="GEMiner"/>
      <sheetName val="隐含折现率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</sheetDataSet>
  </externalBook>
</externalLink>
</file>

<file path=xl/externalLinks/externalLink4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模型说明"/>
      <sheetName val="公司说明"/>
      <sheetName val="财务分析"/>
      <sheetName val="预测汇总.shadow"/>
      <sheetName val="SYSDATA"/>
      <sheetName val="收入预测"/>
      <sheetName val="收入细分"/>
      <sheetName val="房地产收入细分"/>
      <sheetName val="地产业务项目列表"/>
      <sheetName val="增值税"/>
      <sheetName val="房地产"/>
      <sheetName val="新建商品住宅房价变化"/>
      <sheetName val="成本细分"/>
      <sheetName val="费用细分"/>
      <sheetName val="营业外收入"/>
      <sheetName val="CAPEX"/>
      <sheetName val="利润表"/>
      <sheetName val="资产负债表假设"/>
      <sheetName val="资产负债"/>
      <sheetName val="现金流量"/>
      <sheetName val="复杂FCFF"/>
      <sheetName val="简单FCFF"/>
      <sheetName val="DDM"/>
      <sheetName val="资金成本"/>
      <sheetName val="预测汇总"/>
      <sheetName val="季报分析"/>
      <sheetName val="输出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externalLinks/externalLink4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首页"/>
      <sheetName val="市场表现"/>
      <sheetName val="市场表现（2）"/>
      <sheetName val="市场表现（3）"/>
      <sheetName val="市场表现_4"/>
      <sheetName val="金属价格涨跌速览"/>
      <sheetName val="金属价格涨跌速览（2）"/>
      <sheetName val="金属价格涨跌速览(3)"/>
      <sheetName val="一周事件"/>
      <sheetName val="报告回顾"/>
      <sheetName val="重点跟踪公司估值"/>
      <sheetName val="宏观数据"/>
      <sheetName val="WIND宏观数据"/>
      <sheetName val="图表辅助"/>
      <sheetName val="铜"/>
      <sheetName val="铝"/>
      <sheetName val="铅"/>
      <sheetName val="锌"/>
      <sheetName val="锡"/>
      <sheetName val="镍"/>
      <sheetName val="贵金属"/>
      <sheetName val="稀土"/>
      <sheetName val="其他金属"/>
      <sheetName val="信息披露与法律声明"/>
      <sheetName val="假设"/>
      <sheetName val="利润表"/>
      <sheetName val="资产负债"/>
      <sheetName val="投资"/>
      <sheetName val="筹资"/>
      <sheetName val="绝对估值"/>
      <sheetName val="Bloomberg即时版"/>
      <sheetName val="卫生巾行业价值链"/>
      <sheetName val="单产品敏感性分析"/>
      <sheetName val="年度数据"/>
      <sheetName val="单公司Beta"/>
      <sheetName val="现金流量"/>
      <sheetName val="资本投资"/>
      <sheetName val="PE-Band(港股)"/>
      <sheetName val="板块配置"/>
      <sheetName val="浆、废纸、各纸种标杆价格（单日）"/>
      <sheetName val="各纸种及废纸库存（月度）"/>
      <sheetName val="煤炭及溶解浆价格（单日）"/>
      <sheetName val="家具月数据"/>
      <sheetName val="包装印刷日数据"/>
      <sheetName val="国内外木浆库存（月度）"/>
      <sheetName val="基本金属"/>
      <sheetName val="基本金属期货"/>
      <sheetName val="其它金属"/>
      <sheetName val="大宗商品"/>
      <sheetName val="backup行业走势"/>
      <sheetName val="资产负债表"/>
      <sheetName val="融资"/>
      <sheetName val="设置"/>
      <sheetName val="股东权益变动表"/>
      <sheetName val="利润表(QoQ)"/>
      <sheetName val="预测假设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4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新增份额"/>
      <sheetName val="newissued"/>
      <sheetName val="sturcture_Q"/>
      <sheetName val="Loan_Q"/>
    </sheetNames>
    <sheetDataSet>
      <sheetData sheetId="0"/>
      <sheetData sheetId="1"/>
      <sheetData sheetId="2"/>
      <sheetData sheetId="3" refreshError="1"/>
    </sheetDataSet>
  </externalBook>
</externalLink>
</file>

<file path=xl/externalLinks/externalLink4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3"/>
    </xxl21:alternateUrls>
    <sheetNames>
      <sheetName val="目录"/>
      <sheetName val="跟踪表（明细表）"/>
      <sheetName val="跟踪表（简易表）"/>
      <sheetName val="热点公司跟踪表"/>
      <sheetName val="总结表"/>
      <sheetName val="调整对照表"/>
      <sheetName val="名单调整表"/>
      <sheetName val="行业分类表"/>
      <sheetName val="行业公司对照表"/>
      <sheetName val="假设"/>
      <sheetName val="利润表"/>
      <sheetName val="资产负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5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还有什么政策列表"/>
      <sheetName val="2010年以来对09、10年业绩预测调整，利润总额的时间序列"/>
      <sheetName val="消费品相对估值"/>
      <sheetName val="消费类行业市值占比"/>
      <sheetName val="申万重点公司盈利预测和股指敏感性分析"/>
      <sheetName val="申万二级行业自去年10月涨跌幅"/>
      <sheetName val="消费类行业市值占比（wind数据）"/>
      <sheetName val="跟踪表（明细表）"/>
      <sheetName val="分离债利率走势"/>
      <sheetName val="分离债利差走势"/>
      <sheetName val="假设"/>
      <sheetName val="利润表"/>
      <sheetName val="资产负债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5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Cache"/>
    </sheetNames>
    <sheetDataSet>
      <sheetData sheetId="0" refreshError="1"/>
    </sheetDataSet>
  </externalBook>
</externalLink>
</file>

<file path=xl/externalLinks/externalLink5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模型说明"/>
      <sheetName val="模型目录"/>
      <sheetName val="公司说明"/>
      <sheetName val="输出"/>
      <sheetName val="关键假设"/>
      <sheetName val="Sheet1"/>
      <sheetName val="收入明细"/>
      <sheetName val="利润表"/>
      <sheetName val="资产负债"/>
      <sheetName val="现金流量"/>
      <sheetName val="季报分析"/>
      <sheetName val="财务分析"/>
      <sheetName val="DCF工具"/>
      <sheetName val="复杂FCFF"/>
      <sheetName val="简单FCFF"/>
      <sheetName val="DDM"/>
      <sheetName val="相对估值"/>
      <sheetName val="资金成本"/>
    </sheetNames>
    <sheetDataSet>
      <sheetData sheetId="0"/>
      <sheetData sheetId="1"/>
      <sheetData sheetId="2"/>
      <sheetData sheetId="3"/>
      <sheetData sheetId="4" refreshError="1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5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目录"/>
      <sheetName val="年度数据重构"/>
      <sheetName val="会计科目代码"/>
      <sheetName val="操作指南"/>
      <sheetName val="历史数据"/>
      <sheetName val="历史数据（简化）"/>
      <sheetName val="年度数据 (函数)"/>
      <sheetName val="年度数据"/>
      <sheetName val="假设"/>
      <sheetName val="输出"/>
      <sheetName val="收入成本预测"/>
      <sheetName val="收入预测"/>
      <sheetName val="报告期历史数据"/>
      <sheetName val="季度利润表预测"/>
      <sheetName val="利润表"/>
      <sheetName val="收入驱动拆分"/>
      <sheetName val="现金流量"/>
      <sheetName val="债务"/>
      <sheetName val="资产负债"/>
      <sheetName val="单季度利润表"/>
      <sheetName val="资本投资"/>
      <sheetName val="营运资本"/>
      <sheetName val="财务分析"/>
      <sheetName val="预测合理性检验"/>
      <sheetName val="估值"/>
      <sheetName val="Cache"/>
      <sheetName val="可比公司估值"/>
      <sheetName val="相对估值"/>
      <sheetName val="1"/>
      <sheetName val="绝对估值"/>
      <sheetName val="单产品敏感性分析"/>
      <sheetName val="情景表"/>
      <sheetName val="绝对估值敏感性分析"/>
      <sheetName val="单公司Beta"/>
      <sheetName val="季度数据"/>
      <sheetName val="季度财务分析"/>
      <sheetName val="GraphData"/>
      <sheetName val="季度分析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</sheetDataSet>
  </externalBook>
</externalLink>
</file>

<file path=xl/externalLinks/externalLink5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user"/>
    </sheetNames>
    <sheetDataSet>
      <sheetData sheetId="0" refreshError="1"/>
    </sheetDataSet>
  </externalBook>
</externalLink>
</file>

<file path=xl/externalLinks/externalLink5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无风险收益"/>
      <sheetName val="收益预测"/>
      <sheetName val="Sheet1"/>
      <sheetName val="历史数据"/>
      <sheetName val="联邦模型"/>
      <sheetName val="隐含折现率"/>
      <sheetName val="Cache"/>
    </sheetNames>
    <sheetDataSet>
      <sheetData sheetId="0"/>
      <sheetData sheetId="1"/>
      <sheetData sheetId="2"/>
      <sheetData sheetId="3"/>
      <sheetData sheetId="4"/>
      <sheetData sheetId="5"/>
      <sheetData sheetId="6" refreshError="1"/>
    </sheetDataSet>
  </externalBook>
</externalLink>
</file>

<file path=xl/externalLinks/externalLink5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REVIEWRATE"/>
      <sheetName val="首页"/>
      <sheetName val="Reference"/>
      <sheetName val="利润表"/>
    </sheetNames>
    <sheetDataSet>
      <sheetData sheetId="0"/>
      <sheetData sheetId="1" refreshError="1"/>
      <sheetData sheetId="2" refreshError="1"/>
      <sheetData sheetId="3" refreshError="1"/>
    </sheetDataSet>
  </externalBook>
</externalLink>
</file>

<file path=xl/externalLinks/externalLink5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指数"/>
      <sheetName val="换手率"/>
      <sheetName val="换手深"/>
      <sheetName val="成本"/>
      <sheetName val="A股价"/>
      <sheetName val="市盈率"/>
      <sheetName val="市净率"/>
      <sheetName val="SWIndex"/>
      <sheetName val="热点"/>
      <sheetName val="Sheet1"/>
      <sheetName val="上海市场"/>
      <sheetName val="深圳市场"/>
      <sheetName val="all"/>
      <sheetName val="T_21"/>
      <sheetName val="隐含折现率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/>
      <sheetData sheetId="14" refreshError="1"/>
    </sheetDataSet>
  </externalBook>
</externalLink>
</file>

<file path=xl/externalLinks/externalLink5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#REF"/>
      <sheetName val="#REF!"/>
      <sheetName val="GEMiner"/>
      <sheetName val="Sample Layout"/>
      <sheetName val="MarketDMA"/>
      <sheetName val="Catalyst"/>
      <sheetName val="隐含折现率"/>
      <sheetName val="volume"/>
      <sheetName val="设置"/>
      <sheetName val="REVIEWRATE"/>
      <sheetName val="SWIndex"/>
      <sheetName val="T_21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5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MR"/>
      <sheetName val="Summary"/>
      <sheetName val="A"/>
      <sheetName val="P&amp;L"/>
      <sheetName val="#REF"/>
      <sheetName val="DCF"/>
      <sheetName val="隐含折现率"/>
      <sheetName val="Valuation"/>
      <sheetName val="user"/>
      <sheetName val="Cache"/>
      <sheetName val="SWIndex"/>
      <sheetName val="T_21"/>
      <sheetName val="Parc. de ICMS"/>
      <sheetName val="tabela"/>
      <sheetName val="integral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6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作者信息"/>
      <sheetName val="目录"/>
      <sheetName val="概览"/>
      <sheetName val="每周观点"/>
      <sheetName val="相关关系图"/>
      <sheetName val="远期曲线"/>
      <sheetName val="国内公司"/>
      <sheetName val="国外公司"/>
      <sheetName val="宏观-OECD"/>
      <sheetName val="国外经济"/>
      <sheetName val="国内经济"/>
      <sheetName val="市场指数"/>
      <sheetName val="要素监控"/>
      <sheetName val="流动性指标"/>
      <sheetName val="利率汇率"/>
      <sheetName val="基本金属"/>
      <sheetName val="基本金属期货"/>
      <sheetName val="基本金属国内外套利"/>
      <sheetName val="金属库存"/>
      <sheetName val="国内产量"/>
      <sheetName val="进出口量"/>
      <sheetName val="国内消费量"/>
      <sheetName val="供需平衡表"/>
      <sheetName val="黄金供需平衡表"/>
      <sheetName val="供需平衡图"/>
      <sheetName val="LME升贴水"/>
      <sheetName val="金属原料价格"/>
      <sheetName val="贵金属"/>
      <sheetName val="稀有金属"/>
      <sheetName val="稀土"/>
      <sheetName val="下游行业"/>
      <sheetName val="免责声明"/>
      <sheetName val="行业固定资产投资1"/>
      <sheetName val="行业效益1"/>
      <sheetName val="Bloomberg即时版"/>
      <sheetName val="Valuation"/>
      <sheetName val="隐含折现率"/>
      <sheetName val="tabela"/>
      <sheetName val="integral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</sheetDataSet>
  </externalBook>
</externalLink>
</file>

<file path=xl/externalLinks/externalLink6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基础信息"/>
      <sheetName val="说明"/>
      <sheetName val="个股资料"/>
      <sheetName val="纵比"/>
      <sheetName val="横比"/>
      <sheetName val="行业业绩"/>
      <sheetName val="波动原因"/>
      <sheetName val="地区业绩"/>
      <sheetName val="盈利预测"/>
      <sheetName val="相对估值"/>
      <sheetName val="图表Ⅰ"/>
      <sheetName val="图表Ⅱ"/>
      <sheetName val="指数"/>
      <sheetName val="市盈率"/>
      <sheetName val="样本股"/>
      <sheetName val="deve"/>
      <sheetName val="FORECAST_OUTSAM"/>
      <sheetName val="Valuatio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/>
      <sheetData sheetId="17" refreshError="1"/>
    </sheetDataSet>
  </externalBook>
</externalLink>
</file>

<file path=xl/externalLinks/externalLink6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图表输出-各种增长率对比图表"/>
    </sheetNames>
    <sheetDataSet>
      <sheetData sheetId="0" refreshError="1"/>
    </sheetDataSet>
  </externalBook>
</externalLink>
</file>

<file path=xl/externalLinks/externalLink6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PE-Band(港股)"/>
      <sheetName val="基本金属"/>
      <sheetName val="基本金属期货"/>
      <sheetName val="指数"/>
      <sheetName val="个股资料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6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分船型月度跟踪"/>
    </sheetNames>
    <sheetDataSet>
      <sheetData sheetId="0" refreshError="1"/>
    </sheetDataSet>
  </externalBook>
</externalLink>
</file>

<file path=xl/externalLinks/externalLink6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PE-Band(港股)"/>
      <sheetName val="基本金属"/>
      <sheetName val="基本金属期货"/>
      <sheetName val="假设"/>
      <sheetName val="利润表"/>
      <sheetName val="资产负债"/>
      <sheetName val="韩国"/>
      <sheetName val="台湾"/>
      <sheetName val="分船型月度跟踪"/>
    </sheetNames>
    <sheetDataSet>
      <sheetData sheetId="0"/>
      <sheetData sheetId="1"/>
      <sheetData sheetId="2"/>
      <sheetData sheetId="3"/>
      <sheetData sheetId="4"/>
      <sheetData sheetId="5"/>
      <sheetData sheetId="6" refreshError="1"/>
      <sheetData sheetId="7" refreshError="1"/>
      <sheetData sheetId="8" refreshError="1"/>
    </sheetDataSet>
  </externalBook>
</externalLink>
</file>

<file path=xl/externalLinks/externalLink6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PE-Band(港股)"/>
      <sheetName val="基本金属"/>
      <sheetName val="基本金属期货"/>
      <sheetName val="假设"/>
      <sheetName val="利润表"/>
      <sheetName val="资产负债"/>
      <sheetName val="韩国"/>
      <sheetName val="台湾"/>
      <sheetName val="箱板各地库存"/>
      <sheetName val="分船型月度跟踪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6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PE-Band(港股)"/>
      <sheetName val="韩国"/>
      <sheetName val="台湾"/>
    </sheetNames>
    <sheetDataSet>
      <sheetData sheetId="0" refreshError="1"/>
      <sheetData sheetId="1" refreshError="1"/>
      <sheetData sheetId="2" refreshError="1"/>
    </sheetDataSet>
  </externalBook>
</externalLink>
</file>

<file path=xl/externalLinks/externalLink6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Sheet1"/>
      <sheetName val="分产品"/>
      <sheetName val="BS"/>
      <sheetName val="Sheet2"/>
      <sheetName val="Sheet3"/>
      <sheetName val="In"/>
      <sheetName val="CF"/>
      <sheetName val="复杂FCFF"/>
      <sheetName val="PE-Band(港股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6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Sheet1"/>
      <sheetName val="Sheet2"/>
      <sheetName val="Sheet3"/>
    </sheetNames>
    <definedNames>
      <definedName name="s_dq_close"/>
      <definedName name="s_est_eps"/>
      <definedName name="s_info_name"/>
      <definedName name="s_share_total"/>
      <definedName name="s_stm07_is_104"/>
      <definedName name="s_stm07_is_105"/>
      <definedName name="s_stmnote_profitapr"/>
      <definedName name="s_val_mv_ard"/>
    </definedNames>
    <sheetDataSet>
      <sheetData sheetId="0"/>
      <sheetData sheetId="1"/>
      <sheetData sheetId="2"/>
    </sheetDataSet>
  </externalBook>
</externalLink>
</file>

<file path=xl/externalLinks/externalLink7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mary"/>
      <sheetName val="Model"/>
      <sheetName val="DCF "/>
      <sheetName val="Data"/>
      <sheetName val="工程测算"/>
      <sheetName val="spv公司"/>
    </sheetNames>
    <sheetDataSet>
      <sheetData sheetId="0"/>
      <sheetData sheetId="1">
        <row r="33">
          <cell r="I33">
            <v>0</v>
          </cell>
        </row>
        <row r="34">
          <cell r="I34" t="e">
            <v>#DIV/0!</v>
          </cell>
        </row>
        <row r="35">
          <cell r="I35">
            <v>0</v>
          </cell>
        </row>
        <row r="36">
          <cell r="I36" t="e">
            <v>#DIV/0!</v>
          </cell>
        </row>
        <row r="37">
          <cell r="I37">
            <v>0</v>
          </cell>
        </row>
        <row r="38">
          <cell r="I38" t="e">
            <v>#DIV/0!</v>
          </cell>
        </row>
        <row r="39">
          <cell r="I39">
            <v>0</v>
          </cell>
        </row>
        <row r="40">
          <cell r="I40" t="e">
            <v>#DIV/0!</v>
          </cell>
        </row>
        <row r="50">
          <cell r="I50">
            <v>0</v>
          </cell>
        </row>
        <row r="51">
          <cell r="I51" t="e">
            <v>#DIV/0!</v>
          </cell>
        </row>
        <row r="54">
          <cell r="I54">
            <v>0</v>
          </cell>
        </row>
        <row r="56">
          <cell r="I56">
            <v>0</v>
          </cell>
        </row>
        <row r="57">
          <cell r="I57" t="e">
            <v>#DIV/0!</v>
          </cell>
        </row>
        <row r="66">
          <cell r="I66">
            <v>0</v>
          </cell>
        </row>
        <row r="67">
          <cell r="I67">
            <v>0</v>
          </cell>
        </row>
        <row r="71">
          <cell r="I71">
            <v>0</v>
          </cell>
        </row>
        <row r="72">
          <cell r="I72">
            <v>0</v>
          </cell>
        </row>
        <row r="73">
          <cell r="I73">
            <v>0</v>
          </cell>
        </row>
        <row r="74">
          <cell r="I74">
            <v>0</v>
          </cell>
        </row>
        <row r="75">
          <cell r="I75" t="e">
            <v>#DIV/0!</v>
          </cell>
        </row>
        <row r="76">
          <cell r="I76">
            <v>0</v>
          </cell>
        </row>
        <row r="77">
          <cell r="I77" t="e">
            <v>#DIV/0!</v>
          </cell>
        </row>
        <row r="79">
          <cell r="I79" t="e">
            <v>#DIV/0!</v>
          </cell>
        </row>
        <row r="80">
          <cell r="I80" t="e">
            <v>#DIV/0!</v>
          </cell>
        </row>
        <row r="81">
          <cell r="I81">
            <v>0</v>
          </cell>
        </row>
        <row r="91">
          <cell r="I91" t="e">
            <v>#DIV/0!</v>
          </cell>
        </row>
        <row r="93">
          <cell r="I93">
            <v>0</v>
          </cell>
        </row>
        <row r="102">
          <cell r="I102">
            <v>0</v>
          </cell>
        </row>
        <row r="115">
          <cell r="I115">
            <v>0</v>
          </cell>
        </row>
        <row r="129">
          <cell r="I129">
            <v>0</v>
          </cell>
        </row>
        <row r="132">
          <cell r="I132">
            <v>0</v>
          </cell>
        </row>
        <row r="138">
          <cell r="I138">
            <v>0</v>
          </cell>
        </row>
        <row r="139">
          <cell r="I139">
            <v>0</v>
          </cell>
        </row>
        <row r="142">
          <cell r="I142">
            <v>0</v>
          </cell>
        </row>
        <row r="150">
          <cell r="I150">
            <v>0</v>
          </cell>
        </row>
        <row r="151">
          <cell r="I151">
            <v>0</v>
          </cell>
        </row>
        <row r="152">
          <cell r="I152">
            <v>0</v>
          </cell>
        </row>
        <row r="176">
          <cell r="I176">
            <v>0</v>
          </cell>
        </row>
        <row r="179">
          <cell r="H179">
            <v>0</v>
          </cell>
        </row>
        <row r="181">
          <cell r="H181">
            <v>0</v>
          </cell>
        </row>
        <row r="183">
          <cell r="I183">
            <v>0</v>
          </cell>
        </row>
        <row r="187">
          <cell r="I187">
            <v>0</v>
          </cell>
        </row>
        <row r="193">
          <cell r="I193">
            <v>0</v>
          </cell>
        </row>
        <row r="201">
          <cell r="I201" t="e">
            <v>#DIV/0!</v>
          </cell>
        </row>
      </sheetData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2013 - 2022 主题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9E35-86AD-4C76-9A29-ED6F928C4CA8}">
  <sheetPr codeName="Sheet1">
    <tabColor theme="1"/>
    <pageSetUpPr fitToPage="1"/>
  </sheetPr>
  <dimension ref="A1:CU100"/>
  <sheetViews>
    <sheetView tabSelected="1" topLeftCell="A26" zoomScale="115" zoomScaleNormal="115" workbookViewId="0">
      <selection activeCell="BW11" sqref="BW11"/>
    </sheetView>
  </sheetViews>
  <sheetFormatPr defaultColWidth="9" defaultRowHeight="12.3" outlineLevelRow="2" outlineLevelCol="2"/>
  <cols>
    <col min="1" max="1" width="2.71875" style="8" customWidth="1"/>
    <col min="2" max="2" width="25.27734375" style="7" customWidth="1"/>
    <col min="3" max="3" width="1.71875" style="7" customWidth="1"/>
    <col min="4" max="4" width="8.5546875" style="7" hidden="1" customWidth="1" outlineLevel="1"/>
    <col min="5" max="5" width="10.5546875" style="7" hidden="1" customWidth="1" collapsed="1"/>
    <col min="6" max="8" width="8.83203125" style="7" hidden="1" customWidth="1"/>
    <col min="9" max="10" width="9.27734375" style="7" hidden="1" customWidth="1" outlineLevel="2"/>
    <col min="11" max="11" width="9.27734375" style="7" hidden="1" customWidth="1" outlineLevel="1"/>
    <col min="12" max="13" width="9.27734375" style="7" hidden="1" customWidth="1" outlineLevel="2"/>
    <col min="14" max="14" width="9.27734375" style="7" hidden="1" customWidth="1" outlineLevel="1"/>
    <col min="15" max="15" width="8.83203125" style="7" hidden="1" customWidth="1" collapsed="1"/>
    <col min="16" max="17" width="9.27734375" style="7" hidden="1" customWidth="1" outlineLevel="2"/>
    <col min="18" max="18" width="9.27734375" style="7" hidden="1" customWidth="1" outlineLevel="1"/>
    <col min="19" max="20" width="9.27734375" style="7" hidden="1" customWidth="1" outlineLevel="2"/>
    <col min="21" max="21" width="9.27734375" style="7" hidden="1" customWidth="1" outlineLevel="1"/>
    <col min="22" max="22" width="8.83203125" style="7" hidden="1" customWidth="1" collapsed="1"/>
    <col min="23" max="24" width="9.27734375" style="7" hidden="1" customWidth="1" outlineLevel="2"/>
    <col min="25" max="25" width="9.27734375" style="7" hidden="1" customWidth="1" outlineLevel="1"/>
    <col min="26" max="27" width="9.27734375" style="7" hidden="1" customWidth="1" outlineLevel="2"/>
    <col min="28" max="28" width="10" style="7" hidden="1" customWidth="1" outlineLevel="1"/>
    <col min="29" max="29" width="8.83203125" style="7" hidden="1" customWidth="1" collapsed="1"/>
    <col min="30" max="31" width="9.27734375" style="7" hidden="1" customWidth="1" outlineLevel="2"/>
    <col min="32" max="32" width="9.27734375" style="7" hidden="1" customWidth="1" outlineLevel="1"/>
    <col min="33" max="34" width="9.27734375" style="7" hidden="1" customWidth="1" outlineLevel="2"/>
    <col min="35" max="35" width="10" style="7" hidden="1" customWidth="1" outlineLevel="1"/>
    <col min="36" max="36" width="8.83203125" style="7" hidden="1" customWidth="1" collapsed="1"/>
    <col min="37" max="37" width="8.83203125" style="7" hidden="1" customWidth="1" outlineLevel="2"/>
    <col min="38" max="38" width="9.27734375" style="7" hidden="1" customWidth="1" outlineLevel="2"/>
    <col min="39" max="39" width="9.27734375" style="7" hidden="1" customWidth="1" outlineLevel="1"/>
    <col min="40" max="41" width="9.27734375" style="7" hidden="1" customWidth="1" outlineLevel="2"/>
    <col min="42" max="42" width="9.27734375" style="7" hidden="1" customWidth="1" outlineLevel="1"/>
    <col min="43" max="43" width="9.27734375" style="7" hidden="1" customWidth="1" collapsed="1"/>
    <col min="44" max="45" width="9.27734375" style="7" hidden="1" customWidth="1" outlineLevel="2"/>
    <col min="46" max="46" width="9.27734375" style="7" hidden="1" customWidth="1" outlineLevel="1"/>
    <col min="47" max="48" width="9.27734375" style="7" hidden="1" customWidth="1" outlineLevel="2"/>
    <col min="49" max="49" width="9.27734375" style="7" hidden="1" customWidth="1" outlineLevel="1"/>
    <col min="50" max="50" width="8.83203125" style="7" hidden="1" customWidth="1" collapsed="1"/>
    <col min="51" max="52" width="9.27734375" style="7" hidden="1" customWidth="1" outlineLevel="2"/>
    <col min="53" max="53" width="9.27734375" style="7" hidden="1" customWidth="1" outlineLevel="1"/>
    <col min="54" max="55" width="9.27734375" style="7" hidden="1" customWidth="1" outlineLevel="2"/>
    <col min="56" max="56" width="9.27734375" style="7" hidden="1" customWidth="1" outlineLevel="1"/>
    <col min="57" max="57" width="10.71875" style="7" hidden="1" customWidth="1" collapsed="1"/>
    <col min="58" max="59" width="9.27734375" style="7" hidden="1" customWidth="1" outlineLevel="2"/>
    <col min="60" max="60" width="9.27734375" style="7" hidden="1" customWidth="1" outlineLevel="1"/>
    <col min="61" max="62" width="9.27734375" style="7" hidden="1" customWidth="1" outlineLevel="2"/>
    <col min="63" max="63" width="9.27734375" style="7" hidden="1" customWidth="1" outlineLevel="1"/>
    <col min="64" max="64" width="10.71875" style="7" hidden="1" customWidth="1" collapsed="1"/>
    <col min="65" max="65" width="11" style="7" customWidth="1"/>
    <col min="66" max="70" width="10.71875" style="7" customWidth="1"/>
    <col min="71" max="75" width="9" style="7"/>
    <col min="76" max="292" width="9" style="8"/>
    <col min="293" max="293" width="2.71875" style="8" customWidth="1"/>
    <col min="294" max="294" width="22.27734375" style="8" customWidth="1"/>
    <col min="295" max="295" width="2.27734375" style="8" customWidth="1"/>
    <col min="296" max="548" width="9" style="8"/>
    <col min="549" max="549" width="2.71875" style="8" customWidth="1"/>
    <col min="550" max="550" width="22.27734375" style="8" customWidth="1"/>
    <col min="551" max="551" width="2.27734375" style="8" customWidth="1"/>
    <col min="552" max="804" width="9" style="8"/>
    <col min="805" max="805" width="2.71875" style="8" customWidth="1"/>
    <col min="806" max="806" width="22.27734375" style="8" customWidth="1"/>
    <col min="807" max="807" width="2.27734375" style="8" customWidth="1"/>
    <col min="808" max="1060" width="9" style="8"/>
    <col min="1061" max="1061" width="2.71875" style="8" customWidth="1"/>
    <col min="1062" max="1062" width="22.27734375" style="8" customWidth="1"/>
    <col min="1063" max="1063" width="2.27734375" style="8" customWidth="1"/>
    <col min="1064" max="1316" width="9" style="8"/>
    <col min="1317" max="1317" width="2.71875" style="8" customWidth="1"/>
    <col min="1318" max="1318" width="22.27734375" style="8" customWidth="1"/>
    <col min="1319" max="1319" width="2.27734375" style="8" customWidth="1"/>
    <col min="1320" max="1572" width="9" style="8"/>
    <col min="1573" max="1573" width="2.71875" style="8" customWidth="1"/>
    <col min="1574" max="1574" width="22.27734375" style="8" customWidth="1"/>
    <col min="1575" max="1575" width="2.27734375" style="8" customWidth="1"/>
    <col min="1576" max="1828" width="9" style="8"/>
    <col min="1829" max="1829" width="2.71875" style="8" customWidth="1"/>
    <col min="1830" max="1830" width="22.27734375" style="8" customWidth="1"/>
    <col min="1831" max="1831" width="2.27734375" style="8" customWidth="1"/>
    <col min="1832" max="2084" width="9" style="8"/>
    <col min="2085" max="2085" width="2.71875" style="8" customWidth="1"/>
    <col min="2086" max="2086" width="22.27734375" style="8" customWidth="1"/>
    <col min="2087" max="2087" width="2.27734375" style="8" customWidth="1"/>
    <col min="2088" max="2340" width="9" style="8"/>
    <col min="2341" max="2341" width="2.71875" style="8" customWidth="1"/>
    <col min="2342" max="2342" width="22.27734375" style="8" customWidth="1"/>
    <col min="2343" max="2343" width="2.27734375" style="8" customWidth="1"/>
    <col min="2344" max="2596" width="9" style="8"/>
    <col min="2597" max="2597" width="2.71875" style="8" customWidth="1"/>
    <col min="2598" max="2598" width="22.27734375" style="8" customWidth="1"/>
    <col min="2599" max="2599" width="2.27734375" style="8" customWidth="1"/>
    <col min="2600" max="2852" width="9" style="8"/>
    <col min="2853" max="2853" width="2.71875" style="8" customWidth="1"/>
    <col min="2854" max="2854" width="22.27734375" style="8" customWidth="1"/>
    <col min="2855" max="2855" width="2.27734375" style="8" customWidth="1"/>
    <col min="2856" max="3108" width="9" style="8"/>
    <col min="3109" max="3109" width="2.71875" style="8" customWidth="1"/>
    <col min="3110" max="3110" width="22.27734375" style="8" customWidth="1"/>
    <col min="3111" max="3111" width="2.27734375" style="8" customWidth="1"/>
    <col min="3112" max="3364" width="9" style="8"/>
    <col min="3365" max="3365" width="2.71875" style="8" customWidth="1"/>
    <col min="3366" max="3366" width="22.27734375" style="8" customWidth="1"/>
    <col min="3367" max="3367" width="2.27734375" style="8" customWidth="1"/>
    <col min="3368" max="3620" width="9" style="8"/>
    <col min="3621" max="3621" width="2.71875" style="8" customWidth="1"/>
    <col min="3622" max="3622" width="22.27734375" style="8" customWidth="1"/>
    <col min="3623" max="3623" width="2.27734375" style="8" customWidth="1"/>
    <col min="3624" max="3876" width="9" style="8"/>
    <col min="3877" max="3877" width="2.71875" style="8" customWidth="1"/>
    <col min="3878" max="3878" width="22.27734375" style="8" customWidth="1"/>
    <col min="3879" max="3879" width="2.27734375" style="8" customWidth="1"/>
    <col min="3880" max="4132" width="9" style="8"/>
    <col min="4133" max="4133" width="2.71875" style="8" customWidth="1"/>
    <col min="4134" max="4134" width="22.27734375" style="8" customWidth="1"/>
    <col min="4135" max="4135" width="2.27734375" style="8" customWidth="1"/>
    <col min="4136" max="4388" width="9" style="8"/>
    <col min="4389" max="4389" width="2.71875" style="8" customWidth="1"/>
    <col min="4390" max="4390" width="22.27734375" style="8" customWidth="1"/>
    <col min="4391" max="4391" width="2.27734375" style="8" customWidth="1"/>
    <col min="4392" max="4644" width="9" style="8"/>
    <col min="4645" max="4645" width="2.71875" style="8" customWidth="1"/>
    <col min="4646" max="4646" width="22.27734375" style="8" customWidth="1"/>
    <col min="4647" max="4647" width="2.27734375" style="8" customWidth="1"/>
    <col min="4648" max="4900" width="9" style="8"/>
    <col min="4901" max="4901" width="2.71875" style="8" customWidth="1"/>
    <col min="4902" max="4902" width="22.27734375" style="8" customWidth="1"/>
    <col min="4903" max="4903" width="2.27734375" style="8" customWidth="1"/>
    <col min="4904" max="5156" width="9" style="8"/>
    <col min="5157" max="5157" width="2.71875" style="8" customWidth="1"/>
    <col min="5158" max="5158" width="22.27734375" style="8" customWidth="1"/>
    <col min="5159" max="5159" width="2.27734375" style="8" customWidth="1"/>
    <col min="5160" max="5412" width="9" style="8"/>
    <col min="5413" max="5413" width="2.71875" style="8" customWidth="1"/>
    <col min="5414" max="5414" width="22.27734375" style="8" customWidth="1"/>
    <col min="5415" max="5415" width="2.27734375" style="8" customWidth="1"/>
    <col min="5416" max="5668" width="9" style="8"/>
    <col min="5669" max="5669" width="2.71875" style="8" customWidth="1"/>
    <col min="5670" max="5670" width="22.27734375" style="8" customWidth="1"/>
    <col min="5671" max="5671" width="2.27734375" style="8" customWidth="1"/>
    <col min="5672" max="5924" width="9" style="8"/>
    <col min="5925" max="5925" width="2.71875" style="8" customWidth="1"/>
    <col min="5926" max="5926" width="22.27734375" style="8" customWidth="1"/>
    <col min="5927" max="5927" width="2.27734375" style="8" customWidth="1"/>
    <col min="5928" max="6180" width="9" style="8"/>
    <col min="6181" max="6181" width="2.71875" style="8" customWidth="1"/>
    <col min="6182" max="6182" width="22.27734375" style="8" customWidth="1"/>
    <col min="6183" max="6183" width="2.27734375" style="8" customWidth="1"/>
    <col min="6184" max="6436" width="9" style="8"/>
    <col min="6437" max="6437" width="2.71875" style="8" customWidth="1"/>
    <col min="6438" max="6438" width="22.27734375" style="8" customWidth="1"/>
    <col min="6439" max="6439" width="2.27734375" style="8" customWidth="1"/>
    <col min="6440" max="6692" width="9" style="8"/>
    <col min="6693" max="6693" width="2.71875" style="8" customWidth="1"/>
    <col min="6694" max="6694" width="22.27734375" style="8" customWidth="1"/>
    <col min="6695" max="6695" width="2.27734375" style="8" customWidth="1"/>
    <col min="6696" max="6948" width="9" style="8"/>
    <col min="6949" max="6949" width="2.71875" style="8" customWidth="1"/>
    <col min="6950" max="6950" width="22.27734375" style="8" customWidth="1"/>
    <col min="6951" max="6951" width="2.27734375" style="8" customWidth="1"/>
    <col min="6952" max="7204" width="9" style="8"/>
    <col min="7205" max="7205" width="2.71875" style="8" customWidth="1"/>
    <col min="7206" max="7206" width="22.27734375" style="8" customWidth="1"/>
    <col min="7207" max="7207" width="2.27734375" style="8" customWidth="1"/>
    <col min="7208" max="7460" width="9" style="8"/>
    <col min="7461" max="7461" width="2.71875" style="8" customWidth="1"/>
    <col min="7462" max="7462" width="22.27734375" style="8" customWidth="1"/>
    <col min="7463" max="7463" width="2.27734375" style="8" customWidth="1"/>
    <col min="7464" max="7716" width="9" style="8"/>
    <col min="7717" max="7717" width="2.71875" style="8" customWidth="1"/>
    <col min="7718" max="7718" width="22.27734375" style="8" customWidth="1"/>
    <col min="7719" max="7719" width="2.27734375" style="8" customWidth="1"/>
    <col min="7720" max="7972" width="9" style="8"/>
    <col min="7973" max="7973" width="2.71875" style="8" customWidth="1"/>
    <col min="7974" max="7974" width="22.27734375" style="8" customWidth="1"/>
    <col min="7975" max="7975" width="2.27734375" style="8" customWidth="1"/>
    <col min="7976" max="8228" width="9" style="8"/>
    <col min="8229" max="8229" width="2.71875" style="8" customWidth="1"/>
    <col min="8230" max="8230" width="22.27734375" style="8" customWidth="1"/>
    <col min="8231" max="8231" width="2.27734375" style="8" customWidth="1"/>
    <col min="8232" max="8484" width="9" style="8"/>
    <col min="8485" max="8485" width="2.71875" style="8" customWidth="1"/>
    <col min="8486" max="8486" width="22.27734375" style="8" customWidth="1"/>
    <col min="8487" max="8487" width="2.27734375" style="8" customWidth="1"/>
    <col min="8488" max="8740" width="9" style="8"/>
    <col min="8741" max="8741" width="2.71875" style="8" customWidth="1"/>
    <col min="8742" max="8742" width="22.27734375" style="8" customWidth="1"/>
    <col min="8743" max="8743" width="2.27734375" style="8" customWidth="1"/>
    <col min="8744" max="8996" width="9" style="8"/>
    <col min="8997" max="8997" width="2.71875" style="8" customWidth="1"/>
    <col min="8998" max="8998" width="22.27734375" style="8" customWidth="1"/>
    <col min="8999" max="8999" width="2.27734375" style="8" customWidth="1"/>
    <col min="9000" max="9252" width="9" style="8"/>
    <col min="9253" max="9253" width="2.71875" style="8" customWidth="1"/>
    <col min="9254" max="9254" width="22.27734375" style="8" customWidth="1"/>
    <col min="9255" max="9255" width="2.27734375" style="8" customWidth="1"/>
    <col min="9256" max="9508" width="9" style="8"/>
    <col min="9509" max="9509" width="2.71875" style="8" customWidth="1"/>
    <col min="9510" max="9510" width="22.27734375" style="8" customWidth="1"/>
    <col min="9511" max="9511" width="2.27734375" style="8" customWidth="1"/>
    <col min="9512" max="9764" width="9" style="8"/>
    <col min="9765" max="9765" width="2.71875" style="8" customWidth="1"/>
    <col min="9766" max="9766" width="22.27734375" style="8" customWidth="1"/>
    <col min="9767" max="9767" width="2.27734375" style="8" customWidth="1"/>
    <col min="9768" max="10020" width="9" style="8"/>
    <col min="10021" max="10021" width="2.71875" style="8" customWidth="1"/>
    <col min="10022" max="10022" width="22.27734375" style="8" customWidth="1"/>
    <col min="10023" max="10023" width="2.27734375" style="8" customWidth="1"/>
    <col min="10024" max="10276" width="9" style="8"/>
    <col min="10277" max="10277" width="2.71875" style="8" customWidth="1"/>
    <col min="10278" max="10278" width="22.27734375" style="8" customWidth="1"/>
    <col min="10279" max="10279" width="2.27734375" style="8" customWidth="1"/>
    <col min="10280" max="10532" width="9" style="8"/>
    <col min="10533" max="10533" width="2.71875" style="8" customWidth="1"/>
    <col min="10534" max="10534" width="22.27734375" style="8" customWidth="1"/>
    <col min="10535" max="10535" width="2.27734375" style="8" customWidth="1"/>
    <col min="10536" max="10788" width="9" style="8"/>
    <col min="10789" max="10789" width="2.71875" style="8" customWidth="1"/>
    <col min="10790" max="10790" width="22.27734375" style="8" customWidth="1"/>
    <col min="10791" max="10791" width="2.27734375" style="8" customWidth="1"/>
    <col min="10792" max="11044" width="9" style="8"/>
    <col min="11045" max="11045" width="2.71875" style="8" customWidth="1"/>
    <col min="11046" max="11046" width="22.27734375" style="8" customWidth="1"/>
    <col min="11047" max="11047" width="2.27734375" style="8" customWidth="1"/>
    <col min="11048" max="11300" width="9" style="8"/>
    <col min="11301" max="11301" width="2.71875" style="8" customWidth="1"/>
    <col min="11302" max="11302" width="22.27734375" style="8" customWidth="1"/>
    <col min="11303" max="11303" width="2.27734375" style="8" customWidth="1"/>
    <col min="11304" max="11556" width="9" style="8"/>
    <col min="11557" max="11557" width="2.71875" style="8" customWidth="1"/>
    <col min="11558" max="11558" width="22.27734375" style="8" customWidth="1"/>
    <col min="11559" max="11559" width="2.27734375" style="8" customWidth="1"/>
    <col min="11560" max="11812" width="9" style="8"/>
    <col min="11813" max="11813" width="2.71875" style="8" customWidth="1"/>
    <col min="11814" max="11814" width="22.27734375" style="8" customWidth="1"/>
    <col min="11815" max="11815" width="2.27734375" style="8" customWidth="1"/>
    <col min="11816" max="12068" width="9" style="8"/>
    <col min="12069" max="12069" width="2.71875" style="8" customWidth="1"/>
    <col min="12070" max="12070" width="22.27734375" style="8" customWidth="1"/>
    <col min="12071" max="12071" width="2.27734375" style="8" customWidth="1"/>
    <col min="12072" max="12324" width="9" style="8"/>
    <col min="12325" max="12325" width="2.71875" style="8" customWidth="1"/>
    <col min="12326" max="12326" width="22.27734375" style="8" customWidth="1"/>
    <col min="12327" max="12327" width="2.27734375" style="8" customWidth="1"/>
    <col min="12328" max="12580" width="9" style="8"/>
    <col min="12581" max="12581" width="2.71875" style="8" customWidth="1"/>
    <col min="12582" max="12582" width="22.27734375" style="8" customWidth="1"/>
    <col min="12583" max="12583" width="2.27734375" style="8" customWidth="1"/>
    <col min="12584" max="12836" width="9" style="8"/>
    <col min="12837" max="12837" width="2.71875" style="8" customWidth="1"/>
    <col min="12838" max="12838" width="22.27734375" style="8" customWidth="1"/>
    <col min="12839" max="12839" width="2.27734375" style="8" customWidth="1"/>
    <col min="12840" max="13092" width="9" style="8"/>
    <col min="13093" max="13093" width="2.71875" style="8" customWidth="1"/>
    <col min="13094" max="13094" width="22.27734375" style="8" customWidth="1"/>
    <col min="13095" max="13095" width="2.27734375" style="8" customWidth="1"/>
    <col min="13096" max="13348" width="9" style="8"/>
    <col min="13349" max="13349" width="2.71875" style="8" customWidth="1"/>
    <col min="13350" max="13350" width="22.27734375" style="8" customWidth="1"/>
    <col min="13351" max="13351" width="2.27734375" style="8" customWidth="1"/>
    <col min="13352" max="13604" width="9" style="8"/>
    <col min="13605" max="13605" width="2.71875" style="8" customWidth="1"/>
    <col min="13606" max="13606" width="22.27734375" style="8" customWidth="1"/>
    <col min="13607" max="13607" width="2.27734375" style="8" customWidth="1"/>
    <col min="13608" max="13860" width="9" style="8"/>
    <col min="13861" max="13861" width="2.71875" style="8" customWidth="1"/>
    <col min="13862" max="13862" width="22.27734375" style="8" customWidth="1"/>
    <col min="13863" max="13863" width="2.27734375" style="8" customWidth="1"/>
    <col min="13864" max="14116" width="9" style="8"/>
    <col min="14117" max="14117" width="2.71875" style="8" customWidth="1"/>
    <col min="14118" max="14118" width="22.27734375" style="8" customWidth="1"/>
    <col min="14119" max="14119" width="2.27734375" style="8" customWidth="1"/>
    <col min="14120" max="14372" width="9" style="8"/>
    <col min="14373" max="14373" width="2.71875" style="8" customWidth="1"/>
    <col min="14374" max="14374" width="22.27734375" style="8" customWidth="1"/>
    <col min="14375" max="14375" width="2.27734375" style="8" customWidth="1"/>
    <col min="14376" max="14628" width="9" style="8"/>
    <col min="14629" max="14629" width="2.71875" style="8" customWidth="1"/>
    <col min="14630" max="14630" width="22.27734375" style="8" customWidth="1"/>
    <col min="14631" max="14631" width="2.27734375" style="8" customWidth="1"/>
    <col min="14632" max="14884" width="9" style="8"/>
    <col min="14885" max="14885" width="2.71875" style="8" customWidth="1"/>
    <col min="14886" max="14886" width="22.27734375" style="8" customWidth="1"/>
    <col min="14887" max="14887" width="2.27734375" style="8" customWidth="1"/>
    <col min="14888" max="15140" width="9" style="8"/>
    <col min="15141" max="15141" width="2.71875" style="8" customWidth="1"/>
    <col min="15142" max="15142" width="22.27734375" style="8" customWidth="1"/>
    <col min="15143" max="15143" width="2.27734375" style="8" customWidth="1"/>
    <col min="15144" max="15396" width="9" style="8"/>
    <col min="15397" max="15397" width="2.71875" style="8" customWidth="1"/>
    <col min="15398" max="15398" width="22.27734375" style="8" customWidth="1"/>
    <col min="15399" max="15399" width="2.27734375" style="8" customWidth="1"/>
    <col min="15400" max="15652" width="9" style="8"/>
    <col min="15653" max="15653" width="2.71875" style="8" customWidth="1"/>
    <col min="15654" max="15654" width="22.27734375" style="8" customWidth="1"/>
    <col min="15655" max="15655" width="2.27734375" style="8" customWidth="1"/>
    <col min="15656" max="15908" width="9" style="8"/>
    <col min="15909" max="15909" width="2.71875" style="8" customWidth="1"/>
    <col min="15910" max="15910" width="22.27734375" style="8" customWidth="1"/>
    <col min="15911" max="15911" width="2.27734375" style="8" customWidth="1"/>
    <col min="15912" max="16164" width="9" style="8"/>
    <col min="16165" max="16165" width="2.71875" style="8" customWidth="1"/>
    <col min="16166" max="16166" width="22.27734375" style="8" customWidth="1"/>
    <col min="16167" max="16167" width="2.27734375" style="8" customWidth="1"/>
    <col min="16168" max="16384" width="9" style="8"/>
  </cols>
  <sheetData>
    <row r="1" spans="1:99" ht="13.8">
      <c r="A1" s="3"/>
      <c r="B1" s="4" t="s">
        <v>0</v>
      </c>
      <c r="C1" s="5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BJ1" s="6"/>
      <c r="BK1" s="6"/>
      <c r="BL1" s="6"/>
      <c r="BM1" s="293" t="s">
        <v>381</v>
      </c>
      <c r="BN1" s="4"/>
      <c r="BO1" s="4"/>
      <c r="BP1" s="4"/>
      <c r="BQ1" s="4"/>
      <c r="BR1" s="4"/>
      <c r="BS1" s="4"/>
      <c r="BT1" s="4"/>
      <c r="BU1" s="4"/>
    </row>
    <row r="2" spans="1:99">
      <c r="B2" s="9">
        <f>[69]!s_info_name(BM2)</f>
        <v>0</v>
      </c>
      <c r="C2" s="10"/>
      <c r="D2" s="10"/>
      <c r="E2" s="10"/>
      <c r="BE2" s="11" t="s">
        <v>467</v>
      </c>
      <c r="BF2" s="10"/>
      <c r="BG2" s="10"/>
      <c r="BH2" s="10"/>
      <c r="BI2" s="10"/>
      <c r="BJ2" s="10"/>
      <c r="BK2" s="10"/>
      <c r="BL2" s="10"/>
      <c r="BM2" s="15" t="s">
        <v>475</v>
      </c>
      <c r="BN2" s="10"/>
      <c r="BO2" s="10"/>
      <c r="BP2" s="10" t="s">
        <v>1</v>
      </c>
      <c r="BQ2" s="10"/>
      <c r="BR2" s="12">
        <f ca="1">[69]!s_dq_close(BM2,TODAY()-1,1)</f>
        <v>0</v>
      </c>
      <c r="BS2" s="10"/>
      <c r="BT2" s="10"/>
      <c r="BU2" s="10"/>
      <c r="BV2" s="10"/>
      <c r="BW2" s="10"/>
      <c r="BX2" s="13"/>
      <c r="BY2" s="13"/>
      <c r="BZ2" s="13"/>
      <c r="CA2" s="13"/>
      <c r="CB2" s="13"/>
      <c r="CC2" s="13"/>
      <c r="CD2" s="13"/>
      <c r="CE2" s="13"/>
      <c r="CF2" s="13"/>
      <c r="CG2" s="13"/>
      <c r="CI2" s="13"/>
      <c r="CJ2" s="13"/>
      <c r="CK2" s="13"/>
      <c r="CL2" s="13"/>
      <c r="CM2" s="13"/>
      <c r="CN2" s="13"/>
      <c r="CP2" s="13"/>
      <c r="CQ2" s="13"/>
      <c r="CR2" s="13"/>
      <c r="CS2" s="13"/>
      <c r="CT2" s="13"/>
      <c r="CU2" s="13"/>
    </row>
    <row r="3" spans="1:99" ht="13.2">
      <c r="B3" s="10" t="s">
        <v>2</v>
      </c>
      <c r="C3" s="10"/>
      <c r="D3" s="10"/>
      <c r="E3" s="14"/>
      <c r="BE3" s="15" t="s">
        <v>3</v>
      </c>
      <c r="BF3" s="10"/>
      <c r="BG3" s="10"/>
      <c r="BH3" s="10"/>
      <c r="BI3" s="10"/>
      <c r="BJ3" s="10"/>
      <c r="BK3" s="10"/>
      <c r="BL3" s="10"/>
      <c r="BM3" s="493" t="s">
        <v>474</v>
      </c>
      <c r="BN3" s="14"/>
      <c r="BO3" s="14"/>
      <c r="BP3" s="14" t="s">
        <v>4</v>
      </c>
      <c r="BQ3" s="10"/>
      <c r="BR3" s="16">
        <f ca="1">'Model-BS'!BR332</f>
        <v>0</v>
      </c>
      <c r="BS3" s="225"/>
      <c r="BT3" s="227"/>
      <c r="BU3" s="225" t="s">
        <v>384</v>
      </c>
      <c r="BV3" s="227" t="e">
        <f>BW39</f>
        <v>#REF!</v>
      </c>
      <c r="BW3" s="225"/>
      <c r="BX3" s="17"/>
      <c r="BY3" s="17"/>
      <c r="BZ3" s="17"/>
      <c r="CA3" s="17"/>
      <c r="CB3" s="17"/>
      <c r="CC3" s="17"/>
      <c r="CD3" s="17"/>
      <c r="CE3" s="17"/>
      <c r="CF3" s="17"/>
      <c r="CG3" s="17"/>
      <c r="CI3" s="17"/>
      <c r="CJ3" s="17"/>
      <c r="CK3" s="17"/>
      <c r="CL3" s="17"/>
      <c r="CM3" s="17"/>
      <c r="CN3" s="17"/>
      <c r="CP3" s="17"/>
      <c r="CQ3" s="17"/>
      <c r="CR3" s="17"/>
      <c r="CS3" s="17"/>
      <c r="CT3" s="17"/>
      <c r="CU3" s="17"/>
    </row>
    <row r="4" spans="1:99" ht="13.2">
      <c r="B4" s="10" t="s">
        <v>5</v>
      </c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5">
        <v>1785</v>
      </c>
      <c r="BF4" s="10"/>
      <c r="BG4" s="10"/>
      <c r="BH4" s="10"/>
      <c r="BI4" s="10"/>
      <c r="BJ4" s="10"/>
      <c r="BK4" s="10"/>
      <c r="BL4" s="10"/>
      <c r="BM4" s="15">
        <v>1613</v>
      </c>
      <c r="BN4" s="14"/>
      <c r="BO4" s="14"/>
      <c r="BP4" s="225" t="s">
        <v>351</v>
      </c>
      <c r="BQ4" s="10"/>
      <c r="BR4" s="18">
        <v>20000</v>
      </c>
      <c r="BS4" s="225"/>
      <c r="BT4" s="93"/>
      <c r="BU4" s="225" t="s">
        <v>385</v>
      </c>
      <c r="BV4" s="93" t="e">
        <f ca="1">BR3/BV3</f>
        <v>#REF!</v>
      </c>
      <c r="BW4" s="14"/>
      <c r="BX4" s="17"/>
      <c r="BY4" s="17"/>
      <c r="BZ4" s="17"/>
      <c r="CA4" s="17"/>
      <c r="CB4" s="17"/>
      <c r="CC4" s="17"/>
      <c r="CD4" s="17"/>
      <c r="CE4" s="17"/>
      <c r="CF4" s="17"/>
      <c r="CG4" s="17"/>
      <c r="CI4" s="17"/>
      <c r="CJ4" s="17"/>
      <c r="CK4" s="17"/>
      <c r="CL4" s="17"/>
      <c r="CM4" s="17"/>
      <c r="CN4" s="17"/>
      <c r="CP4" s="17"/>
      <c r="CQ4" s="17"/>
      <c r="CR4" s="17"/>
      <c r="CS4" s="17"/>
      <c r="CT4" s="17"/>
      <c r="CU4" s="17"/>
    </row>
    <row r="5" spans="1:99" ht="13.2">
      <c r="B5" s="19" t="s">
        <v>6</v>
      </c>
      <c r="C5" s="19"/>
      <c r="D5" s="19"/>
      <c r="E5" s="20"/>
      <c r="BE5" s="21"/>
      <c r="BF5" s="19"/>
      <c r="BG5" s="19"/>
      <c r="BH5" s="19"/>
      <c r="BI5" s="19"/>
      <c r="BJ5" s="19"/>
      <c r="BK5" s="19"/>
      <c r="BL5" s="19"/>
      <c r="BM5" s="21"/>
      <c r="BN5" s="19"/>
      <c r="BO5" s="19"/>
      <c r="BP5" s="19" t="s">
        <v>7</v>
      </c>
      <c r="BQ5" s="19"/>
      <c r="BR5" s="226" t="e">
        <f ca="1">BR4/BR3-1</f>
        <v>#DIV/0!</v>
      </c>
      <c r="BS5" s="236"/>
      <c r="BT5" s="230"/>
      <c r="BU5" s="236" t="s">
        <v>386</v>
      </c>
      <c r="BV5" s="230" t="e">
        <f>BR4/BV3</f>
        <v>#REF!</v>
      </c>
      <c r="BW5" s="19"/>
      <c r="BX5" s="22"/>
      <c r="BY5" s="22"/>
      <c r="BZ5" s="22"/>
      <c r="CA5" s="22"/>
      <c r="CB5" s="22"/>
      <c r="CC5" s="22"/>
      <c r="CD5" s="22"/>
      <c r="CE5" s="22"/>
      <c r="CF5" s="22"/>
      <c r="CG5" s="22"/>
      <c r="CI5" s="22"/>
      <c r="CJ5" s="22"/>
      <c r="CK5" s="22"/>
      <c r="CL5" s="22"/>
      <c r="CM5" s="22"/>
      <c r="CN5" s="22"/>
      <c r="CP5" s="22"/>
      <c r="CQ5" s="22"/>
      <c r="CR5" s="22"/>
      <c r="CS5" s="22"/>
      <c r="CT5" s="22"/>
      <c r="CU5" s="22"/>
    </row>
    <row r="6" spans="1:99" ht="6.75" customHeight="1"/>
    <row r="7" spans="1:99">
      <c r="B7" s="23" t="s">
        <v>8</v>
      </c>
      <c r="C7" s="24"/>
      <c r="D7" s="25">
        <v>2002</v>
      </c>
      <c r="E7" s="26">
        <v>2003</v>
      </c>
      <c r="F7" s="26">
        <v>2004</v>
      </c>
      <c r="G7" s="26">
        <v>2005</v>
      </c>
      <c r="H7" s="26">
        <v>2006</v>
      </c>
      <c r="I7" s="26">
        <v>2009.5833333333301</v>
      </c>
      <c r="J7" s="26">
        <v>2009.6666666666699</v>
      </c>
      <c r="K7" s="26">
        <v>2009.75</v>
      </c>
      <c r="L7" s="26">
        <v>2009.8333333333301</v>
      </c>
      <c r="M7" s="26">
        <v>2009.9166666666699</v>
      </c>
      <c r="N7" s="26">
        <v>2010</v>
      </c>
      <c r="O7" s="26">
        <v>2007</v>
      </c>
      <c r="P7" s="26">
        <v>2010.1666666666699</v>
      </c>
      <c r="Q7" s="26">
        <v>2010.25</v>
      </c>
      <c r="R7" s="26">
        <v>2010.3333333333301</v>
      </c>
      <c r="S7" s="26">
        <v>2010.4166666666699</v>
      </c>
      <c r="T7" s="26">
        <v>2010.5</v>
      </c>
      <c r="U7" s="26">
        <v>2010.5833333333301</v>
      </c>
      <c r="V7" s="26">
        <v>2008</v>
      </c>
      <c r="W7" s="26">
        <v>2010.75</v>
      </c>
      <c r="X7" s="26">
        <v>2010.8333333333301</v>
      </c>
      <c r="Y7" s="26">
        <v>2010.9166666666699</v>
      </c>
      <c r="Z7" s="26">
        <v>2011</v>
      </c>
      <c r="AA7" s="26">
        <v>2011.0833333333301</v>
      </c>
      <c r="AB7" s="26">
        <v>2011.1666666666699</v>
      </c>
      <c r="AC7" s="26">
        <v>2009</v>
      </c>
      <c r="AD7" s="26">
        <v>2011.3333333333301</v>
      </c>
      <c r="AE7" s="26">
        <v>2011.4166666666699</v>
      </c>
      <c r="AF7" s="26">
        <v>2011.5</v>
      </c>
      <c r="AG7" s="26">
        <v>2011.5833333333301</v>
      </c>
      <c r="AH7" s="26">
        <v>2011.6666666666699</v>
      </c>
      <c r="AI7" s="26">
        <v>2011.75</v>
      </c>
      <c r="AJ7" s="26">
        <v>2010</v>
      </c>
      <c r="AK7" s="26">
        <v>2011.9166666666699</v>
      </c>
      <c r="AL7" s="26">
        <v>2012</v>
      </c>
      <c r="AM7" s="26">
        <v>2012.0833333333301</v>
      </c>
      <c r="AN7" s="26">
        <v>2012.1666666666699</v>
      </c>
      <c r="AO7" s="26">
        <v>2012.25</v>
      </c>
      <c r="AP7" s="26">
        <v>2012.3333333333301</v>
      </c>
      <c r="AQ7" s="26">
        <v>2011</v>
      </c>
      <c r="AR7" s="26">
        <v>2012.5</v>
      </c>
      <c r="AS7" s="26">
        <v>2012.5833333333301</v>
      </c>
      <c r="AT7" s="26">
        <v>2012.6666666666699</v>
      </c>
      <c r="AU7" s="26">
        <v>2012.75</v>
      </c>
      <c r="AV7" s="26">
        <v>2012.8333333333301</v>
      </c>
      <c r="AW7" s="26">
        <v>2012.9166666666699</v>
      </c>
      <c r="AX7" s="26">
        <v>2012</v>
      </c>
      <c r="AY7" s="26">
        <v>2013.0833333333301</v>
      </c>
      <c r="AZ7" s="26">
        <v>2013.1666666666699</v>
      </c>
      <c r="BA7" s="26">
        <v>2013.25</v>
      </c>
      <c r="BB7" s="26">
        <v>2013.3333333333301</v>
      </c>
      <c r="BC7" s="26">
        <v>2013.4166666666699</v>
      </c>
      <c r="BD7" s="26">
        <v>2013.5</v>
      </c>
      <c r="BE7" s="26">
        <v>2013</v>
      </c>
      <c r="BF7" s="26">
        <v>2014</v>
      </c>
      <c r="BG7" s="26">
        <v>2014</v>
      </c>
      <c r="BH7" s="26">
        <v>2014</v>
      </c>
      <c r="BI7" s="26">
        <v>2014</v>
      </c>
      <c r="BJ7" s="26">
        <v>2014</v>
      </c>
      <c r="BK7" s="26">
        <v>2014</v>
      </c>
      <c r="BL7" s="26">
        <v>2014</v>
      </c>
      <c r="BM7" s="26">
        <v>2015</v>
      </c>
      <c r="BN7" s="26">
        <v>2016</v>
      </c>
      <c r="BO7" s="26">
        <v>2017</v>
      </c>
      <c r="BP7" s="26">
        <v>2018</v>
      </c>
      <c r="BQ7" s="26">
        <v>2019</v>
      </c>
      <c r="BR7" s="26">
        <v>2020</v>
      </c>
      <c r="BS7" s="26">
        <v>2021</v>
      </c>
      <c r="BT7" s="26">
        <v>2022</v>
      </c>
      <c r="BU7" s="26">
        <v>2023</v>
      </c>
      <c r="BV7" s="26">
        <v>2024</v>
      </c>
      <c r="BW7" s="26">
        <v>2025</v>
      </c>
      <c r="BX7" s="26" t="s">
        <v>373</v>
      </c>
      <c r="BY7" s="26" t="s">
        <v>477</v>
      </c>
      <c r="BZ7" s="26" t="s">
        <v>479</v>
      </c>
    </row>
    <row r="8" spans="1:99" ht="6.75" customHeight="1">
      <c r="E8" s="27"/>
      <c r="F8" s="27"/>
      <c r="G8" s="27"/>
      <c r="H8" s="27"/>
      <c r="I8" s="27"/>
      <c r="J8" s="27"/>
      <c r="K8" s="27"/>
      <c r="L8" s="27"/>
      <c r="M8" s="27"/>
      <c r="N8" s="27"/>
      <c r="O8" s="27"/>
      <c r="P8" s="27"/>
      <c r="Q8" s="27"/>
      <c r="R8" s="27"/>
      <c r="S8" s="27"/>
      <c r="T8" s="27"/>
      <c r="U8" s="27"/>
      <c r="V8" s="27"/>
      <c r="W8" s="27"/>
      <c r="X8" s="27"/>
      <c r="Y8" s="27"/>
      <c r="Z8" s="27"/>
      <c r="AA8" s="27"/>
      <c r="AB8" s="27"/>
      <c r="AC8" s="27"/>
      <c r="AD8" s="27"/>
      <c r="AE8" s="27"/>
      <c r="AF8" s="27"/>
      <c r="AG8" s="27"/>
      <c r="AH8" s="27"/>
      <c r="AI8" s="27"/>
      <c r="AJ8" s="27"/>
      <c r="AK8" s="27"/>
      <c r="AL8" s="27"/>
      <c r="AM8" s="27"/>
      <c r="AN8" s="27"/>
      <c r="AO8" s="27"/>
      <c r="AP8" s="27"/>
      <c r="AQ8" s="27"/>
      <c r="AR8" s="27"/>
      <c r="AS8" s="27"/>
      <c r="AT8" s="27"/>
      <c r="AU8" s="27"/>
      <c r="AV8" s="27"/>
      <c r="AW8" s="27"/>
      <c r="AX8" s="27"/>
      <c r="AY8" s="27"/>
      <c r="AZ8" s="27"/>
      <c r="BA8" s="27"/>
      <c r="BB8" s="27"/>
      <c r="BC8" s="27"/>
      <c r="BD8" s="27"/>
      <c r="BE8" s="27"/>
      <c r="BF8" s="27"/>
      <c r="BG8" s="27"/>
      <c r="BH8" s="27"/>
      <c r="BI8" s="27"/>
      <c r="BJ8" s="27"/>
      <c r="BK8" s="27"/>
      <c r="BL8" s="27"/>
      <c r="BM8" s="101">
        <v>42369</v>
      </c>
      <c r="BN8" s="101">
        <v>42735</v>
      </c>
      <c r="BO8" s="101">
        <v>43100</v>
      </c>
      <c r="BP8" s="101">
        <v>43465</v>
      </c>
      <c r="BQ8" s="101">
        <v>43830</v>
      </c>
      <c r="BR8" s="101">
        <v>44196</v>
      </c>
      <c r="BS8" s="101">
        <v>44561</v>
      </c>
      <c r="BT8" s="101">
        <v>44926</v>
      </c>
      <c r="BU8" s="102">
        <v>45291</v>
      </c>
      <c r="BV8" s="101">
        <v>45657</v>
      </c>
      <c r="BW8" s="101">
        <v>46022</v>
      </c>
      <c r="BX8" s="101">
        <v>46387</v>
      </c>
      <c r="BY8" s="101">
        <v>46752</v>
      </c>
      <c r="BZ8" s="101">
        <v>47118</v>
      </c>
    </row>
    <row r="9" spans="1:99">
      <c r="B9" s="28" t="s">
        <v>12</v>
      </c>
      <c r="C9" s="29"/>
      <c r="D9" s="30">
        <v>2002</v>
      </c>
      <c r="E9" s="26">
        <f t="shared" ref="E9:AJ9" si="0">E7</f>
        <v>2003</v>
      </c>
      <c r="F9" s="26">
        <f t="shared" si="0"/>
        <v>2004</v>
      </c>
      <c r="G9" s="26">
        <f t="shared" si="0"/>
        <v>2005</v>
      </c>
      <c r="H9" s="26">
        <f t="shared" si="0"/>
        <v>2006</v>
      </c>
      <c r="I9" s="26">
        <f t="shared" si="0"/>
        <v>2009.5833333333301</v>
      </c>
      <c r="J9" s="26">
        <f t="shared" si="0"/>
        <v>2009.6666666666699</v>
      </c>
      <c r="K9" s="26">
        <f t="shared" si="0"/>
        <v>2009.75</v>
      </c>
      <c r="L9" s="26">
        <f t="shared" si="0"/>
        <v>2009.8333333333301</v>
      </c>
      <c r="M9" s="26">
        <f t="shared" si="0"/>
        <v>2009.9166666666699</v>
      </c>
      <c r="N9" s="26">
        <f t="shared" si="0"/>
        <v>2010</v>
      </c>
      <c r="O9" s="26">
        <f t="shared" si="0"/>
        <v>2007</v>
      </c>
      <c r="P9" s="26">
        <f t="shared" si="0"/>
        <v>2010.1666666666699</v>
      </c>
      <c r="Q9" s="26">
        <f t="shared" si="0"/>
        <v>2010.25</v>
      </c>
      <c r="R9" s="26">
        <f t="shared" si="0"/>
        <v>2010.3333333333301</v>
      </c>
      <c r="S9" s="26">
        <f t="shared" si="0"/>
        <v>2010.4166666666699</v>
      </c>
      <c r="T9" s="26">
        <f t="shared" si="0"/>
        <v>2010.5</v>
      </c>
      <c r="U9" s="26">
        <f t="shared" si="0"/>
        <v>2010.5833333333301</v>
      </c>
      <c r="V9" s="26">
        <f t="shared" si="0"/>
        <v>2008</v>
      </c>
      <c r="W9" s="26">
        <f t="shared" si="0"/>
        <v>2010.75</v>
      </c>
      <c r="X9" s="26">
        <f t="shared" si="0"/>
        <v>2010.8333333333301</v>
      </c>
      <c r="Y9" s="26">
        <f t="shared" si="0"/>
        <v>2010.9166666666699</v>
      </c>
      <c r="Z9" s="26">
        <f t="shared" si="0"/>
        <v>2011</v>
      </c>
      <c r="AA9" s="26">
        <f t="shared" si="0"/>
        <v>2011.0833333333301</v>
      </c>
      <c r="AB9" s="26">
        <f t="shared" si="0"/>
        <v>2011.1666666666699</v>
      </c>
      <c r="AC9" s="26">
        <f t="shared" si="0"/>
        <v>2009</v>
      </c>
      <c r="AD9" s="26">
        <f t="shared" si="0"/>
        <v>2011.3333333333301</v>
      </c>
      <c r="AE9" s="26">
        <f t="shared" si="0"/>
        <v>2011.4166666666699</v>
      </c>
      <c r="AF9" s="26">
        <f t="shared" si="0"/>
        <v>2011.5</v>
      </c>
      <c r="AG9" s="26">
        <f t="shared" si="0"/>
        <v>2011.5833333333301</v>
      </c>
      <c r="AH9" s="26">
        <f t="shared" si="0"/>
        <v>2011.6666666666699</v>
      </c>
      <c r="AI9" s="26">
        <f t="shared" si="0"/>
        <v>2011.75</v>
      </c>
      <c r="AJ9" s="26">
        <f t="shared" si="0"/>
        <v>2010</v>
      </c>
      <c r="AK9" s="26">
        <f t="shared" ref="AK9:BP9" si="1">AK7</f>
        <v>2011.9166666666699</v>
      </c>
      <c r="AL9" s="26">
        <f t="shared" si="1"/>
        <v>2012</v>
      </c>
      <c r="AM9" s="26">
        <f t="shared" si="1"/>
        <v>2012.0833333333301</v>
      </c>
      <c r="AN9" s="26">
        <f t="shared" si="1"/>
        <v>2012.1666666666699</v>
      </c>
      <c r="AO9" s="26">
        <f t="shared" si="1"/>
        <v>2012.25</v>
      </c>
      <c r="AP9" s="26">
        <f t="shared" si="1"/>
        <v>2012.3333333333301</v>
      </c>
      <c r="AQ9" s="26">
        <f t="shared" si="1"/>
        <v>2011</v>
      </c>
      <c r="AR9" s="26">
        <f t="shared" si="1"/>
        <v>2012.5</v>
      </c>
      <c r="AS9" s="26">
        <f t="shared" si="1"/>
        <v>2012.5833333333301</v>
      </c>
      <c r="AT9" s="26">
        <f t="shared" si="1"/>
        <v>2012.6666666666699</v>
      </c>
      <c r="AU9" s="26">
        <f t="shared" si="1"/>
        <v>2012.75</v>
      </c>
      <c r="AV9" s="26">
        <f t="shared" si="1"/>
        <v>2012.8333333333301</v>
      </c>
      <c r="AW9" s="26">
        <f t="shared" si="1"/>
        <v>2012.9166666666699</v>
      </c>
      <c r="AX9" s="26">
        <f t="shared" si="1"/>
        <v>2012</v>
      </c>
      <c r="AY9" s="26">
        <f t="shared" si="1"/>
        <v>2013.0833333333301</v>
      </c>
      <c r="AZ9" s="26">
        <f t="shared" si="1"/>
        <v>2013.1666666666699</v>
      </c>
      <c r="BA9" s="26">
        <f t="shared" si="1"/>
        <v>2013.25</v>
      </c>
      <c r="BB9" s="26">
        <f t="shared" si="1"/>
        <v>2013.3333333333301</v>
      </c>
      <c r="BC9" s="26">
        <f t="shared" si="1"/>
        <v>2013.4166666666699</v>
      </c>
      <c r="BD9" s="26">
        <f t="shared" si="1"/>
        <v>2013.5</v>
      </c>
      <c r="BE9" s="26">
        <f t="shared" si="1"/>
        <v>2013</v>
      </c>
      <c r="BF9" s="26">
        <f t="shared" si="1"/>
        <v>2014</v>
      </c>
      <c r="BG9" s="26">
        <f t="shared" si="1"/>
        <v>2014</v>
      </c>
      <c r="BH9" s="26">
        <f t="shared" si="1"/>
        <v>2014</v>
      </c>
      <c r="BI9" s="26">
        <f t="shared" si="1"/>
        <v>2014</v>
      </c>
      <c r="BJ9" s="26">
        <f t="shared" si="1"/>
        <v>2014</v>
      </c>
      <c r="BK9" s="26">
        <f t="shared" si="1"/>
        <v>2014</v>
      </c>
      <c r="BL9" s="26">
        <f t="shared" si="1"/>
        <v>2014</v>
      </c>
      <c r="BM9" s="26">
        <f t="shared" si="1"/>
        <v>2015</v>
      </c>
      <c r="BN9" s="26">
        <f t="shared" si="1"/>
        <v>2016</v>
      </c>
      <c r="BO9" s="26">
        <f t="shared" si="1"/>
        <v>2017</v>
      </c>
      <c r="BP9" s="26">
        <f t="shared" si="1"/>
        <v>2018</v>
      </c>
      <c r="BQ9" s="26">
        <f t="shared" ref="BQ9:BX9" si="2">BQ7</f>
        <v>2019</v>
      </c>
      <c r="BR9" s="26">
        <f t="shared" si="2"/>
        <v>2020</v>
      </c>
      <c r="BS9" s="26">
        <f t="shared" si="2"/>
        <v>2021</v>
      </c>
      <c r="BT9" s="26">
        <f t="shared" si="2"/>
        <v>2022</v>
      </c>
      <c r="BU9" s="26">
        <f t="shared" si="2"/>
        <v>2023</v>
      </c>
      <c r="BV9" s="26">
        <f t="shared" si="2"/>
        <v>2024</v>
      </c>
      <c r="BW9" s="26">
        <f t="shared" si="2"/>
        <v>2025</v>
      </c>
      <c r="BX9" s="26" t="str">
        <f t="shared" si="2"/>
        <v>2026E</v>
      </c>
      <c r="BY9" s="26" t="str">
        <f t="shared" ref="BY9:BZ9" si="3">BY7</f>
        <v>2027E</v>
      </c>
      <c r="BZ9" s="26" t="str">
        <f t="shared" si="3"/>
        <v>2028E</v>
      </c>
    </row>
    <row r="10" spans="1:99" s="31" customFormat="1">
      <c r="B10" s="32" t="s">
        <v>13</v>
      </c>
      <c r="C10" s="32"/>
      <c r="D10" s="32">
        <f>[70]Model!I33</f>
        <v>0</v>
      </c>
      <c r="E10" s="32" t="e">
        <f>'Model-BS'!F5</f>
        <v>#REF!</v>
      </c>
      <c r="F10" s="32" t="e">
        <f>'Model-BS'!G5</f>
        <v>#REF!</v>
      </c>
      <c r="G10" s="32" t="e">
        <f>'Model-BS'!H5</f>
        <v>#REF!</v>
      </c>
      <c r="H10" s="32" t="e">
        <f>'Model-BS'!I5</f>
        <v>#REF!</v>
      </c>
      <c r="I10" s="32" t="e">
        <f>'Model-BS'!#REF!</f>
        <v>#REF!</v>
      </c>
      <c r="J10" s="32" t="e">
        <f>'Model-BS'!#REF!</f>
        <v>#REF!</v>
      </c>
      <c r="K10" s="32" t="e">
        <f>'Model-BS'!#REF!</f>
        <v>#REF!</v>
      </c>
      <c r="L10" s="32" t="e">
        <f>'Model-BS'!#REF!</f>
        <v>#REF!</v>
      </c>
      <c r="M10" s="32" t="e">
        <f>'Model-BS'!#REF!</f>
        <v>#REF!</v>
      </c>
      <c r="N10" s="32" t="e">
        <f>'Model-BS'!#REF!</f>
        <v>#REF!</v>
      </c>
      <c r="O10" s="32" t="e">
        <f>'Model-BS'!J5</f>
        <v>#REF!</v>
      </c>
      <c r="P10" s="32" t="e">
        <f>'Model-BS'!#REF!</f>
        <v>#REF!</v>
      </c>
      <c r="Q10" s="32" t="e">
        <f>'Model-BS'!#REF!</f>
        <v>#REF!</v>
      </c>
      <c r="R10" s="32" t="e">
        <f>'Model-BS'!#REF!</f>
        <v>#REF!</v>
      </c>
      <c r="S10" s="32" t="e">
        <f>'Model-BS'!#REF!</f>
        <v>#REF!</v>
      </c>
      <c r="T10" s="32" t="e">
        <f>'Model-BS'!#REF!</f>
        <v>#REF!</v>
      </c>
      <c r="U10" s="32" t="e">
        <f>'Model-BS'!#REF!</f>
        <v>#REF!</v>
      </c>
      <c r="V10" s="32" t="e">
        <f>'Model-BS'!K5</f>
        <v>#REF!</v>
      </c>
      <c r="W10" s="32" t="e">
        <f>'Model-BS'!#REF!</f>
        <v>#REF!</v>
      </c>
      <c r="X10" s="32" t="e">
        <f>'Model-BS'!#REF!</f>
        <v>#REF!</v>
      </c>
      <c r="Y10" s="32" t="e">
        <f>'Model-BS'!#REF!</f>
        <v>#REF!</v>
      </c>
      <c r="Z10" s="32" t="e">
        <f>'Model-BS'!#REF!</f>
        <v>#REF!</v>
      </c>
      <c r="AA10" s="32" t="e">
        <f>'Model-BS'!#REF!</f>
        <v>#REF!</v>
      </c>
      <c r="AB10" s="32" t="e">
        <f>'Model-BS'!#REF!</f>
        <v>#REF!</v>
      </c>
      <c r="AC10" s="32" t="e">
        <f>'Model-BS'!L5</f>
        <v>#REF!</v>
      </c>
      <c r="AD10" s="32" t="e">
        <f>'Model-BS'!#REF!</f>
        <v>#REF!</v>
      </c>
      <c r="AE10" s="32" t="e">
        <f>'Model-BS'!#REF!</f>
        <v>#REF!</v>
      </c>
      <c r="AF10" s="32" t="e">
        <f>'Model-BS'!#REF!</f>
        <v>#REF!</v>
      </c>
      <c r="AG10" s="32" t="e">
        <f>'Model-BS'!#REF!</f>
        <v>#REF!</v>
      </c>
      <c r="AH10" s="32" t="e">
        <f>'Model-BS'!#REF!</f>
        <v>#REF!</v>
      </c>
      <c r="AI10" s="32" t="e">
        <f>'Model-BS'!#REF!</f>
        <v>#REF!</v>
      </c>
      <c r="AJ10" s="32" t="e">
        <f>'Model-BS'!M5</f>
        <v>#REF!</v>
      </c>
      <c r="AK10" s="32" t="e">
        <f>'Model-BS'!#REF!</f>
        <v>#REF!</v>
      </c>
      <c r="AL10" s="32" t="e">
        <f>'Model-BS'!#REF!</f>
        <v>#REF!</v>
      </c>
      <c r="AM10" s="32" t="e">
        <f>'Model-BS'!#REF!</f>
        <v>#REF!</v>
      </c>
      <c r="AN10" s="32" t="e">
        <f>'Model-BS'!#REF!</f>
        <v>#REF!</v>
      </c>
      <c r="AO10" s="32" t="e">
        <f>'Model-BS'!#REF!</f>
        <v>#REF!</v>
      </c>
      <c r="AP10" s="32" t="e">
        <f>'Model-BS'!#REF!</f>
        <v>#REF!</v>
      </c>
      <c r="AQ10" s="32" t="e">
        <f>'Model-BS'!N5</f>
        <v>#REF!</v>
      </c>
      <c r="AR10" s="32" t="e">
        <f>'Model-BS'!#REF!</f>
        <v>#REF!</v>
      </c>
      <c r="AS10" s="32" t="e">
        <f>'Model-BS'!#REF!</f>
        <v>#REF!</v>
      </c>
      <c r="AT10" s="32" t="e">
        <f>'Model-BS'!#REF!</f>
        <v>#REF!</v>
      </c>
      <c r="AU10" s="32" t="e">
        <f>'Model-BS'!#REF!</f>
        <v>#REF!</v>
      </c>
      <c r="AV10" s="32" t="e">
        <f>'Model-BS'!#REF!</f>
        <v>#REF!</v>
      </c>
      <c r="AW10" s="32" t="e">
        <f>'Model-BS'!#REF!</f>
        <v>#REF!</v>
      </c>
      <c r="AX10" s="32" t="e">
        <f>'Model-BS'!O5</f>
        <v>#REF!</v>
      </c>
      <c r="AY10" s="32" t="e">
        <f>'Model-BS'!#REF!</f>
        <v>#REF!</v>
      </c>
      <c r="AZ10" s="32" t="e">
        <f>'Model-BS'!#REF!</f>
        <v>#REF!</v>
      </c>
      <c r="BA10" s="32" t="e">
        <f>'Model-BS'!#REF!</f>
        <v>#REF!</v>
      </c>
      <c r="BB10" s="32" t="e">
        <f>'Model-BS'!#REF!</f>
        <v>#REF!</v>
      </c>
      <c r="BC10" s="32" t="e">
        <f>'Model-BS'!#REF!</f>
        <v>#REF!</v>
      </c>
      <c r="BD10" s="32" t="e">
        <f>'Model-BS'!#REF!</f>
        <v>#REF!</v>
      </c>
      <c r="BE10" s="32" t="e">
        <f>'Model-BS'!P5</f>
        <v>#REF!</v>
      </c>
      <c r="BF10" s="32" t="e">
        <f>'Model-BS'!#REF!</f>
        <v>#REF!</v>
      </c>
      <c r="BG10" s="32" t="e">
        <f>'Model-BS'!#REF!</f>
        <v>#REF!</v>
      </c>
      <c r="BH10" s="32" t="e">
        <f>'Model-BS'!#REF!</f>
        <v>#REF!</v>
      </c>
      <c r="BI10" s="32" t="e">
        <f>'Model-BS'!#REF!</f>
        <v>#REF!</v>
      </c>
      <c r="BJ10" s="32" t="e">
        <f>'Model-BS'!#REF!</f>
        <v>#REF!</v>
      </c>
      <c r="BK10" s="32" t="e">
        <f>'Model-BS'!#REF!</f>
        <v>#REF!</v>
      </c>
      <c r="BL10" s="32" t="e">
        <f>'Model-BS'!Q5</f>
        <v>#REF!</v>
      </c>
      <c r="BM10" s="32" t="e">
        <f>'Model-BS'!R5</f>
        <v>#REF!</v>
      </c>
      <c r="BN10" s="32" t="e">
        <f>'Model-BS'!S5</f>
        <v>#REF!</v>
      </c>
      <c r="BO10" s="32" t="e">
        <f>'Model-BS'!T5</f>
        <v>#REF!</v>
      </c>
      <c r="BP10" s="32" t="e">
        <f>'Model-BS'!U5</f>
        <v>#REF!</v>
      </c>
      <c r="BQ10" s="32" t="e">
        <f>'Model-BS'!AB5</f>
        <v>#REF!</v>
      </c>
      <c r="BR10" s="32" t="e">
        <f>'Model-BS'!AI5</f>
        <v>#REF!</v>
      </c>
      <c r="BS10" s="32" t="e">
        <f>'Model-BS'!AP5</f>
        <v>#REF!</v>
      </c>
      <c r="BT10" s="32" t="e">
        <f>'Model-BS'!AW5</f>
        <v>#REF!</v>
      </c>
      <c r="BU10" s="32" t="e">
        <f>'Model-BS'!BD5</f>
        <v>#REF!</v>
      </c>
      <c r="BV10" s="32" t="e">
        <f>'Model-BS'!BK5</f>
        <v>#REF!</v>
      </c>
      <c r="BW10" s="32" t="e">
        <f>'Model-BS'!BL5</f>
        <v>#REF!</v>
      </c>
      <c r="BX10" s="32" t="e">
        <f>'Model-BS'!BM5</f>
        <v>#REF!</v>
      </c>
      <c r="BY10" s="32" t="e">
        <f>'Model-BS'!BN5</f>
        <v>#REF!</v>
      </c>
      <c r="BZ10" s="32" t="e">
        <f>'Model-BS'!BO5</f>
        <v>#REF!</v>
      </c>
    </row>
    <row r="11" spans="1:99">
      <c r="B11" s="33" t="s">
        <v>14</v>
      </c>
      <c r="D11" s="34" t="e">
        <f>[70]Model!I34</f>
        <v>#DIV/0!</v>
      </c>
      <c r="E11" s="34" t="e">
        <f>'Model-BS'!F6</f>
        <v>#REF!</v>
      </c>
      <c r="F11" s="34" t="e">
        <f>'Model-BS'!G6</f>
        <v>#REF!</v>
      </c>
      <c r="G11" s="34" t="e">
        <f>'Model-BS'!H6</f>
        <v>#REF!</v>
      </c>
      <c r="H11" s="34" t="e">
        <f>'Model-BS'!I6</f>
        <v>#REF!</v>
      </c>
      <c r="I11" s="34" t="e">
        <f>'Model-BS'!#REF!</f>
        <v>#REF!</v>
      </c>
      <c r="J11" s="34" t="e">
        <f>'Model-BS'!#REF!</f>
        <v>#REF!</v>
      </c>
      <c r="K11" s="34" t="e">
        <f>'Model-BS'!#REF!</f>
        <v>#REF!</v>
      </c>
      <c r="L11" s="34" t="e">
        <f>'Model-BS'!#REF!</f>
        <v>#REF!</v>
      </c>
      <c r="M11" s="34" t="e">
        <f>'Model-BS'!#REF!</f>
        <v>#REF!</v>
      </c>
      <c r="N11" s="34" t="e">
        <f>'Model-BS'!#REF!</f>
        <v>#REF!</v>
      </c>
      <c r="O11" s="34" t="e">
        <f>'Model-BS'!J6</f>
        <v>#REF!</v>
      </c>
      <c r="P11" s="34" t="e">
        <f>'Model-BS'!#REF!</f>
        <v>#REF!</v>
      </c>
      <c r="Q11" s="34" t="e">
        <f>'Model-BS'!#REF!</f>
        <v>#REF!</v>
      </c>
      <c r="R11" s="34" t="e">
        <f>'Model-BS'!#REF!</f>
        <v>#REF!</v>
      </c>
      <c r="S11" s="34" t="e">
        <f>'Model-BS'!#REF!</f>
        <v>#REF!</v>
      </c>
      <c r="T11" s="34" t="e">
        <f>'Model-BS'!#REF!</f>
        <v>#REF!</v>
      </c>
      <c r="U11" s="34" t="e">
        <f>'Model-BS'!#REF!</f>
        <v>#REF!</v>
      </c>
      <c r="V11" s="34" t="e">
        <f>'Model-BS'!K6</f>
        <v>#REF!</v>
      </c>
      <c r="W11" s="34" t="e">
        <f>'Model-BS'!#REF!</f>
        <v>#REF!</v>
      </c>
      <c r="X11" s="34" t="e">
        <f>'Model-BS'!#REF!</f>
        <v>#REF!</v>
      </c>
      <c r="Y11" s="34" t="e">
        <f>'Model-BS'!#REF!</f>
        <v>#REF!</v>
      </c>
      <c r="Z11" s="34" t="e">
        <f>'Model-BS'!#REF!</f>
        <v>#REF!</v>
      </c>
      <c r="AA11" s="34" t="e">
        <f>'Model-BS'!#REF!</f>
        <v>#REF!</v>
      </c>
      <c r="AB11" s="34" t="e">
        <f>'Model-BS'!#REF!</f>
        <v>#REF!</v>
      </c>
      <c r="AC11" s="34" t="e">
        <f>'Model-BS'!L6</f>
        <v>#REF!</v>
      </c>
      <c r="AD11" s="34" t="e">
        <f>'Model-BS'!#REF!</f>
        <v>#REF!</v>
      </c>
      <c r="AE11" s="34" t="e">
        <f>'Model-BS'!#REF!</f>
        <v>#REF!</v>
      </c>
      <c r="AF11" s="34" t="e">
        <f>'Model-BS'!#REF!</f>
        <v>#REF!</v>
      </c>
      <c r="AG11" s="34" t="e">
        <f>'Model-BS'!#REF!</f>
        <v>#REF!</v>
      </c>
      <c r="AH11" s="34" t="e">
        <f>'Model-BS'!#REF!</f>
        <v>#REF!</v>
      </c>
      <c r="AI11" s="34" t="e">
        <f>'Model-BS'!#REF!</f>
        <v>#REF!</v>
      </c>
      <c r="AJ11" s="34" t="e">
        <f>'Model-BS'!M6</f>
        <v>#REF!</v>
      </c>
      <c r="AK11" s="34" t="e">
        <f>'Model-BS'!#REF!</f>
        <v>#REF!</v>
      </c>
      <c r="AL11" s="34" t="e">
        <f>'Model-BS'!#REF!</f>
        <v>#REF!</v>
      </c>
      <c r="AM11" s="34" t="e">
        <f>'Model-BS'!#REF!</f>
        <v>#REF!</v>
      </c>
      <c r="AN11" s="34" t="e">
        <f>'Model-BS'!#REF!</f>
        <v>#REF!</v>
      </c>
      <c r="AO11" s="34" t="e">
        <f>'Model-BS'!#REF!</f>
        <v>#REF!</v>
      </c>
      <c r="AP11" s="34" t="e">
        <f>'Model-BS'!#REF!</f>
        <v>#REF!</v>
      </c>
      <c r="AQ11" s="34" t="e">
        <f>'Model-BS'!N6</f>
        <v>#REF!</v>
      </c>
      <c r="AR11" s="34" t="e">
        <f>'Model-BS'!#REF!</f>
        <v>#REF!</v>
      </c>
      <c r="AS11" s="34" t="e">
        <f>'Model-BS'!#REF!</f>
        <v>#REF!</v>
      </c>
      <c r="AT11" s="34" t="e">
        <f>'Model-BS'!#REF!</f>
        <v>#REF!</v>
      </c>
      <c r="AU11" s="34" t="e">
        <f>'Model-BS'!#REF!</f>
        <v>#REF!</v>
      </c>
      <c r="AV11" s="34" t="e">
        <f>'Model-BS'!#REF!</f>
        <v>#REF!</v>
      </c>
      <c r="AW11" s="34" t="e">
        <f>'Model-BS'!#REF!</f>
        <v>#REF!</v>
      </c>
      <c r="AX11" s="34" t="e">
        <f>'Model-BS'!O6</f>
        <v>#REF!</v>
      </c>
      <c r="AY11" s="34" t="e">
        <f>'Model-BS'!#REF!</f>
        <v>#REF!</v>
      </c>
      <c r="AZ11" s="34" t="e">
        <f>'Model-BS'!#REF!</f>
        <v>#REF!</v>
      </c>
      <c r="BA11" s="34" t="e">
        <f>'Model-BS'!#REF!</f>
        <v>#REF!</v>
      </c>
      <c r="BB11" s="34" t="e">
        <f>'Model-BS'!#REF!</f>
        <v>#REF!</v>
      </c>
      <c r="BC11" s="34" t="e">
        <f>'Model-BS'!#REF!</f>
        <v>#REF!</v>
      </c>
      <c r="BD11" s="34" t="e">
        <f>'Model-BS'!#REF!</f>
        <v>#REF!</v>
      </c>
      <c r="BE11" s="34" t="e">
        <f>'Model-BS'!P6</f>
        <v>#REF!</v>
      </c>
      <c r="BF11" s="34" t="e">
        <f>'Model-BS'!#REF!</f>
        <v>#REF!</v>
      </c>
      <c r="BG11" s="34" t="e">
        <f>'Model-BS'!#REF!</f>
        <v>#REF!</v>
      </c>
      <c r="BH11" s="34" t="e">
        <f>'Model-BS'!#REF!</f>
        <v>#REF!</v>
      </c>
      <c r="BI11" s="34" t="e">
        <f>'Model-BS'!#REF!</f>
        <v>#REF!</v>
      </c>
      <c r="BJ11" s="34" t="e">
        <f>'Model-BS'!#REF!</f>
        <v>#REF!</v>
      </c>
      <c r="BK11" s="34" t="e">
        <f>'Model-BS'!#REF!</f>
        <v>#REF!</v>
      </c>
      <c r="BL11" s="34" t="e">
        <f>'Model-BS'!Q6</f>
        <v>#REF!</v>
      </c>
      <c r="BM11" s="34" t="e">
        <f>'Model-BS'!R6</f>
        <v>#REF!</v>
      </c>
      <c r="BN11" s="34" t="e">
        <f>'Model-BS'!S6</f>
        <v>#REF!</v>
      </c>
      <c r="BO11" s="34" t="e">
        <f>'Model-BS'!T6</f>
        <v>#REF!</v>
      </c>
      <c r="BP11" s="34" t="e">
        <f>'Model-BS'!U6</f>
        <v>#REF!</v>
      </c>
      <c r="BQ11" s="34">
        <f>'Model-BS'!AB6</f>
        <v>0</v>
      </c>
      <c r="BR11" s="34" t="e">
        <f>'Model-BS'!AI6</f>
        <v>#REF!</v>
      </c>
      <c r="BS11" s="34" t="e">
        <f>'Model-BS'!AP6</f>
        <v>#REF!</v>
      </c>
      <c r="BT11" s="34" t="e">
        <f>'Model-BS'!AW6</f>
        <v>#REF!</v>
      </c>
      <c r="BU11" s="34" t="e">
        <f>'Model-BS'!BD6</f>
        <v>#REF!</v>
      </c>
      <c r="BV11" s="34" t="e">
        <f>'Model-BS'!BK6</f>
        <v>#REF!</v>
      </c>
      <c r="BW11" s="34" t="e">
        <f>'Model-BS'!BL6</f>
        <v>#REF!</v>
      </c>
      <c r="BX11" s="34" t="e">
        <f>'Model-BS'!BM6</f>
        <v>#REF!</v>
      </c>
      <c r="BY11" s="34" t="e">
        <f>'Model-BS'!BN6</f>
        <v>#REF!</v>
      </c>
      <c r="BZ11" s="34" t="e">
        <f>'Model-BS'!BO6</f>
        <v>#REF!</v>
      </c>
    </row>
    <row r="12" spans="1:99" s="31" customFormat="1" hidden="1" outlineLevel="1">
      <c r="B12" s="35" t="s">
        <v>15</v>
      </c>
      <c r="C12" s="35"/>
      <c r="D12" s="35">
        <f>[70]Model!I35</f>
        <v>0</v>
      </c>
      <c r="E12" s="35" t="e">
        <f>'Model-BS'!F7</f>
        <v>#REF!</v>
      </c>
      <c r="F12" s="35" t="e">
        <f>'Model-BS'!G7</f>
        <v>#REF!</v>
      </c>
      <c r="G12" s="35" t="e">
        <f>'Model-BS'!H7</f>
        <v>#REF!</v>
      </c>
      <c r="H12" s="35" t="e">
        <f>'Model-BS'!I7</f>
        <v>#REF!</v>
      </c>
      <c r="I12" s="35" t="e">
        <f>'Model-BS'!#REF!</f>
        <v>#REF!</v>
      </c>
      <c r="J12" s="35" t="e">
        <f>'Model-BS'!#REF!</f>
        <v>#REF!</v>
      </c>
      <c r="K12" s="35" t="e">
        <f>'Model-BS'!#REF!</f>
        <v>#REF!</v>
      </c>
      <c r="L12" s="35" t="e">
        <f>'Model-BS'!#REF!</f>
        <v>#REF!</v>
      </c>
      <c r="M12" s="35" t="e">
        <f>'Model-BS'!#REF!</f>
        <v>#REF!</v>
      </c>
      <c r="N12" s="35" t="e">
        <f>'Model-BS'!#REF!</f>
        <v>#REF!</v>
      </c>
      <c r="O12" s="35" t="e">
        <f>'Model-BS'!J7</f>
        <v>#REF!</v>
      </c>
      <c r="P12" s="35" t="e">
        <f>'Model-BS'!#REF!</f>
        <v>#REF!</v>
      </c>
      <c r="Q12" s="35" t="e">
        <f>'Model-BS'!#REF!</f>
        <v>#REF!</v>
      </c>
      <c r="R12" s="35" t="e">
        <f>'Model-BS'!#REF!</f>
        <v>#REF!</v>
      </c>
      <c r="S12" s="35" t="e">
        <f>'Model-BS'!#REF!</f>
        <v>#REF!</v>
      </c>
      <c r="T12" s="35" t="e">
        <f>'Model-BS'!#REF!</f>
        <v>#REF!</v>
      </c>
      <c r="U12" s="35" t="e">
        <f>'Model-BS'!#REF!</f>
        <v>#REF!</v>
      </c>
      <c r="V12" s="35" t="e">
        <f>'Model-BS'!K7</f>
        <v>#REF!</v>
      </c>
      <c r="W12" s="35" t="e">
        <f>'Model-BS'!#REF!</f>
        <v>#REF!</v>
      </c>
      <c r="X12" s="35" t="e">
        <f>'Model-BS'!#REF!</f>
        <v>#REF!</v>
      </c>
      <c r="Y12" s="35" t="e">
        <f>'Model-BS'!#REF!</f>
        <v>#REF!</v>
      </c>
      <c r="Z12" s="35" t="e">
        <f>'Model-BS'!#REF!</f>
        <v>#REF!</v>
      </c>
      <c r="AA12" s="35" t="e">
        <f>'Model-BS'!#REF!</f>
        <v>#REF!</v>
      </c>
      <c r="AB12" s="35" t="e">
        <f>'Model-BS'!#REF!</f>
        <v>#REF!</v>
      </c>
      <c r="AC12" s="35" t="e">
        <f>'Model-BS'!L7</f>
        <v>#REF!</v>
      </c>
      <c r="AD12" s="35" t="e">
        <f>'Model-BS'!#REF!</f>
        <v>#REF!</v>
      </c>
      <c r="AE12" s="35" t="e">
        <f>'Model-BS'!#REF!</f>
        <v>#REF!</v>
      </c>
      <c r="AF12" s="35" t="e">
        <f>'Model-BS'!#REF!</f>
        <v>#REF!</v>
      </c>
      <c r="AG12" s="35" t="e">
        <f>'Model-BS'!#REF!</f>
        <v>#REF!</v>
      </c>
      <c r="AH12" s="35" t="e">
        <f>'Model-BS'!#REF!</f>
        <v>#REF!</v>
      </c>
      <c r="AI12" s="35" t="e">
        <f>'Model-BS'!#REF!</f>
        <v>#REF!</v>
      </c>
      <c r="AJ12" s="35" t="e">
        <f>'Model-BS'!M7</f>
        <v>#REF!</v>
      </c>
      <c r="AK12" s="35" t="e">
        <f>'Model-BS'!#REF!</f>
        <v>#REF!</v>
      </c>
      <c r="AL12" s="35" t="e">
        <f>'Model-BS'!#REF!</f>
        <v>#REF!</v>
      </c>
      <c r="AM12" s="35" t="e">
        <f>'Model-BS'!#REF!</f>
        <v>#REF!</v>
      </c>
      <c r="AN12" s="35" t="e">
        <f>'Model-BS'!#REF!</f>
        <v>#REF!</v>
      </c>
      <c r="AO12" s="35" t="e">
        <f>'Model-BS'!#REF!</f>
        <v>#REF!</v>
      </c>
      <c r="AP12" s="35" t="e">
        <f>'Model-BS'!#REF!</f>
        <v>#REF!</v>
      </c>
      <c r="AQ12" s="35" t="e">
        <f>'Model-BS'!N7</f>
        <v>#REF!</v>
      </c>
      <c r="AR12" s="35" t="e">
        <f>'Model-BS'!#REF!</f>
        <v>#REF!</v>
      </c>
      <c r="AS12" s="35" t="e">
        <f>'Model-BS'!#REF!</f>
        <v>#REF!</v>
      </c>
      <c r="AT12" s="35" t="e">
        <f>'Model-BS'!#REF!</f>
        <v>#REF!</v>
      </c>
      <c r="AU12" s="35" t="e">
        <f>'Model-BS'!#REF!</f>
        <v>#REF!</v>
      </c>
      <c r="AV12" s="35" t="e">
        <f>'Model-BS'!#REF!</f>
        <v>#REF!</v>
      </c>
      <c r="AW12" s="35" t="e">
        <f>'Model-BS'!#REF!</f>
        <v>#REF!</v>
      </c>
      <c r="AX12" s="35" t="e">
        <f>'Model-BS'!O7</f>
        <v>#REF!</v>
      </c>
      <c r="AY12" s="35" t="e">
        <f>'Model-BS'!#REF!</f>
        <v>#REF!</v>
      </c>
      <c r="AZ12" s="35" t="e">
        <f>'Model-BS'!#REF!</f>
        <v>#REF!</v>
      </c>
      <c r="BA12" s="35" t="e">
        <f>'Model-BS'!#REF!</f>
        <v>#REF!</v>
      </c>
      <c r="BB12" s="35" t="e">
        <f>'Model-BS'!#REF!</f>
        <v>#REF!</v>
      </c>
      <c r="BC12" s="35" t="e">
        <f>'Model-BS'!#REF!</f>
        <v>#REF!</v>
      </c>
      <c r="BD12" s="35" t="e">
        <f>'Model-BS'!#REF!</f>
        <v>#REF!</v>
      </c>
      <c r="BE12" s="35" t="e">
        <f>'Model-BS'!P7</f>
        <v>#REF!</v>
      </c>
      <c r="BF12" s="35" t="e">
        <f>'Model-BS'!#REF!</f>
        <v>#REF!</v>
      </c>
      <c r="BG12" s="35" t="e">
        <f>'Model-BS'!#REF!</f>
        <v>#REF!</v>
      </c>
      <c r="BH12" s="35" t="e">
        <f>'Model-BS'!#REF!</f>
        <v>#REF!</v>
      </c>
      <c r="BI12" s="35" t="e">
        <f>'Model-BS'!#REF!</f>
        <v>#REF!</v>
      </c>
      <c r="BJ12" s="35" t="e">
        <f>'Model-BS'!#REF!</f>
        <v>#REF!</v>
      </c>
      <c r="BK12" s="35" t="e">
        <f>'Model-BS'!#REF!</f>
        <v>#REF!</v>
      </c>
      <c r="BL12" s="35" t="e">
        <f>'Model-BS'!Q7</f>
        <v>#REF!</v>
      </c>
      <c r="BM12" s="35" t="e">
        <f>'Model-BS'!R7</f>
        <v>#REF!</v>
      </c>
      <c r="BN12" s="35" t="e">
        <f>'Model-BS'!S7</f>
        <v>#REF!</v>
      </c>
      <c r="BO12" s="35" t="e">
        <f>'Model-BS'!T7</f>
        <v>#REF!</v>
      </c>
      <c r="BP12" s="35" t="e">
        <f>'Model-BS'!U7</f>
        <v>#REF!</v>
      </c>
      <c r="BQ12" s="35" t="e">
        <f>'Model-BS'!AB7</f>
        <v>#REF!</v>
      </c>
      <c r="BR12" s="35" t="e">
        <f>'Model-BS'!AI7</f>
        <v>#REF!</v>
      </c>
      <c r="BS12" s="35" t="e">
        <f>'Model-BS'!AP7</f>
        <v>#REF!</v>
      </c>
      <c r="BT12" s="35" t="e">
        <f>'Model-BS'!AW7</f>
        <v>#REF!</v>
      </c>
      <c r="BU12" s="35" t="e">
        <f>'Model-BS'!BD7</f>
        <v>#REF!</v>
      </c>
      <c r="BV12" s="35" t="e">
        <f>'Model-BS'!BK7</f>
        <v>#REF!</v>
      </c>
      <c r="BW12" s="35" t="e">
        <f>'Model-BS'!BL7</f>
        <v>#REF!</v>
      </c>
      <c r="BX12" s="35" t="e">
        <f>'Model-BS'!BM7</f>
        <v>#REF!</v>
      </c>
      <c r="BY12" s="35" t="e">
        <f>'Model-BS'!BN7</f>
        <v>#REF!</v>
      </c>
      <c r="BZ12" s="35" t="e">
        <f>'Model-BS'!BO7</f>
        <v>#REF!</v>
      </c>
    </row>
    <row r="13" spans="1:99" hidden="1" outlineLevel="1">
      <c r="B13" s="33" t="s">
        <v>16</v>
      </c>
      <c r="D13" s="34" t="e">
        <f>[70]Model!I36</f>
        <v>#DIV/0!</v>
      </c>
      <c r="E13" s="34" t="e">
        <f>'Model-BS'!F8</f>
        <v>#REF!</v>
      </c>
      <c r="F13" s="34" t="e">
        <f>'Model-BS'!G8</f>
        <v>#REF!</v>
      </c>
      <c r="G13" s="34" t="e">
        <f>'Model-BS'!H8</f>
        <v>#REF!</v>
      </c>
      <c r="H13" s="34" t="e">
        <f>'Model-BS'!I8</f>
        <v>#REF!</v>
      </c>
      <c r="I13" s="34" t="e">
        <f>'Model-BS'!#REF!</f>
        <v>#REF!</v>
      </c>
      <c r="J13" s="34" t="e">
        <f>'Model-BS'!#REF!</f>
        <v>#REF!</v>
      </c>
      <c r="K13" s="34" t="e">
        <f>'Model-BS'!#REF!</f>
        <v>#REF!</v>
      </c>
      <c r="L13" s="34" t="e">
        <f>'Model-BS'!#REF!</f>
        <v>#REF!</v>
      </c>
      <c r="M13" s="34" t="e">
        <f>'Model-BS'!#REF!</f>
        <v>#REF!</v>
      </c>
      <c r="N13" s="34" t="e">
        <f>'Model-BS'!#REF!</f>
        <v>#REF!</v>
      </c>
      <c r="O13" s="34" t="e">
        <f>'Model-BS'!J8</f>
        <v>#REF!</v>
      </c>
      <c r="P13" s="34" t="e">
        <f>'Model-BS'!#REF!</f>
        <v>#REF!</v>
      </c>
      <c r="Q13" s="34" t="e">
        <f>'Model-BS'!#REF!</f>
        <v>#REF!</v>
      </c>
      <c r="R13" s="34" t="e">
        <f>'Model-BS'!#REF!</f>
        <v>#REF!</v>
      </c>
      <c r="S13" s="34" t="e">
        <f>'Model-BS'!#REF!</f>
        <v>#REF!</v>
      </c>
      <c r="T13" s="34" t="e">
        <f>'Model-BS'!#REF!</f>
        <v>#REF!</v>
      </c>
      <c r="U13" s="34" t="e">
        <f>'Model-BS'!#REF!</f>
        <v>#REF!</v>
      </c>
      <c r="V13" s="34" t="e">
        <f>'Model-BS'!K8</f>
        <v>#REF!</v>
      </c>
      <c r="W13" s="34" t="e">
        <f>'Model-BS'!#REF!</f>
        <v>#REF!</v>
      </c>
      <c r="X13" s="34" t="e">
        <f>'Model-BS'!#REF!</f>
        <v>#REF!</v>
      </c>
      <c r="Y13" s="34" t="e">
        <f>'Model-BS'!#REF!</f>
        <v>#REF!</v>
      </c>
      <c r="Z13" s="34" t="e">
        <f>'Model-BS'!#REF!</f>
        <v>#REF!</v>
      </c>
      <c r="AA13" s="34" t="e">
        <f>'Model-BS'!#REF!</f>
        <v>#REF!</v>
      </c>
      <c r="AB13" s="34" t="e">
        <f>'Model-BS'!#REF!</f>
        <v>#REF!</v>
      </c>
      <c r="AC13" s="34" t="e">
        <f>'Model-BS'!L8</f>
        <v>#REF!</v>
      </c>
      <c r="AD13" s="34" t="e">
        <f>'Model-BS'!#REF!</f>
        <v>#REF!</v>
      </c>
      <c r="AE13" s="34" t="e">
        <f>'Model-BS'!#REF!</f>
        <v>#REF!</v>
      </c>
      <c r="AF13" s="34" t="e">
        <f>'Model-BS'!#REF!</f>
        <v>#REF!</v>
      </c>
      <c r="AG13" s="34" t="e">
        <f>'Model-BS'!#REF!</f>
        <v>#REF!</v>
      </c>
      <c r="AH13" s="34" t="e">
        <f>'Model-BS'!#REF!</f>
        <v>#REF!</v>
      </c>
      <c r="AI13" s="34" t="e">
        <f>'Model-BS'!#REF!</f>
        <v>#REF!</v>
      </c>
      <c r="AJ13" s="34" t="e">
        <f>'Model-BS'!M8</f>
        <v>#REF!</v>
      </c>
      <c r="AK13" s="34" t="e">
        <f>'Model-BS'!#REF!</f>
        <v>#REF!</v>
      </c>
      <c r="AL13" s="34" t="e">
        <f>'Model-BS'!#REF!</f>
        <v>#REF!</v>
      </c>
      <c r="AM13" s="34" t="e">
        <f>'Model-BS'!#REF!</f>
        <v>#REF!</v>
      </c>
      <c r="AN13" s="34" t="e">
        <f>'Model-BS'!#REF!</f>
        <v>#REF!</v>
      </c>
      <c r="AO13" s="34" t="e">
        <f>'Model-BS'!#REF!</f>
        <v>#REF!</v>
      </c>
      <c r="AP13" s="34" t="e">
        <f>'Model-BS'!#REF!</f>
        <v>#REF!</v>
      </c>
      <c r="AQ13" s="34" t="e">
        <f>'Model-BS'!N8</f>
        <v>#REF!</v>
      </c>
      <c r="AR13" s="34" t="e">
        <f>'Model-BS'!#REF!</f>
        <v>#REF!</v>
      </c>
      <c r="AS13" s="34" t="e">
        <f>'Model-BS'!#REF!</f>
        <v>#REF!</v>
      </c>
      <c r="AT13" s="34" t="e">
        <f>'Model-BS'!#REF!</f>
        <v>#REF!</v>
      </c>
      <c r="AU13" s="34" t="e">
        <f>'Model-BS'!#REF!</f>
        <v>#REF!</v>
      </c>
      <c r="AV13" s="34" t="e">
        <f>'Model-BS'!#REF!</f>
        <v>#REF!</v>
      </c>
      <c r="AW13" s="34" t="e">
        <f>'Model-BS'!#REF!</f>
        <v>#REF!</v>
      </c>
      <c r="AX13" s="34" t="e">
        <f>'Model-BS'!O8</f>
        <v>#REF!</v>
      </c>
      <c r="AY13" s="34" t="e">
        <f>'Model-BS'!#REF!</f>
        <v>#REF!</v>
      </c>
      <c r="AZ13" s="34" t="e">
        <f>'Model-BS'!#REF!</f>
        <v>#REF!</v>
      </c>
      <c r="BA13" s="34" t="e">
        <f>'Model-BS'!#REF!</f>
        <v>#REF!</v>
      </c>
      <c r="BB13" s="34" t="e">
        <f>'Model-BS'!#REF!</f>
        <v>#REF!</v>
      </c>
      <c r="BC13" s="34" t="e">
        <f>'Model-BS'!#REF!</f>
        <v>#REF!</v>
      </c>
      <c r="BD13" s="34" t="e">
        <f>'Model-BS'!#REF!</f>
        <v>#REF!</v>
      </c>
      <c r="BE13" s="34" t="e">
        <f>'Model-BS'!P8</f>
        <v>#REF!</v>
      </c>
      <c r="BF13" s="34" t="e">
        <f>'Model-BS'!#REF!</f>
        <v>#REF!</v>
      </c>
      <c r="BG13" s="34" t="e">
        <f>'Model-BS'!#REF!</f>
        <v>#REF!</v>
      </c>
      <c r="BH13" s="34" t="e">
        <f>'Model-BS'!#REF!</f>
        <v>#REF!</v>
      </c>
      <c r="BI13" s="34" t="e">
        <f>'Model-BS'!#REF!</f>
        <v>#REF!</v>
      </c>
      <c r="BJ13" s="34" t="e">
        <f>'Model-BS'!#REF!</f>
        <v>#REF!</v>
      </c>
      <c r="BK13" s="34" t="e">
        <f>'Model-BS'!#REF!</f>
        <v>#REF!</v>
      </c>
      <c r="BL13" s="34" t="e">
        <f>'Model-BS'!Q8</f>
        <v>#REF!</v>
      </c>
      <c r="BM13" s="34" t="e">
        <f>'Model-BS'!R8</f>
        <v>#REF!</v>
      </c>
      <c r="BN13" s="34" t="e">
        <f>'Model-BS'!S8</f>
        <v>#REF!</v>
      </c>
      <c r="BO13" s="34" t="e">
        <f>'Model-BS'!T8</f>
        <v>#REF!</v>
      </c>
      <c r="BP13" s="34" t="e">
        <f>'Model-BS'!U8</f>
        <v>#REF!</v>
      </c>
      <c r="BQ13" s="34" t="e">
        <f>'Model-BS'!AB8</f>
        <v>#REF!</v>
      </c>
      <c r="BR13" s="34" t="e">
        <f>'Model-BS'!AI8</f>
        <v>#REF!</v>
      </c>
      <c r="BS13" s="34" t="e">
        <f>'Model-BS'!AP8</f>
        <v>#REF!</v>
      </c>
      <c r="BT13" s="34" t="e">
        <f>'Model-BS'!AW8</f>
        <v>#REF!</v>
      </c>
      <c r="BU13" s="34" t="e">
        <f>'Model-BS'!BD8</f>
        <v>#REF!</v>
      </c>
      <c r="BV13" s="34" t="e">
        <f>'Model-BS'!BK8</f>
        <v>#REF!</v>
      </c>
      <c r="BW13" s="34" t="e">
        <f>'Model-BS'!BL8</f>
        <v>#REF!</v>
      </c>
      <c r="BX13" s="34" t="e">
        <f>'Model-BS'!BM8</f>
        <v>#REF!</v>
      </c>
      <c r="BY13" s="34" t="e">
        <f>'Model-BS'!BN8</f>
        <v>#REF!</v>
      </c>
      <c r="BZ13" s="34" t="e">
        <f>'Model-BS'!BO8</f>
        <v>#REF!</v>
      </c>
    </row>
    <row r="14" spans="1:99" s="31" customFormat="1" hidden="1" outlineLevel="1">
      <c r="B14" s="35" t="s">
        <v>17</v>
      </c>
      <c r="C14" s="35"/>
      <c r="D14" s="35">
        <f>[70]Model!I37</f>
        <v>0</v>
      </c>
      <c r="E14" s="35" t="e">
        <f>'Model-BS'!F9</f>
        <v>#REF!</v>
      </c>
      <c r="F14" s="35" t="e">
        <f>'Model-BS'!G9</f>
        <v>#REF!</v>
      </c>
      <c r="G14" s="35" t="e">
        <f>'Model-BS'!H9</f>
        <v>#REF!</v>
      </c>
      <c r="H14" s="35" t="e">
        <f>'Model-BS'!I9</f>
        <v>#REF!</v>
      </c>
      <c r="I14" s="35" t="e">
        <f>'Model-BS'!#REF!</f>
        <v>#REF!</v>
      </c>
      <c r="J14" s="35" t="e">
        <f>'Model-BS'!#REF!</f>
        <v>#REF!</v>
      </c>
      <c r="K14" s="35" t="e">
        <f>'Model-BS'!#REF!</f>
        <v>#REF!</v>
      </c>
      <c r="L14" s="35" t="e">
        <f>'Model-BS'!#REF!</f>
        <v>#REF!</v>
      </c>
      <c r="M14" s="35" t="e">
        <f>'Model-BS'!#REF!</f>
        <v>#REF!</v>
      </c>
      <c r="N14" s="35" t="e">
        <f>'Model-BS'!#REF!</f>
        <v>#REF!</v>
      </c>
      <c r="O14" s="35" t="e">
        <f>'Model-BS'!J9</f>
        <v>#REF!</v>
      </c>
      <c r="P14" s="35" t="e">
        <f>'Model-BS'!#REF!</f>
        <v>#REF!</v>
      </c>
      <c r="Q14" s="35" t="e">
        <f>'Model-BS'!#REF!</f>
        <v>#REF!</v>
      </c>
      <c r="R14" s="35" t="e">
        <f>'Model-BS'!#REF!</f>
        <v>#REF!</v>
      </c>
      <c r="S14" s="35" t="e">
        <f>'Model-BS'!#REF!</f>
        <v>#REF!</v>
      </c>
      <c r="T14" s="35" t="e">
        <f>'Model-BS'!#REF!</f>
        <v>#REF!</v>
      </c>
      <c r="U14" s="35" t="e">
        <f>'Model-BS'!#REF!</f>
        <v>#REF!</v>
      </c>
      <c r="V14" s="35" t="e">
        <f>'Model-BS'!K9</f>
        <v>#REF!</v>
      </c>
      <c r="W14" s="35" t="e">
        <f>'Model-BS'!#REF!</f>
        <v>#REF!</v>
      </c>
      <c r="X14" s="35" t="e">
        <f>'Model-BS'!#REF!</f>
        <v>#REF!</v>
      </c>
      <c r="Y14" s="35" t="e">
        <f>'Model-BS'!#REF!</f>
        <v>#REF!</v>
      </c>
      <c r="Z14" s="35" t="e">
        <f>'Model-BS'!#REF!</f>
        <v>#REF!</v>
      </c>
      <c r="AA14" s="35" t="e">
        <f>'Model-BS'!#REF!</f>
        <v>#REF!</v>
      </c>
      <c r="AB14" s="35" t="e">
        <f>'Model-BS'!#REF!</f>
        <v>#REF!</v>
      </c>
      <c r="AC14" s="35" t="e">
        <f>'Model-BS'!L9</f>
        <v>#REF!</v>
      </c>
      <c r="AD14" s="35" t="e">
        <f>'Model-BS'!#REF!</f>
        <v>#REF!</v>
      </c>
      <c r="AE14" s="35" t="e">
        <f>'Model-BS'!#REF!</f>
        <v>#REF!</v>
      </c>
      <c r="AF14" s="35" t="e">
        <f>'Model-BS'!#REF!</f>
        <v>#REF!</v>
      </c>
      <c r="AG14" s="35" t="e">
        <f>'Model-BS'!#REF!</f>
        <v>#REF!</v>
      </c>
      <c r="AH14" s="35" t="e">
        <f>'Model-BS'!#REF!</f>
        <v>#REF!</v>
      </c>
      <c r="AI14" s="35" t="e">
        <f>'Model-BS'!#REF!</f>
        <v>#REF!</v>
      </c>
      <c r="AJ14" s="35" t="e">
        <f>'Model-BS'!M9</f>
        <v>#REF!</v>
      </c>
      <c r="AK14" s="35" t="e">
        <f>'Model-BS'!#REF!</f>
        <v>#REF!</v>
      </c>
      <c r="AL14" s="35" t="e">
        <f>'Model-BS'!#REF!</f>
        <v>#REF!</v>
      </c>
      <c r="AM14" s="35" t="e">
        <f>'Model-BS'!#REF!</f>
        <v>#REF!</v>
      </c>
      <c r="AN14" s="35" t="e">
        <f>'Model-BS'!#REF!</f>
        <v>#REF!</v>
      </c>
      <c r="AO14" s="35" t="e">
        <f>'Model-BS'!#REF!</f>
        <v>#REF!</v>
      </c>
      <c r="AP14" s="35" t="e">
        <f>'Model-BS'!#REF!</f>
        <v>#REF!</v>
      </c>
      <c r="AQ14" s="35" t="e">
        <f>'Model-BS'!N9</f>
        <v>#REF!</v>
      </c>
      <c r="AR14" s="35" t="e">
        <f>'Model-BS'!#REF!</f>
        <v>#REF!</v>
      </c>
      <c r="AS14" s="35" t="e">
        <f>'Model-BS'!#REF!</f>
        <v>#REF!</v>
      </c>
      <c r="AT14" s="35" t="e">
        <f>'Model-BS'!#REF!</f>
        <v>#REF!</v>
      </c>
      <c r="AU14" s="35" t="e">
        <f>'Model-BS'!#REF!</f>
        <v>#REF!</v>
      </c>
      <c r="AV14" s="35" t="e">
        <f>'Model-BS'!#REF!</f>
        <v>#REF!</v>
      </c>
      <c r="AW14" s="35" t="e">
        <f>'Model-BS'!#REF!</f>
        <v>#REF!</v>
      </c>
      <c r="AX14" s="35" t="e">
        <f>'Model-BS'!O9</f>
        <v>#REF!</v>
      </c>
      <c r="AY14" s="35" t="e">
        <f>'Model-BS'!#REF!</f>
        <v>#REF!</v>
      </c>
      <c r="AZ14" s="35" t="e">
        <f>'Model-BS'!#REF!</f>
        <v>#REF!</v>
      </c>
      <c r="BA14" s="35" t="e">
        <f>'Model-BS'!#REF!</f>
        <v>#REF!</v>
      </c>
      <c r="BB14" s="35" t="e">
        <f>'Model-BS'!#REF!</f>
        <v>#REF!</v>
      </c>
      <c r="BC14" s="35" t="e">
        <f>'Model-BS'!#REF!</f>
        <v>#REF!</v>
      </c>
      <c r="BD14" s="35" t="e">
        <f>'Model-BS'!#REF!</f>
        <v>#REF!</v>
      </c>
      <c r="BE14" s="35" t="e">
        <f>'Model-BS'!P9</f>
        <v>#REF!</v>
      </c>
      <c r="BF14" s="35" t="e">
        <f>'Model-BS'!#REF!</f>
        <v>#REF!</v>
      </c>
      <c r="BG14" s="35" t="e">
        <f>'Model-BS'!#REF!</f>
        <v>#REF!</v>
      </c>
      <c r="BH14" s="35" t="e">
        <f>'Model-BS'!#REF!</f>
        <v>#REF!</v>
      </c>
      <c r="BI14" s="35" t="e">
        <f>'Model-BS'!#REF!</f>
        <v>#REF!</v>
      </c>
      <c r="BJ14" s="35" t="e">
        <f>'Model-BS'!#REF!</f>
        <v>#REF!</v>
      </c>
      <c r="BK14" s="35" t="e">
        <f>'Model-BS'!#REF!</f>
        <v>#REF!</v>
      </c>
      <c r="BL14" s="35" t="e">
        <f>'Model-BS'!Q9</f>
        <v>#REF!</v>
      </c>
      <c r="BM14" s="35" t="e">
        <f>'Model-BS'!R9</f>
        <v>#REF!</v>
      </c>
      <c r="BN14" s="35" t="e">
        <f>'Model-BS'!S9</f>
        <v>#REF!</v>
      </c>
      <c r="BO14" s="35" t="e">
        <f>'Model-BS'!T9</f>
        <v>#REF!</v>
      </c>
      <c r="BP14" s="35" t="e">
        <f>'Model-BS'!U9</f>
        <v>#REF!</v>
      </c>
      <c r="BQ14" s="35" t="e">
        <f>'Model-BS'!AB9</f>
        <v>#REF!</v>
      </c>
      <c r="BR14" s="35" t="e">
        <f>'Model-BS'!AI9</f>
        <v>#REF!</v>
      </c>
      <c r="BS14" s="35" t="e">
        <f>'Model-BS'!AP9</f>
        <v>#REF!</v>
      </c>
      <c r="BT14" s="35" t="e">
        <f>'Model-BS'!AW9</f>
        <v>#REF!</v>
      </c>
      <c r="BU14" s="35" t="e">
        <f>'Model-BS'!BD9</f>
        <v>#REF!</v>
      </c>
      <c r="BV14" s="35" t="e">
        <f>'Model-BS'!BK9</f>
        <v>#REF!</v>
      </c>
      <c r="BW14" s="35" t="e">
        <f>'Model-BS'!BL9</f>
        <v>#REF!</v>
      </c>
      <c r="BX14" s="35" t="e">
        <f>'Model-BS'!BM9</f>
        <v>#REF!</v>
      </c>
      <c r="BY14" s="35" t="e">
        <f>'Model-BS'!BN9</f>
        <v>#REF!</v>
      </c>
      <c r="BZ14" s="35" t="e">
        <f>'Model-BS'!BO9</f>
        <v>#REF!</v>
      </c>
    </row>
    <row r="15" spans="1:99" hidden="1" outlineLevel="1">
      <c r="B15" s="36" t="s">
        <v>18</v>
      </c>
      <c r="C15" s="37"/>
      <c r="D15" s="38" t="e">
        <f>[70]Model!I38</f>
        <v>#DIV/0!</v>
      </c>
      <c r="E15" s="38" t="e">
        <f>'Model-BS'!F10</f>
        <v>#REF!</v>
      </c>
      <c r="F15" s="38" t="e">
        <f>'Model-BS'!G10</f>
        <v>#REF!</v>
      </c>
      <c r="G15" s="38" t="e">
        <f>'Model-BS'!H10</f>
        <v>#REF!</v>
      </c>
      <c r="H15" s="38" t="e">
        <f>'Model-BS'!I10</f>
        <v>#REF!</v>
      </c>
      <c r="I15" s="38" t="e">
        <f>'Model-BS'!#REF!</f>
        <v>#REF!</v>
      </c>
      <c r="J15" s="38" t="e">
        <f>'Model-BS'!#REF!</f>
        <v>#REF!</v>
      </c>
      <c r="K15" s="38" t="e">
        <f>'Model-BS'!#REF!</f>
        <v>#REF!</v>
      </c>
      <c r="L15" s="38" t="e">
        <f>'Model-BS'!#REF!</f>
        <v>#REF!</v>
      </c>
      <c r="M15" s="38" t="e">
        <f>'Model-BS'!#REF!</f>
        <v>#REF!</v>
      </c>
      <c r="N15" s="38" t="e">
        <f>'Model-BS'!#REF!</f>
        <v>#REF!</v>
      </c>
      <c r="O15" s="38" t="e">
        <f>'Model-BS'!J10</f>
        <v>#REF!</v>
      </c>
      <c r="P15" s="38" t="e">
        <f>'Model-BS'!#REF!</f>
        <v>#REF!</v>
      </c>
      <c r="Q15" s="38" t="e">
        <f>'Model-BS'!#REF!</f>
        <v>#REF!</v>
      </c>
      <c r="R15" s="38" t="e">
        <f>'Model-BS'!#REF!</f>
        <v>#REF!</v>
      </c>
      <c r="S15" s="38" t="e">
        <f>'Model-BS'!#REF!</f>
        <v>#REF!</v>
      </c>
      <c r="T15" s="38" t="e">
        <f>'Model-BS'!#REF!</f>
        <v>#REF!</v>
      </c>
      <c r="U15" s="38" t="e">
        <f>'Model-BS'!#REF!</f>
        <v>#REF!</v>
      </c>
      <c r="V15" s="38" t="e">
        <f>'Model-BS'!K10</f>
        <v>#REF!</v>
      </c>
      <c r="W15" s="38" t="e">
        <f>'Model-BS'!#REF!</f>
        <v>#REF!</v>
      </c>
      <c r="X15" s="38" t="e">
        <f>'Model-BS'!#REF!</f>
        <v>#REF!</v>
      </c>
      <c r="Y15" s="38" t="e">
        <f>'Model-BS'!#REF!</f>
        <v>#REF!</v>
      </c>
      <c r="Z15" s="38" t="e">
        <f>'Model-BS'!#REF!</f>
        <v>#REF!</v>
      </c>
      <c r="AA15" s="38" t="e">
        <f>'Model-BS'!#REF!</f>
        <v>#REF!</v>
      </c>
      <c r="AB15" s="38" t="e">
        <f>'Model-BS'!#REF!</f>
        <v>#REF!</v>
      </c>
      <c r="AC15" s="38" t="e">
        <f>'Model-BS'!L10</f>
        <v>#REF!</v>
      </c>
      <c r="AD15" s="38" t="e">
        <f>'Model-BS'!#REF!</f>
        <v>#REF!</v>
      </c>
      <c r="AE15" s="38" t="e">
        <f>'Model-BS'!#REF!</f>
        <v>#REF!</v>
      </c>
      <c r="AF15" s="38" t="e">
        <f>'Model-BS'!#REF!</f>
        <v>#REF!</v>
      </c>
      <c r="AG15" s="38" t="e">
        <f>'Model-BS'!#REF!</f>
        <v>#REF!</v>
      </c>
      <c r="AH15" s="38" t="e">
        <f>'Model-BS'!#REF!</f>
        <v>#REF!</v>
      </c>
      <c r="AI15" s="38" t="e">
        <f>'Model-BS'!#REF!</f>
        <v>#REF!</v>
      </c>
      <c r="AJ15" s="38" t="e">
        <f>'Model-BS'!M10</f>
        <v>#REF!</v>
      </c>
      <c r="AK15" s="38" t="e">
        <f>'Model-BS'!#REF!</f>
        <v>#REF!</v>
      </c>
      <c r="AL15" s="38" t="e">
        <f>'Model-BS'!#REF!</f>
        <v>#REF!</v>
      </c>
      <c r="AM15" s="38" t="e">
        <f>'Model-BS'!#REF!</f>
        <v>#REF!</v>
      </c>
      <c r="AN15" s="38" t="e">
        <f>'Model-BS'!#REF!</f>
        <v>#REF!</v>
      </c>
      <c r="AO15" s="38" t="e">
        <f>'Model-BS'!#REF!</f>
        <v>#REF!</v>
      </c>
      <c r="AP15" s="38" t="e">
        <f>'Model-BS'!#REF!</f>
        <v>#REF!</v>
      </c>
      <c r="AQ15" s="38" t="e">
        <f>'Model-BS'!N10</f>
        <v>#REF!</v>
      </c>
      <c r="AR15" s="38" t="e">
        <f>'Model-BS'!#REF!</f>
        <v>#REF!</v>
      </c>
      <c r="AS15" s="38" t="e">
        <f>'Model-BS'!#REF!</f>
        <v>#REF!</v>
      </c>
      <c r="AT15" s="38" t="e">
        <f>'Model-BS'!#REF!</f>
        <v>#REF!</v>
      </c>
      <c r="AU15" s="38" t="e">
        <f>'Model-BS'!#REF!</f>
        <v>#REF!</v>
      </c>
      <c r="AV15" s="38" t="e">
        <f>'Model-BS'!#REF!</f>
        <v>#REF!</v>
      </c>
      <c r="AW15" s="38" t="e">
        <f>'Model-BS'!#REF!</f>
        <v>#REF!</v>
      </c>
      <c r="AX15" s="38" t="e">
        <f>'Model-BS'!O10</f>
        <v>#REF!</v>
      </c>
      <c r="AY15" s="38" t="e">
        <f>'Model-BS'!#REF!</f>
        <v>#REF!</v>
      </c>
      <c r="AZ15" s="38" t="e">
        <f>'Model-BS'!#REF!</f>
        <v>#REF!</v>
      </c>
      <c r="BA15" s="38" t="e">
        <f>'Model-BS'!#REF!</f>
        <v>#REF!</v>
      </c>
      <c r="BB15" s="38" t="e">
        <f>'Model-BS'!#REF!</f>
        <v>#REF!</v>
      </c>
      <c r="BC15" s="38" t="e">
        <f>'Model-BS'!#REF!</f>
        <v>#REF!</v>
      </c>
      <c r="BD15" s="38" t="e">
        <f>'Model-BS'!#REF!</f>
        <v>#REF!</v>
      </c>
      <c r="BE15" s="38" t="e">
        <f>'Model-BS'!P10</f>
        <v>#REF!</v>
      </c>
      <c r="BF15" s="38" t="e">
        <f>'Model-BS'!#REF!</f>
        <v>#REF!</v>
      </c>
      <c r="BG15" s="38" t="e">
        <f>'Model-BS'!#REF!</f>
        <v>#REF!</v>
      </c>
      <c r="BH15" s="38" t="e">
        <f>'Model-BS'!#REF!</f>
        <v>#REF!</v>
      </c>
      <c r="BI15" s="38" t="e">
        <f>'Model-BS'!#REF!</f>
        <v>#REF!</v>
      </c>
      <c r="BJ15" s="38" t="e">
        <f>'Model-BS'!#REF!</f>
        <v>#REF!</v>
      </c>
      <c r="BK15" s="38" t="e">
        <f>'Model-BS'!#REF!</f>
        <v>#REF!</v>
      </c>
      <c r="BL15" s="38" t="e">
        <f>'Model-BS'!Q10</f>
        <v>#REF!</v>
      </c>
      <c r="BM15" s="38" t="e">
        <f>'Model-BS'!R10</f>
        <v>#REF!</v>
      </c>
      <c r="BN15" s="38" t="e">
        <f>'Model-BS'!S10</f>
        <v>#REF!</v>
      </c>
      <c r="BO15" s="38" t="e">
        <f>'Model-BS'!T10</f>
        <v>#REF!</v>
      </c>
      <c r="BP15" s="38" t="e">
        <f>'Model-BS'!U10</f>
        <v>#REF!</v>
      </c>
      <c r="BQ15" s="38" t="e">
        <f>'Model-BS'!AB10</f>
        <v>#REF!</v>
      </c>
      <c r="BR15" s="38" t="e">
        <f>'Model-BS'!AI10</f>
        <v>#REF!</v>
      </c>
      <c r="BS15" s="38" t="e">
        <f>'Model-BS'!AP10</f>
        <v>#REF!</v>
      </c>
      <c r="BT15" s="38" t="e">
        <f>'Model-BS'!AW10</f>
        <v>#REF!</v>
      </c>
      <c r="BU15" s="38" t="e">
        <f>'Model-BS'!BD10</f>
        <v>#REF!</v>
      </c>
      <c r="BV15" s="38" t="e">
        <f>'Model-BS'!BK10</f>
        <v>#REF!</v>
      </c>
      <c r="BW15" s="38" t="e">
        <f>'Model-BS'!BL10</f>
        <v>#REF!</v>
      </c>
      <c r="BX15" s="38" t="e">
        <f>'Model-BS'!BM10</f>
        <v>#REF!</v>
      </c>
      <c r="BY15" s="38" t="e">
        <f>'Model-BS'!BN10</f>
        <v>#REF!</v>
      </c>
      <c r="BZ15" s="38" t="e">
        <f>'Model-BS'!BO10</f>
        <v>#REF!</v>
      </c>
    </row>
    <row r="16" spans="1:99" s="39" customFormat="1" collapsed="1">
      <c r="B16" s="40" t="s">
        <v>19</v>
      </c>
      <c r="C16" s="40"/>
      <c r="D16" s="40">
        <f>[70]Model!I39</f>
        <v>0</v>
      </c>
      <c r="E16" s="40" t="e">
        <f>'Model-BS'!F11</f>
        <v>#REF!</v>
      </c>
      <c r="F16" s="40" t="e">
        <f>'Model-BS'!G11</f>
        <v>#REF!</v>
      </c>
      <c r="G16" s="40" t="e">
        <f>'Model-BS'!H11</f>
        <v>#REF!</v>
      </c>
      <c r="H16" s="40" t="e">
        <f>'Model-BS'!I11</f>
        <v>#REF!</v>
      </c>
      <c r="I16" s="40" t="e">
        <f>'Model-BS'!#REF!</f>
        <v>#REF!</v>
      </c>
      <c r="J16" s="40" t="e">
        <f>'Model-BS'!#REF!</f>
        <v>#REF!</v>
      </c>
      <c r="K16" s="40" t="e">
        <f>'Model-BS'!#REF!</f>
        <v>#REF!</v>
      </c>
      <c r="L16" s="40" t="e">
        <f>'Model-BS'!#REF!</f>
        <v>#REF!</v>
      </c>
      <c r="M16" s="40" t="e">
        <f>'Model-BS'!#REF!</f>
        <v>#REF!</v>
      </c>
      <c r="N16" s="40" t="e">
        <f>'Model-BS'!#REF!</f>
        <v>#REF!</v>
      </c>
      <c r="O16" s="40" t="e">
        <f>'Model-BS'!J11</f>
        <v>#REF!</v>
      </c>
      <c r="P16" s="40" t="e">
        <f>'Model-BS'!#REF!</f>
        <v>#REF!</v>
      </c>
      <c r="Q16" s="40" t="e">
        <f>'Model-BS'!#REF!</f>
        <v>#REF!</v>
      </c>
      <c r="R16" s="40" t="e">
        <f>'Model-BS'!#REF!</f>
        <v>#REF!</v>
      </c>
      <c r="S16" s="40" t="e">
        <f>'Model-BS'!#REF!</f>
        <v>#REF!</v>
      </c>
      <c r="T16" s="40" t="e">
        <f>'Model-BS'!#REF!</f>
        <v>#REF!</v>
      </c>
      <c r="U16" s="40" t="e">
        <f>'Model-BS'!#REF!</f>
        <v>#REF!</v>
      </c>
      <c r="V16" s="40" t="e">
        <f>'Model-BS'!K11</f>
        <v>#REF!</v>
      </c>
      <c r="W16" s="40" t="e">
        <f>'Model-BS'!#REF!</f>
        <v>#REF!</v>
      </c>
      <c r="X16" s="40" t="e">
        <f>'Model-BS'!#REF!</f>
        <v>#REF!</v>
      </c>
      <c r="Y16" s="40" t="e">
        <f>'Model-BS'!#REF!</f>
        <v>#REF!</v>
      </c>
      <c r="Z16" s="40" t="e">
        <f>'Model-BS'!#REF!</f>
        <v>#REF!</v>
      </c>
      <c r="AA16" s="40" t="e">
        <f>'Model-BS'!#REF!</f>
        <v>#REF!</v>
      </c>
      <c r="AB16" s="40" t="e">
        <f>'Model-BS'!#REF!</f>
        <v>#REF!</v>
      </c>
      <c r="AC16" s="40" t="e">
        <f>'Model-BS'!L11</f>
        <v>#REF!</v>
      </c>
      <c r="AD16" s="40" t="e">
        <f>'Model-BS'!#REF!</f>
        <v>#REF!</v>
      </c>
      <c r="AE16" s="40" t="e">
        <f>'Model-BS'!#REF!</f>
        <v>#REF!</v>
      </c>
      <c r="AF16" s="40" t="e">
        <f>'Model-BS'!#REF!</f>
        <v>#REF!</v>
      </c>
      <c r="AG16" s="40" t="e">
        <f>'Model-BS'!#REF!</f>
        <v>#REF!</v>
      </c>
      <c r="AH16" s="40" t="e">
        <f>'Model-BS'!#REF!</f>
        <v>#REF!</v>
      </c>
      <c r="AI16" s="40" t="e">
        <f>'Model-BS'!#REF!</f>
        <v>#REF!</v>
      </c>
      <c r="AJ16" s="40" t="e">
        <f>'Model-BS'!M11</f>
        <v>#REF!</v>
      </c>
      <c r="AK16" s="40" t="e">
        <f>'Model-BS'!#REF!</f>
        <v>#REF!</v>
      </c>
      <c r="AL16" s="40" t="e">
        <f>'Model-BS'!#REF!</f>
        <v>#REF!</v>
      </c>
      <c r="AM16" s="40" t="e">
        <f>'Model-BS'!#REF!</f>
        <v>#REF!</v>
      </c>
      <c r="AN16" s="40" t="e">
        <f>'Model-BS'!#REF!</f>
        <v>#REF!</v>
      </c>
      <c r="AO16" s="40" t="e">
        <f>'Model-BS'!#REF!</f>
        <v>#REF!</v>
      </c>
      <c r="AP16" s="40" t="e">
        <f>'Model-BS'!#REF!</f>
        <v>#REF!</v>
      </c>
      <c r="AQ16" s="40" t="e">
        <f>'Model-BS'!N11</f>
        <v>#REF!</v>
      </c>
      <c r="AR16" s="40" t="e">
        <f>'Model-BS'!#REF!</f>
        <v>#REF!</v>
      </c>
      <c r="AS16" s="40" t="e">
        <f>'Model-BS'!#REF!</f>
        <v>#REF!</v>
      </c>
      <c r="AT16" s="40" t="e">
        <f>'Model-BS'!#REF!</f>
        <v>#REF!</v>
      </c>
      <c r="AU16" s="40" t="e">
        <f>'Model-BS'!#REF!</f>
        <v>#REF!</v>
      </c>
      <c r="AV16" s="40" t="e">
        <f>'Model-BS'!#REF!</f>
        <v>#REF!</v>
      </c>
      <c r="AW16" s="40" t="e">
        <f>'Model-BS'!#REF!</f>
        <v>#REF!</v>
      </c>
      <c r="AX16" s="40" t="e">
        <f>'Model-BS'!O11</f>
        <v>#REF!</v>
      </c>
      <c r="AY16" s="40" t="e">
        <f>'Model-BS'!#REF!</f>
        <v>#REF!</v>
      </c>
      <c r="AZ16" s="40" t="e">
        <f>'Model-BS'!#REF!</f>
        <v>#REF!</v>
      </c>
      <c r="BA16" s="40" t="e">
        <f>'Model-BS'!#REF!</f>
        <v>#REF!</v>
      </c>
      <c r="BB16" s="40" t="e">
        <f>'Model-BS'!#REF!</f>
        <v>#REF!</v>
      </c>
      <c r="BC16" s="40" t="e">
        <f>'Model-BS'!#REF!</f>
        <v>#REF!</v>
      </c>
      <c r="BD16" s="40" t="e">
        <f>'Model-BS'!#REF!</f>
        <v>#REF!</v>
      </c>
      <c r="BE16" s="40" t="e">
        <f>'Model-BS'!P11</f>
        <v>#REF!</v>
      </c>
      <c r="BF16" s="40" t="e">
        <f>'Model-BS'!#REF!</f>
        <v>#REF!</v>
      </c>
      <c r="BG16" s="40" t="e">
        <f>'Model-BS'!#REF!</f>
        <v>#REF!</v>
      </c>
      <c r="BH16" s="40" t="e">
        <f>'Model-BS'!#REF!</f>
        <v>#REF!</v>
      </c>
      <c r="BI16" s="40" t="e">
        <f>'Model-BS'!#REF!</f>
        <v>#REF!</v>
      </c>
      <c r="BJ16" s="40" t="e">
        <f>'Model-BS'!#REF!</f>
        <v>#REF!</v>
      </c>
      <c r="BK16" s="40" t="e">
        <f>'Model-BS'!#REF!</f>
        <v>#REF!</v>
      </c>
      <c r="BL16" s="40" t="e">
        <f>'Model-BS'!Q11</f>
        <v>#REF!</v>
      </c>
      <c r="BM16" s="40" t="e">
        <f>'Model-BS'!R11</f>
        <v>#REF!</v>
      </c>
      <c r="BN16" s="40" t="e">
        <f>'Model-BS'!S11</f>
        <v>#REF!</v>
      </c>
      <c r="BO16" s="40" t="e">
        <f>'Model-BS'!T11</f>
        <v>#REF!</v>
      </c>
      <c r="BP16" s="40" t="e">
        <f>'Model-BS'!U11</f>
        <v>#REF!</v>
      </c>
      <c r="BQ16" s="40" t="e">
        <f>'Model-BS'!AB11</f>
        <v>#REF!</v>
      </c>
      <c r="BR16" s="40" t="e">
        <f>'Model-BS'!AI11</f>
        <v>#REF!</v>
      </c>
      <c r="BS16" s="40" t="e">
        <f>'Model-BS'!AP11</f>
        <v>#REF!</v>
      </c>
      <c r="BT16" s="40" t="e">
        <f>'Model-BS'!AW11</f>
        <v>#REF!</v>
      </c>
      <c r="BU16" s="40" t="e">
        <f>'Model-BS'!BD11</f>
        <v>#REF!</v>
      </c>
      <c r="BV16" s="40" t="e">
        <f>'Model-BS'!BK11</f>
        <v>#REF!</v>
      </c>
      <c r="BW16" s="40" t="e">
        <f>'Model-BS'!BL11</f>
        <v>#REF!</v>
      </c>
      <c r="BX16" s="40" t="e">
        <f>'Model-BS'!BM11</f>
        <v>#REF!</v>
      </c>
      <c r="BY16" s="40" t="e">
        <f>'Model-BS'!BN11</f>
        <v>#REF!</v>
      </c>
      <c r="BZ16" s="40" t="e">
        <f>'Model-BS'!BO11</f>
        <v>#REF!</v>
      </c>
    </row>
    <row r="17" spans="2:78">
      <c r="B17" s="41" t="s">
        <v>20</v>
      </c>
      <c r="C17" s="41"/>
      <c r="D17" s="42" t="e">
        <f>[70]Model!I40</f>
        <v>#DIV/0!</v>
      </c>
      <c r="E17" s="42" t="e">
        <f>'Model-BS'!F12</f>
        <v>#REF!</v>
      </c>
      <c r="F17" s="42" t="e">
        <f>'Model-BS'!G12</f>
        <v>#REF!</v>
      </c>
      <c r="G17" s="42" t="e">
        <f>'Model-BS'!H12</f>
        <v>#REF!</v>
      </c>
      <c r="H17" s="42" t="e">
        <f>'Model-BS'!I12</f>
        <v>#REF!</v>
      </c>
      <c r="I17" s="42" t="e">
        <f>'Model-BS'!#REF!</f>
        <v>#REF!</v>
      </c>
      <c r="J17" s="42" t="e">
        <f>'Model-BS'!#REF!</f>
        <v>#REF!</v>
      </c>
      <c r="K17" s="42" t="e">
        <f>'Model-BS'!#REF!</f>
        <v>#REF!</v>
      </c>
      <c r="L17" s="42" t="e">
        <f>'Model-BS'!#REF!</f>
        <v>#REF!</v>
      </c>
      <c r="M17" s="42" t="e">
        <f>'Model-BS'!#REF!</f>
        <v>#REF!</v>
      </c>
      <c r="N17" s="42" t="e">
        <f>'Model-BS'!#REF!</f>
        <v>#REF!</v>
      </c>
      <c r="O17" s="42" t="e">
        <f>'Model-BS'!J12</f>
        <v>#REF!</v>
      </c>
      <c r="P17" s="42" t="e">
        <f>'Model-BS'!#REF!</f>
        <v>#REF!</v>
      </c>
      <c r="Q17" s="42" t="e">
        <f>'Model-BS'!#REF!</f>
        <v>#REF!</v>
      </c>
      <c r="R17" s="42" t="e">
        <f>'Model-BS'!#REF!</f>
        <v>#REF!</v>
      </c>
      <c r="S17" s="42" t="e">
        <f>'Model-BS'!#REF!</f>
        <v>#REF!</v>
      </c>
      <c r="T17" s="42" t="e">
        <f>'Model-BS'!#REF!</f>
        <v>#REF!</v>
      </c>
      <c r="U17" s="42" t="e">
        <f>'Model-BS'!#REF!</f>
        <v>#REF!</v>
      </c>
      <c r="V17" s="42" t="e">
        <f>'Model-BS'!K12</f>
        <v>#REF!</v>
      </c>
      <c r="W17" s="42" t="e">
        <f>'Model-BS'!#REF!</f>
        <v>#REF!</v>
      </c>
      <c r="X17" s="42" t="e">
        <f>'Model-BS'!#REF!</f>
        <v>#REF!</v>
      </c>
      <c r="Y17" s="42" t="e">
        <f>'Model-BS'!#REF!</f>
        <v>#REF!</v>
      </c>
      <c r="Z17" s="42" t="e">
        <f>'Model-BS'!#REF!</f>
        <v>#REF!</v>
      </c>
      <c r="AA17" s="42" t="e">
        <f>'Model-BS'!#REF!</f>
        <v>#REF!</v>
      </c>
      <c r="AB17" s="42" t="e">
        <f>'Model-BS'!#REF!</f>
        <v>#REF!</v>
      </c>
      <c r="AC17" s="42" t="e">
        <f>'Model-BS'!L12</f>
        <v>#REF!</v>
      </c>
      <c r="AD17" s="42" t="e">
        <f>'Model-BS'!#REF!</f>
        <v>#REF!</v>
      </c>
      <c r="AE17" s="42" t="e">
        <f>'Model-BS'!#REF!</f>
        <v>#REF!</v>
      </c>
      <c r="AF17" s="42" t="e">
        <f>'Model-BS'!#REF!</f>
        <v>#REF!</v>
      </c>
      <c r="AG17" s="42" t="e">
        <f>'Model-BS'!#REF!</f>
        <v>#REF!</v>
      </c>
      <c r="AH17" s="42" t="e">
        <f>'Model-BS'!#REF!</f>
        <v>#REF!</v>
      </c>
      <c r="AI17" s="42" t="e">
        <f>'Model-BS'!#REF!</f>
        <v>#REF!</v>
      </c>
      <c r="AJ17" s="42" t="e">
        <f>'Model-BS'!M12</f>
        <v>#REF!</v>
      </c>
      <c r="AK17" s="42" t="e">
        <f>'Model-BS'!#REF!</f>
        <v>#REF!</v>
      </c>
      <c r="AL17" s="42" t="e">
        <f>'Model-BS'!#REF!</f>
        <v>#REF!</v>
      </c>
      <c r="AM17" s="42" t="e">
        <f>'Model-BS'!#REF!</f>
        <v>#REF!</v>
      </c>
      <c r="AN17" s="42" t="e">
        <f>'Model-BS'!#REF!</f>
        <v>#REF!</v>
      </c>
      <c r="AO17" s="42" t="e">
        <f>'Model-BS'!#REF!</f>
        <v>#REF!</v>
      </c>
      <c r="AP17" s="42" t="e">
        <f>'Model-BS'!#REF!</f>
        <v>#REF!</v>
      </c>
      <c r="AQ17" s="42" t="e">
        <f>'Model-BS'!N12</f>
        <v>#REF!</v>
      </c>
      <c r="AR17" s="42" t="e">
        <f>'Model-BS'!#REF!</f>
        <v>#REF!</v>
      </c>
      <c r="AS17" s="42" t="e">
        <f>'Model-BS'!#REF!</f>
        <v>#REF!</v>
      </c>
      <c r="AT17" s="42" t="e">
        <f>'Model-BS'!#REF!</f>
        <v>#REF!</v>
      </c>
      <c r="AU17" s="42" t="e">
        <f>'Model-BS'!#REF!</f>
        <v>#REF!</v>
      </c>
      <c r="AV17" s="42" t="e">
        <f>'Model-BS'!#REF!</f>
        <v>#REF!</v>
      </c>
      <c r="AW17" s="42" t="e">
        <f>'Model-BS'!#REF!</f>
        <v>#REF!</v>
      </c>
      <c r="AX17" s="42" t="e">
        <f>'Model-BS'!O12</f>
        <v>#REF!</v>
      </c>
      <c r="AY17" s="42" t="e">
        <f>'Model-BS'!#REF!</f>
        <v>#REF!</v>
      </c>
      <c r="AZ17" s="42" t="e">
        <f>'Model-BS'!#REF!</f>
        <v>#REF!</v>
      </c>
      <c r="BA17" s="42" t="e">
        <f>'Model-BS'!#REF!</f>
        <v>#REF!</v>
      </c>
      <c r="BB17" s="42" t="e">
        <f>'Model-BS'!#REF!</f>
        <v>#REF!</v>
      </c>
      <c r="BC17" s="42" t="e">
        <f>'Model-BS'!#REF!</f>
        <v>#REF!</v>
      </c>
      <c r="BD17" s="42" t="e">
        <f>'Model-BS'!#REF!</f>
        <v>#REF!</v>
      </c>
      <c r="BE17" s="42" t="e">
        <f>'Model-BS'!P12</f>
        <v>#REF!</v>
      </c>
      <c r="BF17" s="42" t="e">
        <f>'Model-BS'!#REF!</f>
        <v>#REF!</v>
      </c>
      <c r="BG17" s="42" t="e">
        <f>'Model-BS'!#REF!</f>
        <v>#REF!</v>
      </c>
      <c r="BH17" s="42" t="e">
        <f>'Model-BS'!#REF!</f>
        <v>#REF!</v>
      </c>
      <c r="BI17" s="42" t="e">
        <f>'Model-BS'!#REF!</f>
        <v>#REF!</v>
      </c>
      <c r="BJ17" s="42" t="e">
        <f>'Model-BS'!#REF!</f>
        <v>#REF!</v>
      </c>
      <c r="BK17" s="42" t="e">
        <f>'Model-BS'!#REF!</f>
        <v>#REF!</v>
      </c>
      <c r="BL17" s="42" t="e">
        <f>'Model-BS'!Q12</f>
        <v>#REF!</v>
      </c>
      <c r="BM17" s="42" t="e">
        <f>'Model-BS'!R326</f>
        <v>#REF!</v>
      </c>
      <c r="BN17" s="42" t="e">
        <f>'Model-BS'!S326</f>
        <v>#REF!</v>
      </c>
      <c r="BO17" s="42" t="e">
        <f>'Model-BS'!T326</f>
        <v>#REF!</v>
      </c>
      <c r="BP17" s="42" t="e">
        <f>'Model-BS'!U326</f>
        <v>#REF!</v>
      </c>
      <c r="BQ17" s="42" t="e">
        <f>'Model-BS'!AB326</f>
        <v>#REF!</v>
      </c>
      <c r="BR17" s="42" t="e">
        <f>'Model-BS'!AI326</f>
        <v>#REF!</v>
      </c>
      <c r="BS17" s="42" t="e">
        <f>'Model-BS'!AP326</f>
        <v>#REF!</v>
      </c>
      <c r="BT17" s="42" t="e">
        <f>'Model-BS'!AW326</f>
        <v>#REF!</v>
      </c>
      <c r="BU17" s="42" t="e">
        <f>'Model-BS'!BD326</f>
        <v>#REF!</v>
      </c>
      <c r="BV17" s="42" t="e">
        <f>'Model-BS'!BK326</f>
        <v>#REF!</v>
      </c>
      <c r="BW17" s="42" t="e">
        <f>'Model-BS'!BL326</f>
        <v>#REF!</v>
      </c>
      <c r="BX17" s="42" t="e">
        <f>'Model-BS'!BM326</f>
        <v>#REF!</v>
      </c>
      <c r="BY17" s="42" t="e">
        <f>'Model-BS'!BN326</f>
        <v>#REF!</v>
      </c>
      <c r="BZ17" s="42" t="e">
        <f>'Model-BS'!BO326</f>
        <v>#REF!</v>
      </c>
    </row>
    <row r="18" spans="2:78" s="31" customFormat="1" hidden="1" outlineLevel="1">
      <c r="B18" s="35" t="s">
        <v>21</v>
      </c>
      <c r="C18" s="35"/>
      <c r="D18" s="35" t="e">
        <f>'Model-BS'!E14</f>
        <v>#REF!</v>
      </c>
      <c r="E18" s="35" t="e">
        <f>'Model-BS'!F14</f>
        <v>#REF!</v>
      </c>
      <c r="F18" s="35" t="e">
        <f>'Model-BS'!G14</f>
        <v>#REF!</v>
      </c>
      <c r="G18" s="35" t="e">
        <f>'Model-BS'!H14</f>
        <v>#REF!</v>
      </c>
      <c r="H18" s="35" t="e">
        <f>'Model-BS'!I14</f>
        <v>#REF!</v>
      </c>
      <c r="I18" s="35" t="e">
        <f>'Model-BS'!#REF!</f>
        <v>#REF!</v>
      </c>
      <c r="J18" s="35" t="e">
        <f>'Model-BS'!#REF!</f>
        <v>#REF!</v>
      </c>
      <c r="K18" s="35" t="e">
        <f>'Model-BS'!#REF!</f>
        <v>#REF!</v>
      </c>
      <c r="L18" s="35" t="e">
        <f>'Model-BS'!#REF!</f>
        <v>#REF!</v>
      </c>
      <c r="M18" s="35" t="e">
        <f>'Model-BS'!#REF!</f>
        <v>#REF!</v>
      </c>
      <c r="N18" s="35" t="e">
        <f>'Model-BS'!#REF!</f>
        <v>#REF!</v>
      </c>
      <c r="O18" s="35" t="e">
        <f>'Model-BS'!J14</f>
        <v>#REF!</v>
      </c>
      <c r="P18" s="35" t="e">
        <f>'Model-BS'!#REF!</f>
        <v>#REF!</v>
      </c>
      <c r="Q18" s="35" t="e">
        <f>'Model-BS'!#REF!</f>
        <v>#REF!</v>
      </c>
      <c r="R18" s="35" t="e">
        <f>'Model-BS'!#REF!</f>
        <v>#REF!</v>
      </c>
      <c r="S18" s="35" t="e">
        <f>'Model-BS'!#REF!</f>
        <v>#REF!</v>
      </c>
      <c r="T18" s="35" t="e">
        <f>'Model-BS'!#REF!</f>
        <v>#REF!</v>
      </c>
      <c r="U18" s="35" t="e">
        <f>'Model-BS'!#REF!</f>
        <v>#REF!</v>
      </c>
      <c r="V18" s="35" t="e">
        <f>'Model-BS'!K14</f>
        <v>#REF!</v>
      </c>
      <c r="W18" s="35" t="e">
        <f>'Model-BS'!#REF!</f>
        <v>#REF!</v>
      </c>
      <c r="X18" s="35" t="e">
        <f>'Model-BS'!#REF!</f>
        <v>#REF!</v>
      </c>
      <c r="Y18" s="35" t="e">
        <f>'Model-BS'!#REF!</f>
        <v>#REF!</v>
      </c>
      <c r="Z18" s="35" t="e">
        <f>'Model-BS'!#REF!</f>
        <v>#REF!</v>
      </c>
      <c r="AA18" s="35" t="e">
        <f>'Model-BS'!#REF!</f>
        <v>#REF!</v>
      </c>
      <c r="AB18" s="35" t="e">
        <f>'Model-BS'!#REF!</f>
        <v>#REF!</v>
      </c>
      <c r="AC18" s="35" t="e">
        <f>'Model-BS'!L14</f>
        <v>#REF!</v>
      </c>
      <c r="AD18" s="35" t="e">
        <f>'Model-BS'!#REF!</f>
        <v>#REF!</v>
      </c>
      <c r="AE18" s="35" t="e">
        <f>'Model-BS'!#REF!</f>
        <v>#REF!</v>
      </c>
      <c r="AF18" s="35" t="e">
        <f>'Model-BS'!#REF!</f>
        <v>#REF!</v>
      </c>
      <c r="AG18" s="35" t="e">
        <f>'Model-BS'!#REF!</f>
        <v>#REF!</v>
      </c>
      <c r="AH18" s="35" t="e">
        <f>'Model-BS'!#REF!</f>
        <v>#REF!</v>
      </c>
      <c r="AI18" s="35" t="e">
        <f>'Model-BS'!#REF!</f>
        <v>#REF!</v>
      </c>
      <c r="AJ18" s="35" t="e">
        <f>'Model-BS'!M14</f>
        <v>#REF!</v>
      </c>
      <c r="AK18" s="35" t="e">
        <f>'Model-BS'!#REF!</f>
        <v>#REF!</v>
      </c>
      <c r="AL18" s="35" t="e">
        <f>'Model-BS'!#REF!</f>
        <v>#REF!</v>
      </c>
      <c r="AM18" s="35" t="e">
        <f>'Model-BS'!#REF!</f>
        <v>#REF!</v>
      </c>
      <c r="AN18" s="35" t="e">
        <f>'Model-BS'!#REF!</f>
        <v>#REF!</v>
      </c>
      <c r="AO18" s="35" t="e">
        <f>'Model-BS'!#REF!</f>
        <v>#REF!</v>
      </c>
      <c r="AP18" s="35" t="e">
        <f>'Model-BS'!#REF!</f>
        <v>#REF!</v>
      </c>
      <c r="AQ18" s="35" t="e">
        <f>'Model-BS'!N14</f>
        <v>#REF!</v>
      </c>
      <c r="AR18" s="35" t="e">
        <f>'Model-BS'!#REF!</f>
        <v>#REF!</v>
      </c>
      <c r="AS18" s="35" t="e">
        <f>'Model-BS'!#REF!</f>
        <v>#REF!</v>
      </c>
      <c r="AT18" s="35" t="e">
        <f>'Model-BS'!#REF!</f>
        <v>#REF!</v>
      </c>
      <c r="AU18" s="35" t="e">
        <f>'Model-BS'!#REF!</f>
        <v>#REF!</v>
      </c>
      <c r="AV18" s="35" t="e">
        <f>'Model-BS'!#REF!</f>
        <v>#REF!</v>
      </c>
      <c r="AW18" s="35" t="e">
        <f>'Model-BS'!#REF!</f>
        <v>#REF!</v>
      </c>
      <c r="AX18" s="35" t="e">
        <f>'Model-BS'!O14</f>
        <v>#REF!</v>
      </c>
      <c r="AY18" s="35" t="e">
        <f>'Model-BS'!#REF!</f>
        <v>#REF!</v>
      </c>
      <c r="AZ18" s="35" t="e">
        <f>'Model-BS'!#REF!</f>
        <v>#REF!</v>
      </c>
      <c r="BA18" s="35" t="e">
        <f>'Model-BS'!#REF!</f>
        <v>#REF!</v>
      </c>
      <c r="BB18" s="35" t="e">
        <f>'Model-BS'!#REF!</f>
        <v>#REF!</v>
      </c>
      <c r="BC18" s="35" t="e">
        <f>'Model-BS'!#REF!</f>
        <v>#REF!</v>
      </c>
      <c r="BD18" s="35" t="e">
        <f>'Model-BS'!#REF!</f>
        <v>#REF!</v>
      </c>
      <c r="BE18" s="35" t="e">
        <f>'Model-BS'!P14</f>
        <v>#REF!</v>
      </c>
      <c r="BF18" s="35" t="e">
        <f>'Model-BS'!#REF!</f>
        <v>#REF!</v>
      </c>
      <c r="BG18" s="35" t="e">
        <f>'Model-BS'!#REF!</f>
        <v>#REF!</v>
      </c>
      <c r="BH18" s="35" t="e">
        <f>'Model-BS'!#REF!</f>
        <v>#REF!</v>
      </c>
      <c r="BI18" s="35" t="e">
        <f>'Model-BS'!#REF!</f>
        <v>#REF!</v>
      </c>
      <c r="BJ18" s="35" t="e">
        <f>'Model-BS'!#REF!</f>
        <v>#REF!</v>
      </c>
      <c r="BK18" s="35" t="e">
        <f>'Model-BS'!#REF!</f>
        <v>#REF!</v>
      </c>
      <c r="BL18" s="35" t="e">
        <f>'Model-BS'!Q14</f>
        <v>#REF!</v>
      </c>
      <c r="BM18" s="35" t="e">
        <f>'Model-BS'!R14</f>
        <v>#REF!</v>
      </c>
      <c r="BN18" s="35" t="e">
        <f>'Model-BS'!S14</f>
        <v>#REF!</v>
      </c>
      <c r="BO18" s="35" t="e">
        <f>'Model-BS'!T14</f>
        <v>#REF!</v>
      </c>
      <c r="BP18" s="35" t="e">
        <f>'Model-BS'!U14</f>
        <v>#REF!</v>
      </c>
      <c r="BQ18" s="35" t="e">
        <f>'Model-BS'!AB14</f>
        <v>#REF!</v>
      </c>
      <c r="BR18" s="35" t="e">
        <f>'Model-BS'!AI14</f>
        <v>#REF!</v>
      </c>
      <c r="BS18" s="35" t="e">
        <f>'Model-BS'!AP14</f>
        <v>#REF!</v>
      </c>
      <c r="BT18" s="35" t="e">
        <f>'Model-BS'!AW14</f>
        <v>#REF!</v>
      </c>
      <c r="BU18" s="35" t="e">
        <f>'Model-BS'!BD14</f>
        <v>#REF!</v>
      </c>
      <c r="BV18" s="35" t="e">
        <f>'Model-BS'!BK14</f>
        <v>#REF!</v>
      </c>
      <c r="BW18" s="35" t="e">
        <f>'Model-BS'!BL14</f>
        <v>#REF!</v>
      </c>
      <c r="BX18" s="35" t="e">
        <f>'Model-BS'!BM14</f>
        <v>#REF!</v>
      </c>
      <c r="BY18" s="35" t="e">
        <f>'Model-BS'!BN14</f>
        <v>#REF!</v>
      </c>
      <c r="BZ18" s="35" t="e">
        <f>'Model-BS'!BO14</f>
        <v>#REF!</v>
      </c>
    </row>
    <row r="19" spans="2:78" hidden="1" outlineLevel="1">
      <c r="B19" s="33" t="s">
        <v>22</v>
      </c>
      <c r="C19" s="33"/>
      <c r="D19" s="43" t="e">
        <f>'Model-BS'!E15</f>
        <v>#REF!</v>
      </c>
      <c r="E19" s="43" t="e">
        <f>'Model-BS'!F15</f>
        <v>#REF!</v>
      </c>
      <c r="F19" s="43" t="e">
        <f>'Model-BS'!G15</f>
        <v>#REF!</v>
      </c>
      <c r="G19" s="43" t="e">
        <f>'Model-BS'!H15</f>
        <v>#REF!</v>
      </c>
      <c r="H19" s="43" t="e">
        <f>'Model-BS'!I15</f>
        <v>#REF!</v>
      </c>
      <c r="I19" s="43" t="e">
        <f>'Model-BS'!#REF!</f>
        <v>#REF!</v>
      </c>
      <c r="J19" s="43" t="e">
        <f>'Model-BS'!#REF!</f>
        <v>#REF!</v>
      </c>
      <c r="K19" s="43" t="e">
        <f>'Model-BS'!#REF!</f>
        <v>#REF!</v>
      </c>
      <c r="L19" s="43" t="e">
        <f>'Model-BS'!#REF!</f>
        <v>#REF!</v>
      </c>
      <c r="M19" s="43" t="e">
        <f>'Model-BS'!#REF!</f>
        <v>#REF!</v>
      </c>
      <c r="N19" s="43" t="e">
        <f>'Model-BS'!#REF!</f>
        <v>#REF!</v>
      </c>
      <c r="O19" s="43" t="e">
        <f>'Model-BS'!J15</f>
        <v>#REF!</v>
      </c>
      <c r="P19" s="43" t="e">
        <f>'Model-BS'!#REF!</f>
        <v>#REF!</v>
      </c>
      <c r="Q19" s="43" t="e">
        <f>'Model-BS'!#REF!</f>
        <v>#REF!</v>
      </c>
      <c r="R19" s="43" t="e">
        <f>'Model-BS'!#REF!</f>
        <v>#REF!</v>
      </c>
      <c r="S19" s="43" t="e">
        <f>'Model-BS'!#REF!</f>
        <v>#REF!</v>
      </c>
      <c r="T19" s="43" t="e">
        <f>'Model-BS'!#REF!</f>
        <v>#REF!</v>
      </c>
      <c r="U19" s="43" t="e">
        <f>'Model-BS'!#REF!</f>
        <v>#REF!</v>
      </c>
      <c r="V19" s="43" t="e">
        <f>'Model-BS'!K15</f>
        <v>#REF!</v>
      </c>
      <c r="W19" s="43" t="e">
        <f>'Model-BS'!#REF!</f>
        <v>#REF!</v>
      </c>
      <c r="X19" s="43" t="e">
        <f>'Model-BS'!#REF!</f>
        <v>#REF!</v>
      </c>
      <c r="Y19" s="43" t="e">
        <f>'Model-BS'!#REF!</f>
        <v>#REF!</v>
      </c>
      <c r="Z19" s="43" t="e">
        <f>'Model-BS'!#REF!</f>
        <v>#REF!</v>
      </c>
      <c r="AA19" s="43" t="e">
        <f>'Model-BS'!#REF!</f>
        <v>#REF!</v>
      </c>
      <c r="AB19" s="43" t="e">
        <f>'Model-BS'!#REF!</f>
        <v>#REF!</v>
      </c>
      <c r="AC19" s="43" t="e">
        <f>'Model-BS'!L15</f>
        <v>#REF!</v>
      </c>
      <c r="AD19" s="43" t="e">
        <f>'Model-BS'!#REF!</f>
        <v>#REF!</v>
      </c>
      <c r="AE19" s="43" t="e">
        <f>'Model-BS'!#REF!</f>
        <v>#REF!</v>
      </c>
      <c r="AF19" s="43" t="e">
        <f>'Model-BS'!#REF!</f>
        <v>#REF!</v>
      </c>
      <c r="AG19" s="43" t="e">
        <f>'Model-BS'!#REF!</f>
        <v>#REF!</v>
      </c>
      <c r="AH19" s="43" t="e">
        <f>'Model-BS'!#REF!</f>
        <v>#REF!</v>
      </c>
      <c r="AI19" s="43" t="e">
        <f>'Model-BS'!#REF!</f>
        <v>#REF!</v>
      </c>
      <c r="AJ19" s="43" t="e">
        <f>'Model-BS'!M15</f>
        <v>#REF!</v>
      </c>
      <c r="AK19" s="43" t="e">
        <f>'Model-BS'!#REF!</f>
        <v>#REF!</v>
      </c>
      <c r="AL19" s="43" t="e">
        <f>'Model-BS'!#REF!</f>
        <v>#REF!</v>
      </c>
      <c r="AM19" s="43" t="e">
        <f>'Model-BS'!#REF!</f>
        <v>#REF!</v>
      </c>
      <c r="AN19" s="43" t="e">
        <f>'Model-BS'!#REF!</f>
        <v>#REF!</v>
      </c>
      <c r="AO19" s="43" t="e">
        <f>'Model-BS'!#REF!</f>
        <v>#REF!</v>
      </c>
      <c r="AP19" s="43" t="e">
        <f>'Model-BS'!#REF!</f>
        <v>#REF!</v>
      </c>
      <c r="AQ19" s="43" t="e">
        <f>'Model-BS'!N15</f>
        <v>#REF!</v>
      </c>
      <c r="AR19" s="43" t="e">
        <f>'Model-BS'!#REF!</f>
        <v>#REF!</v>
      </c>
      <c r="AS19" s="43" t="e">
        <f>'Model-BS'!#REF!</f>
        <v>#REF!</v>
      </c>
      <c r="AT19" s="43" t="e">
        <f>'Model-BS'!#REF!</f>
        <v>#REF!</v>
      </c>
      <c r="AU19" s="43" t="e">
        <f>'Model-BS'!#REF!</f>
        <v>#REF!</v>
      </c>
      <c r="AV19" s="43" t="e">
        <f>'Model-BS'!#REF!</f>
        <v>#REF!</v>
      </c>
      <c r="AW19" s="43" t="e">
        <f>'Model-BS'!#REF!</f>
        <v>#REF!</v>
      </c>
      <c r="AX19" s="43" t="e">
        <f>'Model-BS'!O15</f>
        <v>#REF!</v>
      </c>
      <c r="AY19" s="43" t="e">
        <f>'Model-BS'!#REF!</f>
        <v>#REF!</v>
      </c>
      <c r="AZ19" s="43" t="e">
        <f>'Model-BS'!#REF!</f>
        <v>#REF!</v>
      </c>
      <c r="BA19" s="43" t="e">
        <f>'Model-BS'!#REF!</f>
        <v>#REF!</v>
      </c>
      <c r="BB19" s="43" t="e">
        <f>'Model-BS'!#REF!</f>
        <v>#REF!</v>
      </c>
      <c r="BC19" s="43" t="e">
        <f>'Model-BS'!#REF!</f>
        <v>#REF!</v>
      </c>
      <c r="BD19" s="43" t="e">
        <f>'Model-BS'!#REF!</f>
        <v>#REF!</v>
      </c>
      <c r="BE19" s="43" t="e">
        <f>'Model-BS'!P15</f>
        <v>#REF!</v>
      </c>
      <c r="BF19" s="43" t="e">
        <f>'Model-BS'!#REF!</f>
        <v>#REF!</v>
      </c>
      <c r="BG19" s="43" t="e">
        <f>'Model-BS'!#REF!</f>
        <v>#REF!</v>
      </c>
      <c r="BH19" s="43" t="e">
        <f>'Model-BS'!#REF!</f>
        <v>#REF!</v>
      </c>
      <c r="BI19" s="43" t="e">
        <f>'Model-BS'!#REF!</f>
        <v>#REF!</v>
      </c>
      <c r="BJ19" s="43" t="e">
        <f>'Model-BS'!#REF!</f>
        <v>#REF!</v>
      </c>
      <c r="BK19" s="43" t="e">
        <f>'Model-BS'!#REF!</f>
        <v>#REF!</v>
      </c>
      <c r="BL19" s="43" t="e">
        <f>'Model-BS'!Q15</f>
        <v>#REF!</v>
      </c>
      <c r="BM19" s="43" t="e">
        <f>'Model-BS'!R15</f>
        <v>#REF!</v>
      </c>
      <c r="BN19" s="43" t="e">
        <f>'Model-BS'!S15</f>
        <v>#REF!</v>
      </c>
      <c r="BO19" s="43" t="e">
        <f>'Model-BS'!T15</f>
        <v>#REF!</v>
      </c>
      <c r="BP19" s="43" t="e">
        <f>'Model-BS'!U15</f>
        <v>#REF!</v>
      </c>
      <c r="BQ19" s="43" t="e">
        <f>'Model-BS'!AB15</f>
        <v>#REF!</v>
      </c>
      <c r="BR19" s="43" t="e">
        <f>'Model-BS'!AI15</f>
        <v>#REF!</v>
      </c>
      <c r="BS19" s="43" t="e">
        <f>'Model-BS'!AP15</f>
        <v>#REF!</v>
      </c>
      <c r="BT19" s="43" t="e">
        <f>'Model-BS'!AW15</f>
        <v>#REF!</v>
      </c>
      <c r="BU19" s="43" t="e">
        <f>'Model-BS'!BD15</f>
        <v>#REF!</v>
      </c>
      <c r="BV19" s="43" t="e">
        <f>'Model-BS'!BK15</f>
        <v>#REF!</v>
      </c>
      <c r="BW19" s="43" t="e">
        <f>'Model-BS'!BL15</f>
        <v>#REF!</v>
      </c>
      <c r="BX19" s="43" t="e">
        <f>'Model-BS'!BM15</f>
        <v>#REF!</v>
      </c>
      <c r="BY19" s="43" t="e">
        <f>'Model-BS'!BN15</f>
        <v>#REF!</v>
      </c>
      <c r="BZ19" s="43" t="e">
        <f>'Model-BS'!BO15</f>
        <v>#REF!</v>
      </c>
    </row>
    <row r="20" spans="2:78" s="31" customFormat="1" hidden="1" outlineLevel="1">
      <c r="B20" s="35" t="s">
        <v>23</v>
      </c>
      <c r="C20" s="35"/>
      <c r="D20" s="35" t="e">
        <f>'Model-BS'!E16</f>
        <v>#REF!</v>
      </c>
      <c r="E20" s="35" t="e">
        <f>'Model-BS'!F16</f>
        <v>#REF!</v>
      </c>
      <c r="F20" s="35" t="e">
        <f>'Model-BS'!G16</f>
        <v>#REF!</v>
      </c>
      <c r="G20" s="35" t="e">
        <f>'Model-BS'!H16</f>
        <v>#REF!</v>
      </c>
      <c r="H20" s="35" t="e">
        <f>'Model-BS'!I16</f>
        <v>#REF!</v>
      </c>
      <c r="I20" s="35" t="e">
        <f>'Model-BS'!#REF!</f>
        <v>#REF!</v>
      </c>
      <c r="J20" s="35" t="e">
        <f>'Model-BS'!#REF!</f>
        <v>#REF!</v>
      </c>
      <c r="K20" s="35" t="e">
        <f>'Model-BS'!#REF!</f>
        <v>#REF!</v>
      </c>
      <c r="L20" s="35" t="e">
        <f>'Model-BS'!#REF!</f>
        <v>#REF!</v>
      </c>
      <c r="M20" s="35" t="e">
        <f>'Model-BS'!#REF!</f>
        <v>#REF!</v>
      </c>
      <c r="N20" s="35" t="e">
        <f>'Model-BS'!#REF!</f>
        <v>#REF!</v>
      </c>
      <c r="O20" s="35" t="e">
        <f>'Model-BS'!J16</f>
        <v>#REF!</v>
      </c>
      <c r="P20" s="35" t="e">
        <f>'Model-BS'!#REF!</f>
        <v>#REF!</v>
      </c>
      <c r="Q20" s="35" t="e">
        <f>'Model-BS'!#REF!</f>
        <v>#REF!</v>
      </c>
      <c r="R20" s="35" t="e">
        <f>'Model-BS'!#REF!</f>
        <v>#REF!</v>
      </c>
      <c r="S20" s="35" t="e">
        <f>'Model-BS'!#REF!</f>
        <v>#REF!</v>
      </c>
      <c r="T20" s="35" t="e">
        <f>'Model-BS'!#REF!</f>
        <v>#REF!</v>
      </c>
      <c r="U20" s="35" t="e">
        <f>'Model-BS'!#REF!</f>
        <v>#REF!</v>
      </c>
      <c r="V20" s="35" t="e">
        <f>'Model-BS'!K16</f>
        <v>#REF!</v>
      </c>
      <c r="W20" s="35" t="e">
        <f>'Model-BS'!#REF!</f>
        <v>#REF!</v>
      </c>
      <c r="X20" s="35" t="e">
        <f>'Model-BS'!#REF!</f>
        <v>#REF!</v>
      </c>
      <c r="Y20" s="35" t="e">
        <f>'Model-BS'!#REF!</f>
        <v>#REF!</v>
      </c>
      <c r="Z20" s="35" t="e">
        <f>'Model-BS'!#REF!</f>
        <v>#REF!</v>
      </c>
      <c r="AA20" s="35" t="e">
        <f>'Model-BS'!#REF!</f>
        <v>#REF!</v>
      </c>
      <c r="AB20" s="35" t="e">
        <f>'Model-BS'!#REF!</f>
        <v>#REF!</v>
      </c>
      <c r="AC20" s="35" t="e">
        <f>'Model-BS'!L16</f>
        <v>#REF!</v>
      </c>
      <c r="AD20" s="35" t="e">
        <f>'Model-BS'!#REF!</f>
        <v>#REF!</v>
      </c>
      <c r="AE20" s="35" t="e">
        <f>'Model-BS'!#REF!</f>
        <v>#REF!</v>
      </c>
      <c r="AF20" s="35" t="e">
        <f>'Model-BS'!#REF!</f>
        <v>#REF!</v>
      </c>
      <c r="AG20" s="35" t="e">
        <f>'Model-BS'!#REF!</f>
        <v>#REF!</v>
      </c>
      <c r="AH20" s="35" t="e">
        <f>'Model-BS'!#REF!</f>
        <v>#REF!</v>
      </c>
      <c r="AI20" s="35" t="e">
        <f>'Model-BS'!#REF!</f>
        <v>#REF!</v>
      </c>
      <c r="AJ20" s="35" t="e">
        <f>'Model-BS'!M16</f>
        <v>#REF!</v>
      </c>
      <c r="AK20" s="35" t="e">
        <f>'Model-BS'!#REF!</f>
        <v>#REF!</v>
      </c>
      <c r="AL20" s="35" t="e">
        <f>'Model-BS'!#REF!</f>
        <v>#REF!</v>
      </c>
      <c r="AM20" s="35" t="e">
        <f>'Model-BS'!#REF!</f>
        <v>#REF!</v>
      </c>
      <c r="AN20" s="35" t="e">
        <f>'Model-BS'!#REF!</f>
        <v>#REF!</v>
      </c>
      <c r="AO20" s="35" t="e">
        <f>'Model-BS'!#REF!</f>
        <v>#REF!</v>
      </c>
      <c r="AP20" s="35" t="e">
        <f>'Model-BS'!#REF!</f>
        <v>#REF!</v>
      </c>
      <c r="AQ20" s="35" t="e">
        <f>'Model-BS'!N16</f>
        <v>#REF!</v>
      </c>
      <c r="AR20" s="35" t="e">
        <f>'Model-BS'!#REF!</f>
        <v>#REF!</v>
      </c>
      <c r="AS20" s="35" t="e">
        <f>'Model-BS'!#REF!</f>
        <v>#REF!</v>
      </c>
      <c r="AT20" s="35" t="e">
        <f>'Model-BS'!#REF!</f>
        <v>#REF!</v>
      </c>
      <c r="AU20" s="35" t="e">
        <f>'Model-BS'!#REF!</f>
        <v>#REF!</v>
      </c>
      <c r="AV20" s="35" t="e">
        <f>'Model-BS'!#REF!</f>
        <v>#REF!</v>
      </c>
      <c r="AW20" s="35" t="e">
        <f>'Model-BS'!#REF!</f>
        <v>#REF!</v>
      </c>
      <c r="AX20" s="35" t="e">
        <f>'Model-BS'!O16</f>
        <v>#REF!</v>
      </c>
      <c r="AY20" s="35" t="e">
        <f>'Model-BS'!#REF!</f>
        <v>#REF!</v>
      </c>
      <c r="AZ20" s="35" t="e">
        <f>'Model-BS'!#REF!</f>
        <v>#REF!</v>
      </c>
      <c r="BA20" s="35" t="e">
        <f>'Model-BS'!#REF!</f>
        <v>#REF!</v>
      </c>
      <c r="BB20" s="35" t="e">
        <f>'Model-BS'!#REF!</f>
        <v>#REF!</v>
      </c>
      <c r="BC20" s="35" t="e">
        <f>'Model-BS'!#REF!</f>
        <v>#REF!</v>
      </c>
      <c r="BD20" s="35" t="e">
        <f>'Model-BS'!#REF!</f>
        <v>#REF!</v>
      </c>
      <c r="BE20" s="35" t="e">
        <f>'Model-BS'!P16</f>
        <v>#REF!</v>
      </c>
      <c r="BF20" s="35" t="e">
        <f>'Model-BS'!#REF!</f>
        <v>#REF!</v>
      </c>
      <c r="BG20" s="35" t="e">
        <f>'Model-BS'!#REF!</f>
        <v>#REF!</v>
      </c>
      <c r="BH20" s="35" t="e">
        <f>'Model-BS'!#REF!</f>
        <v>#REF!</v>
      </c>
      <c r="BI20" s="35" t="e">
        <f>'Model-BS'!#REF!</f>
        <v>#REF!</v>
      </c>
      <c r="BJ20" s="35" t="e">
        <f>'Model-BS'!#REF!</f>
        <v>#REF!</v>
      </c>
      <c r="BK20" s="35" t="e">
        <f>'Model-BS'!#REF!</f>
        <v>#REF!</v>
      </c>
      <c r="BL20" s="35" t="e">
        <f>'Model-BS'!Q16</f>
        <v>#REF!</v>
      </c>
      <c r="BM20" s="35" t="e">
        <f>'Model-BS'!R16</f>
        <v>#REF!</v>
      </c>
      <c r="BN20" s="35" t="e">
        <f>'Model-BS'!S16</f>
        <v>#REF!</v>
      </c>
      <c r="BO20" s="35" t="e">
        <f>'Model-BS'!T16</f>
        <v>#REF!</v>
      </c>
      <c r="BP20" s="35" t="e">
        <f>'Model-BS'!U16</f>
        <v>#REF!</v>
      </c>
      <c r="BQ20" s="35" t="e">
        <f>'Model-BS'!AB16</f>
        <v>#REF!</v>
      </c>
      <c r="BR20" s="35" t="e">
        <f>'Model-BS'!AI16</f>
        <v>#REF!</v>
      </c>
      <c r="BS20" s="35" t="e">
        <f>'Model-BS'!AP16</f>
        <v>#REF!</v>
      </c>
      <c r="BT20" s="35" t="e">
        <f>'Model-BS'!AW16</f>
        <v>#REF!</v>
      </c>
      <c r="BU20" s="35" t="e">
        <f>'Model-BS'!BD16</f>
        <v>#REF!</v>
      </c>
      <c r="BV20" s="35" t="e">
        <f>'Model-BS'!BK16</f>
        <v>#REF!</v>
      </c>
      <c r="BW20" s="35" t="e">
        <f>'Model-BS'!BL16</f>
        <v>#REF!</v>
      </c>
      <c r="BX20" s="35" t="e">
        <f>'Model-BS'!BM16</f>
        <v>#REF!</v>
      </c>
      <c r="BY20" s="35" t="e">
        <f>'Model-BS'!BN16</f>
        <v>#REF!</v>
      </c>
      <c r="BZ20" s="35" t="e">
        <f>'Model-BS'!BO16</f>
        <v>#REF!</v>
      </c>
    </row>
    <row r="21" spans="2:78" hidden="1" outlineLevel="1">
      <c r="B21" s="36" t="s">
        <v>22</v>
      </c>
      <c r="D21" s="44" t="e">
        <f t="shared" ref="D21:BL21" si="4">-D20/D10</f>
        <v>#REF!</v>
      </c>
      <c r="E21" s="44" t="e">
        <f t="shared" si="4"/>
        <v>#REF!</v>
      </c>
      <c r="F21" s="44" t="e">
        <f t="shared" si="4"/>
        <v>#REF!</v>
      </c>
      <c r="G21" s="44" t="e">
        <f t="shared" si="4"/>
        <v>#REF!</v>
      </c>
      <c r="H21" s="44" t="e">
        <f t="shared" si="4"/>
        <v>#REF!</v>
      </c>
      <c r="I21" s="44" t="e">
        <f t="shared" si="4"/>
        <v>#REF!</v>
      </c>
      <c r="J21" s="44" t="e">
        <f t="shared" si="4"/>
        <v>#REF!</v>
      </c>
      <c r="K21" s="44" t="e">
        <f t="shared" si="4"/>
        <v>#REF!</v>
      </c>
      <c r="L21" s="44" t="e">
        <f t="shared" si="4"/>
        <v>#REF!</v>
      </c>
      <c r="M21" s="44" t="e">
        <f t="shared" si="4"/>
        <v>#REF!</v>
      </c>
      <c r="N21" s="44" t="e">
        <f t="shared" si="4"/>
        <v>#REF!</v>
      </c>
      <c r="O21" s="44" t="e">
        <f t="shared" si="4"/>
        <v>#REF!</v>
      </c>
      <c r="P21" s="44" t="e">
        <f t="shared" si="4"/>
        <v>#REF!</v>
      </c>
      <c r="Q21" s="44" t="e">
        <f t="shared" si="4"/>
        <v>#REF!</v>
      </c>
      <c r="R21" s="44" t="e">
        <f t="shared" si="4"/>
        <v>#REF!</v>
      </c>
      <c r="S21" s="44" t="e">
        <f t="shared" si="4"/>
        <v>#REF!</v>
      </c>
      <c r="T21" s="44" t="e">
        <f t="shared" si="4"/>
        <v>#REF!</v>
      </c>
      <c r="U21" s="44" t="e">
        <f t="shared" si="4"/>
        <v>#REF!</v>
      </c>
      <c r="V21" s="44" t="e">
        <f t="shared" si="4"/>
        <v>#REF!</v>
      </c>
      <c r="W21" s="44" t="e">
        <f t="shared" si="4"/>
        <v>#REF!</v>
      </c>
      <c r="X21" s="44" t="e">
        <f t="shared" si="4"/>
        <v>#REF!</v>
      </c>
      <c r="Y21" s="44" t="e">
        <f t="shared" si="4"/>
        <v>#REF!</v>
      </c>
      <c r="Z21" s="44" t="e">
        <f t="shared" si="4"/>
        <v>#REF!</v>
      </c>
      <c r="AA21" s="44" t="e">
        <f t="shared" si="4"/>
        <v>#REF!</v>
      </c>
      <c r="AB21" s="44" t="e">
        <f t="shared" si="4"/>
        <v>#REF!</v>
      </c>
      <c r="AC21" s="44" t="e">
        <f t="shared" si="4"/>
        <v>#REF!</v>
      </c>
      <c r="AD21" s="44" t="e">
        <f t="shared" si="4"/>
        <v>#REF!</v>
      </c>
      <c r="AE21" s="44" t="e">
        <f t="shared" si="4"/>
        <v>#REF!</v>
      </c>
      <c r="AF21" s="44" t="e">
        <f t="shared" si="4"/>
        <v>#REF!</v>
      </c>
      <c r="AG21" s="44" t="e">
        <f t="shared" si="4"/>
        <v>#REF!</v>
      </c>
      <c r="AH21" s="44" t="e">
        <f t="shared" si="4"/>
        <v>#REF!</v>
      </c>
      <c r="AI21" s="44" t="e">
        <f t="shared" si="4"/>
        <v>#REF!</v>
      </c>
      <c r="AJ21" s="44" t="e">
        <f t="shared" si="4"/>
        <v>#REF!</v>
      </c>
      <c r="AK21" s="44" t="e">
        <f t="shared" si="4"/>
        <v>#REF!</v>
      </c>
      <c r="AL21" s="44" t="e">
        <f t="shared" si="4"/>
        <v>#REF!</v>
      </c>
      <c r="AM21" s="44" t="e">
        <f t="shared" si="4"/>
        <v>#REF!</v>
      </c>
      <c r="AN21" s="44" t="e">
        <f t="shared" si="4"/>
        <v>#REF!</v>
      </c>
      <c r="AO21" s="44" t="e">
        <f t="shared" si="4"/>
        <v>#REF!</v>
      </c>
      <c r="AP21" s="44" t="e">
        <f t="shared" si="4"/>
        <v>#REF!</v>
      </c>
      <c r="AQ21" s="44" t="e">
        <f t="shared" si="4"/>
        <v>#REF!</v>
      </c>
      <c r="AR21" s="44" t="e">
        <f t="shared" si="4"/>
        <v>#REF!</v>
      </c>
      <c r="AS21" s="44" t="e">
        <f t="shared" si="4"/>
        <v>#REF!</v>
      </c>
      <c r="AT21" s="44" t="e">
        <f t="shared" si="4"/>
        <v>#REF!</v>
      </c>
      <c r="AU21" s="44" t="e">
        <f t="shared" si="4"/>
        <v>#REF!</v>
      </c>
      <c r="AV21" s="44" t="e">
        <f t="shared" si="4"/>
        <v>#REF!</v>
      </c>
      <c r="AW21" s="44" t="e">
        <f t="shared" si="4"/>
        <v>#REF!</v>
      </c>
      <c r="AX21" s="44" t="e">
        <f t="shared" si="4"/>
        <v>#REF!</v>
      </c>
      <c r="AY21" s="44" t="e">
        <f t="shared" si="4"/>
        <v>#REF!</v>
      </c>
      <c r="AZ21" s="44" t="e">
        <f t="shared" si="4"/>
        <v>#REF!</v>
      </c>
      <c r="BA21" s="44" t="e">
        <f t="shared" si="4"/>
        <v>#REF!</v>
      </c>
      <c r="BB21" s="44" t="e">
        <f t="shared" si="4"/>
        <v>#REF!</v>
      </c>
      <c r="BC21" s="44" t="e">
        <f t="shared" si="4"/>
        <v>#REF!</v>
      </c>
      <c r="BD21" s="44" t="e">
        <f t="shared" si="4"/>
        <v>#REF!</v>
      </c>
      <c r="BE21" s="44" t="e">
        <f t="shared" si="4"/>
        <v>#REF!</v>
      </c>
      <c r="BF21" s="44" t="e">
        <f t="shared" si="4"/>
        <v>#REF!</v>
      </c>
      <c r="BG21" s="44" t="e">
        <f t="shared" si="4"/>
        <v>#REF!</v>
      </c>
      <c r="BH21" s="44" t="e">
        <f t="shared" si="4"/>
        <v>#REF!</v>
      </c>
      <c r="BI21" s="44" t="e">
        <f t="shared" si="4"/>
        <v>#REF!</v>
      </c>
      <c r="BJ21" s="44" t="e">
        <f t="shared" si="4"/>
        <v>#REF!</v>
      </c>
      <c r="BK21" s="44" t="e">
        <f t="shared" si="4"/>
        <v>#REF!</v>
      </c>
      <c r="BL21" s="44" t="e">
        <f t="shared" si="4"/>
        <v>#REF!</v>
      </c>
      <c r="BM21" s="44" t="e">
        <f t="shared" ref="BM21:BW21" si="5">-BM20/BM10</f>
        <v>#REF!</v>
      </c>
      <c r="BN21" s="44" t="e">
        <f t="shared" si="5"/>
        <v>#REF!</v>
      </c>
      <c r="BO21" s="44" t="e">
        <f t="shared" si="5"/>
        <v>#REF!</v>
      </c>
      <c r="BP21" s="44" t="e">
        <f t="shared" si="5"/>
        <v>#REF!</v>
      </c>
      <c r="BQ21" s="44" t="e">
        <f t="shared" si="5"/>
        <v>#REF!</v>
      </c>
      <c r="BR21" s="44" t="e">
        <f t="shared" si="5"/>
        <v>#REF!</v>
      </c>
      <c r="BS21" s="44" t="e">
        <f t="shared" si="5"/>
        <v>#REF!</v>
      </c>
      <c r="BT21" s="44" t="e">
        <f t="shared" si="5"/>
        <v>#REF!</v>
      </c>
      <c r="BU21" s="44" t="e">
        <f t="shared" si="5"/>
        <v>#REF!</v>
      </c>
      <c r="BV21" s="44" t="e">
        <f t="shared" si="5"/>
        <v>#REF!</v>
      </c>
      <c r="BW21" s="44" t="e">
        <f t="shared" si="5"/>
        <v>#REF!</v>
      </c>
      <c r="BX21" s="44" t="e">
        <f>-BX20/BX10</f>
        <v>#REF!</v>
      </c>
      <c r="BY21" s="44" t="e">
        <f t="shared" ref="BY21:BZ21" si="6">-BY20/BY10</f>
        <v>#REF!</v>
      </c>
      <c r="BZ21" s="44" t="e">
        <f t="shared" si="6"/>
        <v>#REF!</v>
      </c>
    </row>
    <row r="22" spans="2:78" s="31" customFormat="1" hidden="1" outlineLevel="1">
      <c r="B22" s="35" t="s">
        <v>24</v>
      </c>
      <c r="C22" s="35"/>
      <c r="D22" s="35" t="e">
        <f>'Model-BS'!E20</f>
        <v>#REF!</v>
      </c>
      <c r="E22" s="35" t="e">
        <f>'Model-BS'!F20</f>
        <v>#REF!</v>
      </c>
      <c r="F22" s="35" t="e">
        <f>'Model-BS'!G20</f>
        <v>#REF!</v>
      </c>
      <c r="G22" s="35" t="e">
        <f>'Model-BS'!H20</f>
        <v>#REF!</v>
      </c>
      <c r="H22" s="35" t="e">
        <f>'Model-BS'!I20</f>
        <v>#REF!</v>
      </c>
      <c r="I22" s="35" t="e">
        <f>'Model-BS'!#REF!</f>
        <v>#REF!</v>
      </c>
      <c r="J22" s="35" t="e">
        <f>'Model-BS'!#REF!</f>
        <v>#REF!</v>
      </c>
      <c r="K22" s="35" t="e">
        <f>'Model-BS'!#REF!</f>
        <v>#REF!</v>
      </c>
      <c r="L22" s="35" t="e">
        <f>'Model-BS'!#REF!</f>
        <v>#REF!</v>
      </c>
      <c r="M22" s="35" t="e">
        <f>'Model-BS'!#REF!</f>
        <v>#REF!</v>
      </c>
      <c r="N22" s="35" t="e">
        <f>'Model-BS'!#REF!</f>
        <v>#REF!</v>
      </c>
      <c r="O22" s="35" t="e">
        <f>'Model-BS'!J20</f>
        <v>#REF!</v>
      </c>
      <c r="P22" s="35" t="e">
        <f>'Model-BS'!#REF!</f>
        <v>#REF!</v>
      </c>
      <c r="Q22" s="35" t="e">
        <f>'Model-BS'!#REF!</f>
        <v>#REF!</v>
      </c>
      <c r="R22" s="35" t="e">
        <f>'Model-BS'!#REF!</f>
        <v>#REF!</v>
      </c>
      <c r="S22" s="35" t="e">
        <f>'Model-BS'!#REF!</f>
        <v>#REF!</v>
      </c>
      <c r="T22" s="35" t="e">
        <f>'Model-BS'!#REF!</f>
        <v>#REF!</v>
      </c>
      <c r="U22" s="35" t="e">
        <f>'Model-BS'!#REF!</f>
        <v>#REF!</v>
      </c>
      <c r="V22" s="35" t="e">
        <f>'Model-BS'!K20</f>
        <v>#REF!</v>
      </c>
      <c r="W22" s="35" t="e">
        <f>'Model-BS'!#REF!</f>
        <v>#REF!</v>
      </c>
      <c r="X22" s="35" t="e">
        <f>'Model-BS'!#REF!</f>
        <v>#REF!</v>
      </c>
      <c r="Y22" s="35" t="e">
        <f>'Model-BS'!#REF!</f>
        <v>#REF!</v>
      </c>
      <c r="Z22" s="35" t="e">
        <f>'Model-BS'!#REF!</f>
        <v>#REF!</v>
      </c>
      <c r="AA22" s="35" t="e">
        <f>'Model-BS'!#REF!</f>
        <v>#REF!</v>
      </c>
      <c r="AB22" s="35" t="e">
        <f>'Model-BS'!#REF!</f>
        <v>#REF!</v>
      </c>
      <c r="AC22" s="35" t="e">
        <f>'Model-BS'!L20</f>
        <v>#REF!</v>
      </c>
      <c r="AD22" s="35" t="e">
        <f>'Model-BS'!#REF!</f>
        <v>#REF!</v>
      </c>
      <c r="AE22" s="35" t="e">
        <f>'Model-BS'!#REF!</f>
        <v>#REF!</v>
      </c>
      <c r="AF22" s="35" t="e">
        <f>'Model-BS'!#REF!</f>
        <v>#REF!</v>
      </c>
      <c r="AG22" s="35" t="e">
        <f>'Model-BS'!#REF!</f>
        <v>#REF!</v>
      </c>
      <c r="AH22" s="35" t="e">
        <f>'Model-BS'!#REF!</f>
        <v>#REF!</v>
      </c>
      <c r="AI22" s="35" t="e">
        <f>'Model-BS'!#REF!</f>
        <v>#REF!</v>
      </c>
      <c r="AJ22" s="35" t="e">
        <f>'Model-BS'!M20</f>
        <v>#REF!</v>
      </c>
      <c r="AK22" s="35" t="e">
        <f>'Model-BS'!#REF!</f>
        <v>#REF!</v>
      </c>
      <c r="AL22" s="35" t="e">
        <f>'Model-BS'!#REF!</f>
        <v>#REF!</v>
      </c>
      <c r="AM22" s="35" t="e">
        <f>'Model-BS'!#REF!</f>
        <v>#REF!</v>
      </c>
      <c r="AN22" s="35" t="e">
        <f>'Model-BS'!#REF!</f>
        <v>#REF!</v>
      </c>
      <c r="AO22" s="35" t="e">
        <f>'Model-BS'!#REF!</f>
        <v>#REF!</v>
      </c>
      <c r="AP22" s="35" t="e">
        <f>'Model-BS'!#REF!</f>
        <v>#REF!</v>
      </c>
      <c r="AQ22" s="35" t="e">
        <f>'Model-BS'!N20</f>
        <v>#REF!</v>
      </c>
      <c r="AR22" s="35" t="e">
        <f>'Model-BS'!#REF!</f>
        <v>#REF!</v>
      </c>
      <c r="AS22" s="35" t="e">
        <f>'Model-BS'!#REF!</f>
        <v>#REF!</v>
      </c>
      <c r="AT22" s="35" t="e">
        <f>'Model-BS'!#REF!</f>
        <v>#REF!</v>
      </c>
      <c r="AU22" s="35" t="e">
        <f>'Model-BS'!#REF!</f>
        <v>#REF!</v>
      </c>
      <c r="AV22" s="35" t="e">
        <f>'Model-BS'!#REF!</f>
        <v>#REF!</v>
      </c>
      <c r="AW22" s="35" t="e">
        <f>'Model-BS'!#REF!</f>
        <v>#REF!</v>
      </c>
      <c r="AX22" s="35" t="e">
        <f>'Model-BS'!O20</f>
        <v>#REF!</v>
      </c>
      <c r="AY22" s="35" t="e">
        <f>'Model-BS'!#REF!</f>
        <v>#REF!</v>
      </c>
      <c r="AZ22" s="35" t="e">
        <f>'Model-BS'!#REF!</f>
        <v>#REF!</v>
      </c>
      <c r="BA22" s="35" t="e">
        <f>'Model-BS'!#REF!</f>
        <v>#REF!</v>
      </c>
      <c r="BB22" s="35" t="e">
        <f>'Model-BS'!#REF!</f>
        <v>#REF!</v>
      </c>
      <c r="BC22" s="35" t="e">
        <f>'Model-BS'!#REF!</f>
        <v>#REF!</v>
      </c>
      <c r="BD22" s="35" t="e">
        <f>'Model-BS'!#REF!</f>
        <v>#REF!</v>
      </c>
      <c r="BE22" s="35" t="e">
        <f>'Model-BS'!P20</f>
        <v>#REF!</v>
      </c>
      <c r="BF22" s="35" t="e">
        <f>'Model-BS'!#REF!</f>
        <v>#REF!</v>
      </c>
      <c r="BG22" s="35" t="e">
        <f>'Model-BS'!#REF!</f>
        <v>#REF!</v>
      </c>
      <c r="BH22" s="35" t="e">
        <f>'Model-BS'!#REF!</f>
        <v>#REF!</v>
      </c>
      <c r="BI22" s="35" t="e">
        <f>'Model-BS'!#REF!</f>
        <v>#REF!</v>
      </c>
      <c r="BJ22" s="35" t="e">
        <f>'Model-BS'!#REF!</f>
        <v>#REF!</v>
      </c>
      <c r="BK22" s="35" t="e">
        <f>'Model-BS'!#REF!</f>
        <v>#REF!</v>
      </c>
      <c r="BL22" s="35" t="e">
        <f>'Model-BS'!Q20</f>
        <v>#REF!</v>
      </c>
      <c r="BM22" s="35" t="e">
        <f>'Model-BS'!R20</f>
        <v>#REF!</v>
      </c>
      <c r="BN22" s="35" t="e">
        <f>'Model-BS'!S20</f>
        <v>#REF!</v>
      </c>
      <c r="BO22" s="35" t="e">
        <f>'Model-BS'!T20</f>
        <v>#REF!</v>
      </c>
      <c r="BP22" s="35" t="e">
        <f>'Model-BS'!U20</f>
        <v>#REF!</v>
      </c>
      <c r="BQ22" s="35" t="e">
        <f>'Model-BS'!AB20</f>
        <v>#REF!</v>
      </c>
      <c r="BR22" s="35" t="e">
        <f>'Model-BS'!AI20</f>
        <v>#REF!</v>
      </c>
      <c r="BS22" s="35" t="e">
        <f>'Model-BS'!AP20</f>
        <v>#REF!</v>
      </c>
      <c r="BT22" s="35" t="e">
        <f>'Model-BS'!AW20</f>
        <v>#REF!</v>
      </c>
      <c r="BU22" s="35" t="e">
        <f>'Model-BS'!BD20</f>
        <v>#REF!</v>
      </c>
      <c r="BV22" s="35" t="e">
        <f>'Model-BS'!BK20</f>
        <v>#REF!</v>
      </c>
      <c r="BW22" s="35" t="e">
        <f>'Model-BS'!BL20</f>
        <v>#REF!</v>
      </c>
      <c r="BX22" s="35" t="e">
        <f>'Model-BS'!BM20</f>
        <v>#REF!</v>
      </c>
      <c r="BY22" s="35" t="e">
        <f>'Model-BS'!BN20</f>
        <v>#REF!</v>
      </c>
      <c r="BZ22" s="35" t="e">
        <f>'Model-BS'!BO20</f>
        <v>#REF!</v>
      </c>
    </row>
    <row r="23" spans="2:78" hidden="1" outlineLevel="1">
      <c r="B23" s="36" t="s">
        <v>22</v>
      </c>
      <c r="C23" s="45"/>
      <c r="D23" s="46" t="e">
        <f>'Model-BS'!E21</f>
        <v>#REF!</v>
      </c>
      <c r="E23" s="46" t="e">
        <f>'Model-BS'!F21</f>
        <v>#REF!</v>
      </c>
      <c r="F23" s="46" t="e">
        <f>'Model-BS'!G21</f>
        <v>#REF!</v>
      </c>
      <c r="G23" s="46" t="e">
        <f>'Model-BS'!H21</f>
        <v>#REF!</v>
      </c>
      <c r="H23" s="46" t="e">
        <f>'Model-BS'!I21</f>
        <v>#REF!</v>
      </c>
      <c r="I23" s="46" t="e">
        <f>'Model-BS'!#REF!</f>
        <v>#REF!</v>
      </c>
      <c r="J23" s="46" t="e">
        <f>'Model-BS'!#REF!</f>
        <v>#REF!</v>
      </c>
      <c r="K23" s="46" t="e">
        <f>'Model-BS'!#REF!</f>
        <v>#REF!</v>
      </c>
      <c r="L23" s="46" t="e">
        <f>'Model-BS'!#REF!</f>
        <v>#REF!</v>
      </c>
      <c r="M23" s="46" t="e">
        <f>'Model-BS'!#REF!</f>
        <v>#REF!</v>
      </c>
      <c r="N23" s="46" t="e">
        <f>'Model-BS'!#REF!</f>
        <v>#REF!</v>
      </c>
      <c r="O23" s="46" t="e">
        <f>'Model-BS'!J21</f>
        <v>#REF!</v>
      </c>
      <c r="P23" s="46" t="e">
        <f>'Model-BS'!#REF!</f>
        <v>#REF!</v>
      </c>
      <c r="Q23" s="46" t="e">
        <f>'Model-BS'!#REF!</f>
        <v>#REF!</v>
      </c>
      <c r="R23" s="46" t="e">
        <f>'Model-BS'!#REF!</f>
        <v>#REF!</v>
      </c>
      <c r="S23" s="46" t="e">
        <f>'Model-BS'!#REF!</f>
        <v>#REF!</v>
      </c>
      <c r="T23" s="46" t="e">
        <f>'Model-BS'!#REF!</f>
        <v>#REF!</v>
      </c>
      <c r="U23" s="46" t="e">
        <f>'Model-BS'!#REF!</f>
        <v>#REF!</v>
      </c>
      <c r="V23" s="46" t="e">
        <f>'Model-BS'!K21</f>
        <v>#REF!</v>
      </c>
      <c r="W23" s="46" t="e">
        <f>'Model-BS'!#REF!</f>
        <v>#REF!</v>
      </c>
      <c r="X23" s="46" t="e">
        <f>'Model-BS'!#REF!</f>
        <v>#REF!</v>
      </c>
      <c r="Y23" s="46" t="e">
        <f>'Model-BS'!#REF!</f>
        <v>#REF!</v>
      </c>
      <c r="Z23" s="46" t="e">
        <f>'Model-BS'!#REF!</f>
        <v>#REF!</v>
      </c>
      <c r="AA23" s="46" t="e">
        <f>'Model-BS'!#REF!</f>
        <v>#REF!</v>
      </c>
      <c r="AB23" s="46" t="e">
        <f>'Model-BS'!#REF!</f>
        <v>#REF!</v>
      </c>
      <c r="AC23" s="46" t="e">
        <f>'Model-BS'!L21</f>
        <v>#REF!</v>
      </c>
      <c r="AD23" s="46" t="e">
        <f>'Model-BS'!#REF!</f>
        <v>#REF!</v>
      </c>
      <c r="AE23" s="46" t="e">
        <f>'Model-BS'!#REF!</f>
        <v>#REF!</v>
      </c>
      <c r="AF23" s="46" t="e">
        <f>'Model-BS'!#REF!</f>
        <v>#REF!</v>
      </c>
      <c r="AG23" s="46" t="e">
        <f>'Model-BS'!#REF!</f>
        <v>#REF!</v>
      </c>
      <c r="AH23" s="46" t="e">
        <f>'Model-BS'!#REF!</f>
        <v>#REF!</v>
      </c>
      <c r="AI23" s="46" t="e">
        <f>'Model-BS'!#REF!</f>
        <v>#REF!</v>
      </c>
      <c r="AJ23" s="46" t="e">
        <f>'Model-BS'!M21</f>
        <v>#REF!</v>
      </c>
      <c r="AK23" s="46" t="e">
        <f>'Model-BS'!#REF!</f>
        <v>#REF!</v>
      </c>
      <c r="AL23" s="46" t="e">
        <f>'Model-BS'!#REF!</f>
        <v>#REF!</v>
      </c>
      <c r="AM23" s="46" t="e">
        <f>'Model-BS'!#REF!</f>
        <v>#REF!</v>
      </c>
      <c r="AN23" s="46" t="e">
        <f>'Model-BS'!#REF!</f>
        <v>#REF!</v>
      </c>
      <c r="AO23" s="46" t="e">
        <f>'Model-BS'!#REF!</f>
        <v>#REF!</v>
      </c>
      <c r="AP23" s="46" t="e">
        <f>'Model-BS'!#REF!</f>
        <v>#REF!</v>
      </c>
      <c r="AQ23" s="46" t="e">
        <f>'Model-BS'!N21</f>
        <v>#REF!</v>
      </c>
      <c r="AR23" s="46" t="e">
        <f>'Model-BS'!#REF!</f>
        <v>#REF!</v>
      </c>
      <c r="AS23" s="46" t="e">
        <f>'Model-BS'!#REF!</f>
        <v>#REF!</v>
      </c>
      <c r="AT23" s="46" t="e">
        <f>'Model-BS'!#REF!</f>
        <v>#REF!</v>
      </c>
      <c r="AU23" s="46" t="e">
        <f>'Model-BS'!#REF!</f>
        <v>#REF!</v>
      </c>
      <c r="AV23" s="46" t="e">
        <f>'Model-BS'!#REF!</f>
        <v>#REF!</v>
      </c>
      <c r="AW23" s="46" t="e">
        <f>'Model-BS'!#REF!</f>
        <v>#REF!</v>
      </c>
      <c r="AX23" s="46" t="e">
        <f>'Model-BS'!O21</f>
        <v>#REF!</v>
      </c>
      <c r="AY23" s="46" t="e">
        <f>'Model-BS'!#REF!</f>
        <v>#REF!</v>
      </c>
      <c r="AZ23" s="46" t="e">
        <f>'Model-BS'!#REF!</f>
        <v>#REF!</v>
      </c>
      <c r="BA23" s="46" t="e">
        <f>'Model-BS'!#REF!</f>
        <v>#REF!</v>
      </c>
      <c r="BB23" s="46" t="e">
        <f>'Model-BS'!#REF!</f>
        <v>#REF!</v>
      </c>
      <c r="BC23" s="46" t="e">
        <f>'Model-BS'!#REF!</f>
        <v>#REF!</v>
      </c>
      <c r="BD23" s="46" t="e">
        <f>'Model-BS'!#REF!</f>
        <v>#REF!</v>
      </c>
      <c r="BE23" s="46" t="e">
        <f>'Model-BS'!P21</f>
        <v>#REF!</v>
      </c>
      <c r="BF23" s="46" t="e">
        <f>'Model-BS'!#REF!</f>
        <v>#REF!</v>
      </c>
      <c r="BG23" s="46" t="e">
        <f>'Model-BS'!#REF!</f>
        <v>#REF!</v>
      </c>
      <c r="BH23" s="46" t="e">
        <f>'Model-BS'!#REF!</f>
        <v>#REF!</v>
      </c>
      <c r="BI23" s="46" t="e">
        <f>'Model-BS'!#REF!</f>
        <v>#REF!</v>
      </c>
      <c r="BJ23" s="46" t="e">
        <f>'Model-BS'!#REF!</f>
        <v>#REF!</v>
      </c>
      <c r="BK23" s="46" t="e">
        <f>'Model-BS'!#REF!</f>
        <v>#REF!</v>
      </c>
      <c r="BL23" s="46" t="e">
        <f>'Model-BS'!Q21</f>
        <v>#REF!</v>
      </c>
      <c r="BM23" s="46" t="e">
        <f>'Model-BS'!R21</f>
        <v>#REF!</v>
      </c>
      <c r="BN23" s="46" t="e">
        <f>'Model-BS'!S21</f>
        <v>#REF!</v>
      </c>
      <c r="BO23" s="46" t="e">
        <f>'Model-BS'!T21</f>
        <v>#REF!</v>
      </c>
      <c r="BP23" s="46" t="e">
        <f>'Model-BS'!U21</f>
        <v>#REF!</v>
      </c>
      <c r="BQ23" s="46" t="e">
        <f>'Model-BS'!AB21</f>
        <v>#REF!</v>
      </c>
      <c r="BR23" s="46" t="e">
        <f>'Model-BS'!AI21</f>
        <v>#REF!</v>
      </c>
      <c r="BS23" s="46" t="e">
        <f>'Model-BS'!AP21</f>
        <v>#REF!</v>
      </c>
      <c r="BT23" s="46" t="e">
        <f>'Model-BS'!AW21</f>
        <v>#REF!</v>
      </c>
      <c r="BU23" s="46" t="e">
        <f>'Model-BS'!BD21</f>
        <v>#REF!</v>
      </c>
      <c r="BV23" s="46" t="e">
        <f>'Model-BS'!BK21</f>
        <v>#REF!</v>
      </c>
      <c r="BW23" s="46" t="e">
        <f>'Model-BS'!BL21</f>
        <v>#REF!</v>
      </c>
      <c r="BX23" s="46" t="e">
        <f>'Model-BS'!BM21</f>
        <v>#REF!</v>
      </c>
      <c r="BY23" s="46" t="e">
        <f>'Model-BS'!BN21</f>
        <v>#REF!</v>
      </c>
      <c r="BZ23" s="46" t="e">
        <f>'Model-BS'!BO21</f>
        <v>#REF!</v>
      </c>
    </row>
    <row r="24" spans="2:78" s="31" customFormat="1" collapsed="1">
      <c r="B24" s="47" t="s">
        <v>25</v>
      </c>
      <c r="C24" s="47"/>
      <c r="D24" s="47" t="e">
        <f t="shared" ref="D24:BL24" si="7">D18+D20+D22</f>
        <v>#REF!</v>
      </c>
      <c r="E24" s="47" t="e">
        <f t="shared" si="7"/>
        <v>#REF!</v>
      </c>
      <c r="F24" s="47" t="e">
        <f t="shared" si="7"/>
        <v>#REF!</v>
      </c>
      <c r="G24" s="47" t="e">
        <f t="shared" si="7"/>
        <v>#REF!</v>
      </c>
      <c r="H24" s="47" t="e">
        <f t="shared" si="7"/>
        <v>#REF!</v>
      </c>
      <c r="I24" s="47" t="e">
        <f t="shared" si="7"/>
        <v>#REF!</v>
      </c>
      <c r="J24" s="47" t="e">
        <f t="shared" si="7"/>
        <v>#REF!</v>
      </c>
      <c r="K24" s="47" t="e">
        <f t="shared" si="7"/>
        <v>#REF!</v>
      </c>
      <c r="L24" s="47" t="e">
        <f t="shared" si="7"/>
        <v>#REF!</v>
      </c>
      <c r="M24" s="47" t="e">
        <f t="shared" si="7"/>
        <v>#REF!</v>
      </c>
      <c r="N24" s="47" t="e">
        <f t="shared" si="7"/>
        <v>#REF!</v>
      </c>
      <c r="O24" s="47" t="e">
        <f t="shared" si="7"/>
        <v>#REF!</v>
      </c>
      <c r="P24" s="47" t="e">
        <f t="shared" si="7"/>
        <v>#REF!</v>
      </c>
      <c r="Q24" s="47" t="e">
        <f t="shared" si="7"/>
        <v>#REF!</v>
      </c>
      <c r="R24" s="47" t="e">
        <f t="shared" si="7"/>
        <v>#REF!</v>
      </c>
      <c r="S24" s="47" t="e">
        <f t="shared" si="7"/>
        <v>#REF!</v>
      </c>
      <c r="T24" s="47" t="e">
        <f t="shared" si="7"/>
        <v>#REF!</v>
      </c>
      <c r="U24" s="47" t="e">
        <f t="shared" si="7"/>
        <v>#REF!</v>
      </c>
      <c r="V24" s="47" t="e">
        <f t="shared" si="7"/>
        <v>#REF!</v>
      </c>
      <c r="W24" s="47" t="e">
        <f t="shared" si="7"/>
        <v>#REF!</v>
      </c>
      <c r="X24" s="47" t="e">
        <f t="shared" si="7"/>
        <v>#REF!</v>
      </c>
      <c r="Y24" s="47" t="e">
        <f t="shared" si="7"/>
        <v>#REF!</v>
      </c>
      <c r="Z24" s="47" t="e">
        <f t="shared" si="7"/>
        <v>#REF!</v>
      </c>
      <c r="AA24" s="47" t="e">
        <f t="shared" si="7"/>
        <v>#REF!</v>
      </c>
      <c r="AB24" s="47" t="e">
        <f t="shared" si="7"/>
        <v>#REF!</v>
      </c>
      <c r="AC24" s="47" t="e">
        <f t="shared" si="7"/>
        <v>#REF!</v>
      </c>
      <c r="AD24" s="47" t="e">
        <f t="shared" si="7"/>
        <v>#REF!</v>
      </c>
      <c r="AE24" s="47" t="e">
        <f t="shared" si="7"/>
        <v>#REF!</v>
      </c>
      <c r="AF24" s="47" t="e">
        <f t="shared" si="7"/>
        <v>#REF!</v>
      </c>
      <c r="AG24" s="47" t="e">
        <f t="shared" si="7"/>
        <v>#REF!</v>
      </c>
      <c r="AH24" s="47" t="e">
        <f t="shared" si="7"/>
        <v>#REF!</v>
      </c>
      <c r="AI24" s="47" t="e">
        <f t="shared" si="7"/>
        <v>#REF!</v>
      </c>
      <c r="AJ24" s="47" t="e">
        <f t="shared" si="7"/>
        <v>#REF!</v>
      </c>
      <c r="AK24" s="47" t="e">
        <f t="shared" si="7"/>
        <v>#REF!</v>
      </c>
      <c r="AL24" s="47" t="e">
        <f t="shared" si="7"/>
        <v>#REF!</v>
      </c>
      <c r="AM24" s="47" t="e">
        <f t="shared" si="7"/>
        <v>#REF!</v>
      </c>
      <c r="AN24" s="47" t="e">
        <f t="shared" si="7"/>
        <v>#REF!</v>
      </c>
      <c r="AO24" s="47" t="e">
        <f t="shared" si="7"/>
        <v>#REF!</v>
      </c>
      <c r="AP24" s="47" t="e">
        <f t="shared" si="7"/>
        <v>#REF!</v>
      </c>
      <c r="AQ24" s="47" t="e">
        <f t="shared" si="7"/>
        <v>#REF!</v>
      </c>
      <c r="AR24" s="47" t="e">
        <f t="shared" si="7"/>
        <v>#REF!</v>
      </c>
      <c r="AS24" s="47" t="e">
        <f t="shared" si="7"/>
        <v>#REF!</v>
      </c>
      <c r="AT24" s="47" t="e">
        <f t="shared" si="7"/>
        <v>#REF!</v>
      </c>
      <c r="AU24" s="47" t="e">
        <f t="shared" si="7"/>
        <v>#REF!</v>
      </c>
      <c r="AV24" s="47" t="e">
        <f t="shared" si="7"/>
        <v>#REF!</v>
      </c>
      <c r="AW24" s="47" t="e">
        <f t="shared" si="7"/>
        <v>#REF!</v>
      </c>
      <c r="AX24" s="47" t="e">
        <f t="shared" si="7"/>
        <v>#REF!</v>
      </c>
      <c r="AY24" s="47" t="e">
        <f t="shared" si="7"/>
        <v>#REF!</v>
      </c>
      <c r="AZ24" s="47" t="e">
        <f t="shared" si="7"/>
        <v>#REF!</v>
      </c>
      <c r="BA24" s="47" t="e">
        <f t="shared" si="7"/>
        <v>#REF!</v>
      </c>
      <c r="BB24" s="47" t="e">
        <f t="shared" si="7"/>
        <v>#REF!</v>
      </c>
      <c r="BC24" s="47" t="e">
        <f t="shared" si="7"/>
        <v>#REF!</v>
      </c>
      <c r="BD24" s="47" t="e">
        <f t="shared" si="7"/>
        <v>#REF!</v>
      </c>
      <c r="BE24" s="47" t="e">
        <f t="shared" si="7"/>
        <v>#REF!</v>
      </c>
      <c r="BF24" s="47" t="e">
        <f t="shared" si="7"/>
        <v>#REF!</v>
      </c>
      <c r="BG24" s="47" t="e">
        <f t="shared" si="7"/>
        <v>#REF!</v>
      </c>
      <c r="BH24" s="47" t="e">
        <f t="shared" si="7"/>
        <v>#REF!</v>
      </c>
      <c r="BI24" s="47" t="e">
        <f t="shared" si="7"/>
        <v>#REF!</v>
      </c>
      <c r="BJ24" s="47" t="e">
        <f t="shared" si="7"/>
        <v>#REF!</v>
      </c>
      <c r="BK24" s="47" t="e">
        <f t="shared" si="7"/>
        <v>#REF!</v>
      </c>
      <c r="BL24" s="47" t="e">
        <f t="shared" si="7"/>
        <v>#REF!</v>
      </c>
      <c r="BM24" s="47" t="e">
        <f>'Model-BS'!R24</f>
        <v>#REF!</v>
      </c>
      <c r="BN24" s="47" t="e">
        <f t="shared" ref="BN24:BW24" si="8">BN18+BN20+BN22</f>
        <v>#REF!</v>
      </c>
      <c r="BO24" s="47" t="e">
        <f t="shared" si="8"/>
        <v>#REF!</v>
      </c>
      <c r="BP24" s="47" t="e">
        <f t="shared" si="8"/>
        <v>#REF!</v>
      </c>
      <c r="BQ24" s="47" t="e">
        <f t="shared" si="8"/>
        <v>#REF!</v>
      </c>
      <c r="BR24" s="47" t="e">
        <f t="shared" si="8"/>
        <v>#REF!</v>
      </c>
      <c r="BS24" s="47" t="e">
        <f t="shared" si="8"/>
        <v>#REF!</v>
      </c>
      <c r="BT24" s="47" t="e">
        <f t="shared" si="8"/>
        <v>#REF!</v>
      </c>
      <c r="BU24" s="47" t="e">
        <f t="shared" si="8"/>
        <v>#REF!</v>
      </c>
      <c r="BV24" s="47" t="e">
        <f t="shared" si="8"/>
        <v>#REF!</v>
      </c>
      <c r="BW24" s="47" t="e">
        <f t="shared" si="8"/>
        <v>#REF!</v>
      </c>
      <c r="BX24" s="47" t="e">
        <f>BX18+BX20+BX22</f>
        <v>#REF!</v>
      </c>
      <c r="BY24" s="47" t="e">
        <f t="shared" ref="BY24:BZ24" si="9">BY18+BY20+BY22</f>
        <v>#REF!</v>
      </c>
      <c r="BZ24" s="47" t="e">
        <f t="shared" si="9"/>
        <v>#REF!</v>
      </c>
    </row>
    <row r="25" spans="2:78">
      <c r="B25" s="33" t="s">
        <v>22</v>
      </c>
      <c r="C25" s="33"/>
      <c r="D25" s="43" t="e">
        <f>-D24/D10</f>
        <v>#REF!</v>
      </c>
      <c r="E25" s="43" t="e">
        <f t="shared" ref="E25:BL25" si="10">-E24/E10</f>
        <v>#REF!</v>
      </c>
      <c r="F25" s="43" t="e">
        <f t="shared" si="10"/>
        <v>#REF!</v>
      </c>
      <c r="G25" s="43" t="e">
        <f t="shared" si="10"/>
        <v>#REF!</v>
      </c>
      <c r="H25" s="43" t="e">
        <f t="shared" si="10"/>
        <v>#REF!</v>
      </c>
      <c r="I25" s="43" t="e">
        <f t="shared" si="10"/>
        <v>#REF!</v>
      </c>
      <c r="J25" s="43" t="e">
        <f t="shared" si="10"/>
        <v>#REF!</v>
      </c>
      <c r="K25" s="43" t="e">
        <f t="shared" si="10"/>
        <v>#REF!</v>
      </c>
      <c r="L25" s="43" t="e">
        <f t="shared" si="10"/>
        <v>#REF!</v>
      </c>
      <c r="M25" s="43" t="e">
        <f t="shared" si="10"/>
        <v>#REF!</v>
      </c>
      <c r="N25" s="43" t="e">
        <f t="shared" si="10"/>
        <v>#REF!</v>
      </c>
      <c r="O25" s="43" t="e">
        <f t="shared" si="10"/>
        <v>#REF!</v>
      </c>
      <c r="P25" s="43" t="e">
        <f t="shared" si="10"/>
        <v>#REF!</v>
      </c>
      <c r="Q25" s="43" t="e">
        <f t="shared" si="10"/>
        <v>#REF!</v>
      </c>
      <c r="R25" s="43" t="e">
        <f t="shared" si="10"/>
        <v>#REF!</v>
      </c>
      <c r="S25" s="43" t="e">
        <f t="shared" si="10"/>
        <v>#REF!</v>
      </c>
      <c r="T25" s="43" t="e">
        <f t="shared" si="10"/>
        <v>#REF!</v>
      </c>
      <c r="U25" s="43" t="e">
        <f t="shared" si="10"/>
        <v>#REF!</v>
      </c>
      <c r="V25" s="43" t="e">
        <f t="shared" si="10"/>
        <v>#REF!</v>
      </c>
      <c r="W25" s="43" t="e">
        <f t="shared" si="10"/>
        <v>#REF!</v>
      </c>
      <c r="X25" s="43" t="e">
        <f t="shared" si="10"/>
        <v>#REF!</v>
      </c>
      <c r="Y25" s="43" t="e">
        <f t="shared" si="10"/>
        <v>#REF!</v>
      </c>
      <c r="Z25" s="43" t="e">
        <f t="shared" si="10"/>
        <v>#REF!</v>
      </c>
      <c r="AA25" s="43" t="e">
        <f t="shared" si="10"/>
        <v>#REF!</v>
      </c>
      <c r="AB25" s="43" t="e">
        <f t="shared" si="10"/>
        <v>#REF!</v>
      </c>
      <c r="AC25" s="43" t="e">
        <f t="shared" si="10"/>
        <v>#REF!</v>
      </c>
      <c r="AD25" s="43" t="e">
        <f t="shared" si="10"/>
        <v>#REF!</v>
      </c>
      <c r="AE25" s="43" t="e">
        <f t="shared" si="10"/>
        <v>#REF!</v>
      </c>
      <c r="AF25" s="43" t="e">
        <f t="shared" si="10"/>
        <v>#REF!</v>
      </c>
      <c r="AG25" s="43" t="e">
        <f t="shared" si="10"/>
        <v>#REF!</v>
      </c>
      <c r="AH25" s="43" t="e">
        <f t="shared" si="10"/>
        <v>#REF!</v>
      </c>
      <c r="AI25" s="43" t="e">
        <f t="shared" si="10"/>
        <v>#REF!</v>
      </c>
      <c r="AJ25" s="43" t="e">
        <f t="shared" si="10"/>
        <v>#REF!</v>
      </c>
      <c r="AK25" s="43" t="e">
        <f t="shared" si="10"/>
        <v>#REF!</v>
      </c>
      <c r="AL25" s="43" t="e">
        <f t="shared" si="10"/>
        <v>#REF!</v>
      </c>
      <c r="AM25" s="43" t="e">
        <f t="shared" si="10"/>
        <v>#REF!</v>
      </c>
      <c r="AN25" s="43" t="e">
        <f t="shared" si="10"/>
        <v>#REF!</v>
      </c>
      <c r="AO25" s="43" t="e">
        <f t="shared" si="10"/>
        <v>#REF!</v>
      </c>
      <c r="AP25" s="43" t="e">
        <f t="shared" si="10"/>
        <v>#REF!</v>
      </c>
      <c r="AQ25" s="43" t="e">
        <f t="shared" si="10"/>
        <v>#REF!</v>
      </c>
      <c r="AR25" s="43" t="e">
        <f t="shared" si="10"/>
        <v>#REF!</v>
      </c>
      <c r="AS25" s="43" t="e">
        <f t="shared" si="10"/>
        <v>#REF!</v>
      </c>
      <c r="AT25" s="43" t="e">
        <f t="shared" si="10"/>
        <v>#REF!</v>
      </c>
      <c r="AU25" s="43" t="e">
        <f t="shared" si="10"/>
        <v>#REF!</v>
      </c>
      <c r="AV25" s="43" t="e">
        <f t="shared" si="10"/>
        <v>#REF!</v>
      </c>
      <c r="AW25" s="43" t="e">
        <f t="shared" si="10"/>
        <v>#REF!</v>
      </c>
      <c r="AX25" s="43" t="e">
        <f t="shared" si="10"/>
        <v>#REF!</v>
      </c>
      <c r="AY25" s="43" t="e">
        <f t="shared" si="10"/>
        <v>#REF!</v>
      </c>
      <c r="AZ25" s="43" t="e">
        <f t="shared" si="10"/>
        <v>#REF!</v>
      </c>
      <c r="BA25" s="43" t="e">
        <f t="shared" si="10"/>
        <v>#REF!</v>
      </c>
      <c r="BB25" s="43" t="e">
        <f t="shared" si="10"/>
        <v>#REF!</v>
      </c>
      <c r="BC25" s="43" t="e">
        <f t="shared" si="10"/>
        <v>#REF!</v>
      </c>
      <c r="BD25" s="43" t="e">
        <f t="shared" si="10"/>
        <v>#REF!</v>
      </c>
      <c r="BE25" s="43" t="e">
        <f t="shared" si="10"/>
        <v>#REF!</v>
      </c>
      <c r="BF25" s="43" t="e">
        <f t="shared" si="10"/>
        <v>#REF!</v>
      </c>
      <c r="BG25" s="43" t="e">
        <f t="shared" si="10"/>
        <v>#REF!</v>
      </c>
      <c r="BH25" s="43" t="e">
        <f t="shared" si="10"/>
        <v>#REF!</v>
      </c>
      <c r="BI25" s="43" t="e">
        <f t="shared" si="10"/>
        <v>#REF!</v>
      </c>
      <c r="BJ25" s="43" t="e">
        <f t="shared" si="10"/>
        <v>#REF!</v>
      </c>
      <c r="BK25" s="43" t="e">
        <f t="shared" si="10"/>
        <v>#REF!</v>
      </c>
      <c r="BL25" s="43" t="e">
        <f t="shared" si="10"/>
        <v>#REF!</v>
      </c>
      <c r="BM25" s="43" t="e">
        <f t="shared" ref="BM25:BW25" si="11">-BM24/BM10</f>
        <v>#REF!</v>
      </c>
      <c r="BN25" s="43" t="e">
        <f t="shared" si="11"/>
        <v>#REF!</v>
      </c>
      <c r="BO25" s="43" t="e">
        <f t="shared" si="11"/>
        <v>#REF!</v>
      </c>
      <c r="BP25" s="43" t="e">
        <f t="shared" si="11"/>
        <v>#REF!</v>
      </c>
      <c r="BQ25" s="43" t="e">
        <f t="shared" si="11"/>
        <v>#REF!</v>
      </c>
      <c r="BR25" s="43" t="e">
        <f t="shared" si="11"/>
        <v>#REF!</v>
      </c>
      <c r="BS25" s="43" t="e">
        <f t="shared" si="11"/>
        <v>#REF!</v>
      </c>
      <c r="BT25" s="43" t="e">
        <f t="shared" si="11"/>
        <v>#REF!</v>
      </c>
      <c r="BU25" s="43" t="e">
        <f t="shared" si="11"/>
        <v>#REF!</v>
      </c>
      <c r="BV25" s="43" t="e">
        <f t="shared" si="11"/>
        <v>#REF!</v>
      </c>
      <c r="BW25" s="43" t="e">
        <f t="shared" si="11"/>
        <v>#REF!</v>
      </c>
      <c r="BX25" s="43" t="e">
        <f>-BX24/BX10</f>
        <v>#REF!</v>
      </c>
      <c r="BY25" s="43" t="e">
        <f t="shared" ref="BY25:BZ25" si="12">-BY24/BY10</f>
        <v>#REF!</v>
      </c>
      <c r="BZ25" s="43" t="e">
        <f t="shared" si="12"/>
        <v>#REF!</v>
      </c>
    </row>
    <row r="26" spans="2:78" s="39" customFormat="1">
      <c r="B26" s="40" t="s">
        <v>26</v>
      </c>
      <c r="C26" s="40"/>
      <c r="D26" s="40">
        <f>[70]Model!I50</f>
        <v>0</v>
      </c>
      <c r="E26" s="40" t="e">
        <f>'Model-BS'!F27</f>
        <v>#REF!</v>
      </c>
      <c r="F26" s="40" t="e">
        <f>'Model-BS'!G27</f>
        <v>#REF!</v>
      </c>
      <c r="G26" s="40" t="e">
        <f>'Model-BS'!H27</f>
        <v>#REF!</v>
      </c>
      <c r="H26" s="40" t="e">
        <f>'Model-BS'!I27</f>
        <v>#REF!</v>
      </c>
      <c r="I26" s="40" t="e">
        <f>'Model-BS'!#REF!</f>
        <v>#REF!</v>
      </c>
      <c r="J26" s="40" t="e">
        <f>'Model-BS'!#REF!</f>
        <v>#REF!</v>
      </c>
      <c r="K26" s="40" t="e">
        <f>'Model-BS'!#REF!</f>
        <v>#REF!</v>
      </c>
      <c r="L26" s="40" t="e">
        <f>'Model-BS'!#REF!</f>
        <v>#REF!</v>
      </c>
      <c r="M26" s="40" t="e">
        <f>'Model-BS'!#REF!</f>
        <v>#REF!</v>
      </c>
      <c r="N26" s="40" t="e">
        <f>'Model-BS'!#REF!</f>
        <v>#REF!</v>
      </c>
      <c r="O26" s="40" t="e">
        <f>'Model-BS'!J27</f>
        <v>#REF!</v>
      </c>
      <c r="P26" s="40" t="e">
        <f>'Model-BS'!#REF!</f>
        <v>#REF!</v>
      </c>
      <c r="Q26" s="40" t="e">
        <f>'Model-BS'!#REF!</f>
        <v>#REF!</v>
      </c>
      <c r="R26" s="40" t="e">
        <f>'Model-BS'!#REF!</f>
        <v>#REF!</v>
      </c>
      <c r="S26" s="40" t="e">
        <f>'Model-BS'!#REF!</f>
        <v>#REF!</v>
      </c>
      <c r="T26" s="40" t="e">
        <f>'Model-BS'!#REF!</f>
        <v>#REF!</v>
      </c>
      <c r="U26" s="40" t="e">
        <f>'Model-BS'!#REF!</f>
        <v>#REF!</v>
      </c>
      <c r="V26" s="40" t="e">
        <f>'Model-BS'!K27</f>
        <v>#REF!</v>
      </c>
      <c r="W26" s="40" t="e">
        <f>'Model-BS'!#REF!</f>
        <v>#REF!</v>
      </c>
      <c r="X26" s="40" t="e">
        <f>'Model-BS'!#REF!</f>
        <v>#REF!</v>
      </c>
      <c r="Y26" s="40" t="e">
        <f>'Model-BS'!#REF!</f>
        <v>#REF!</v>
      </c>
      <c r="Z26" s="40" t="e">
        <f>'Model-BS'!#REF!</f>
        <v>#REF!</v>
      </c>
      <c r="AA26" s="40" t="e">
        <f>'Model-BS'!#REF!</f>
        <v>#REF!</v>
      </c>
      <c r="AB26" s="40" t="e">
        <f>'Model-BS'!#REF!</f>
        <v>#REF!</v>
      </c>
      <c r="AC26" s="40" t="e">
        <f>'Model-BS'!L27</f>
        <v>#REF!</v>
      </c>
      <c r="AD26" s="40" t="e">
        <f>'Model-BS'!#REF!</f>
        <v>#REF!</v>
      </c>
      <c r="AE26" s="40" t="e">
        <f>'Model-BS'!#REF!</f>
        <v>#REF!</v>
      </c>
      <c r="AF26" s="40" t="e">
        <f>'Model-BS'!#REF!</f>
        <v>#REF!</v>
      </c>
      <c r="AG26" s="40" t="e">
        <f>'Model-BS'!#REF!</f>
        <v>#REF!</v>
      </c>
      <c r="AH26" s="40" t="e">
        <f>'Model-BS'!#REF!</f>
        <v>#REF!</v>
      </c>
      <c r="AI26" s="40" t="e">
        <f>'Model-BS'!#REF!</f>
        <v>#REF!</v>
      </c>
      <c r="AJ26" s="40" t="e">
        <f>'Model-BS'!M27</f>
        <v>#REF!</v>
      </c>
      <c r="AK26" s="40" t="e">
        <f>'Model-BS'!#REF!</f>
        <v>#REF!</v>
      </c>
      <c r="AL26" s="40" t="e">
        <f>'Model-BS'!#REF!</f>
        <v>#REF!</v>
      </c>
      <c r="AM26" s="40" t="e">
        <f>'Model-BS'!#REF!</f>
        <v>#REF!</v>
      </c>
      <c r="AN26" s="40" t="e">
        <f>'Model-BS'!#REF!</f>
        <v>#REF!</v>
      </c>
      <c r="AO26" s="40" t="e">
        <f>'Model-BS'!#REF!</f>
        <v>#REF!</v>
      </c>
      <c r="AP26" s="40" t="e">
        <f>'Model-BS'!#REF!</f>
        <v>#REF!</v>
      </c>
      <c r="AQ26" s="40" t="e">
        <f>'Model-BS'!N27</f>
        <v>#REF!</v>
      </c>
      <c r="AR26" s="40" t="e">
        <f>'Model-BS'!#REF!</f>
        <v>#REF!</v>
      </c>
      <c r="AS26" s="40" t="e">
        <f>'Model-BS'!#REF!</f>
        <v>#REF!</v>
      </c>
      <c r="AT26" s="40" t="e">
        <f>'Model-BS'!#REF!</f>
        <v>#REF!</v>
      </c>
      <c r="AU26" s="40" t="e">
        <f>'Model-BS'!#REF!</f>
        <v>#REF!</v>
      </c>
      <c r="AV26" s="40" t="e">
        <f>'Model-BS'!#REF!</f>
        <v>#REF!</v>
      </c>
      <c r="AW26" s="40" t="e">
        <f>'Model-BS'!#REF!</f>
        <v>#REF!</v>
      </c>
      <c r="AX26" s="40" t="e">
        <f>'Model-BS'!O27</f>
        <v>#REF!</v>
      </c>
      <c r="AY26" s="40" t="e">
        <f>'Model-BS'!#REF!</f>
        <v>#REF!</v>
      </c>
      <c r="AZ26" s="40" t="e">
        <f>'Model-BS'!#REF!</f>
        <v>#REF!</v>
      </c>
      <c r="BA26" s="40" t="e">
        <f>'Model-BS'!#REF!</f>
        <v>#REF!</v>
      </c>
      <c r="BB26" s="40" t="e">
        <f>'Model-BS'!#REF!</f>
        <v>#REF!</v>
      </c>
      <c r="BC26" s="40" t="e">
        <f>'Model-BS'!#REF!</f>
        <v>#REF!</v>
      </c>
      <c r="BD26" s="40" t="e">
        <f>'Model-BS'!#REF!</f>
        <v>#REF!</v>
      </c>
      <c r="BE26" s="40" t="e">
        <f>'Model-BS'!P27</f>
        <v>#REF!</v>
      </c>
      <c r="BF26" s="40" t="e">
        <f>'Model-BS'!#REF!</f>
        <v>#REF!</v>
      </c>
      <c r="BG26" s="40" t="e">
        <f>'Model-BS'!#REF!</f>
        <v>#REF!</v>
      </c>
      <c r="BH26" s="40" t="e">
        <f>'Model-BS'!#REF!</f>
        <v>#REF!</v>
      </c>
      <c r="BI26" s="40" t="e">
        <f>'Model-BS'!#REF!</f>
        <v>#REF!</v>
      </c>
      <c r="BJ26" s="40" t="e">
        <f>'Model-BS'!#REF!</f>
        <v>#REF!</v>
      </c>
      <c r="BK26" s="40" t="e">
        <f>'Model-BS'!#REF!</f>
        <v>#REF!</v>
      </c>
      <c r="BL26" s="40" t="e">
        <f>'Model-BS'!Q27</f>
        <v>#REF!</v>
      </c>
      <c r="BM26" s="40" t="e">
        <f>'Model-BS'!R27</f>
        <v>#REF!</v>
      </c>
      <c r="BN26" s="40" t="e">
        <f>'Model-BS'!S27</f>
        <v>#REF!</v>
      </c>
      <c r="BO26" s="40" t="e">
        <f>'Model-BS'!T27</f>
        <v>#REF!</v>
      </c>
      <c r="BP26" s="40" t="e">
        <f>'Model-BS'!U27</f>
        <v>#REF!</v>
      </c>
      <c r="BQ26" s="40" t="e">
        <f>'Model-BS'!AB27</f>
        <v>#REF!</v>
      </c>
      <c r="BR26" s="40" t="e">
        <f>'Model-BS'!AI27</f>
        <v>#REF!</v>
      </c>
      <c r="BS26" s="40" t="e">
        <f>'Model-BS'!AP27</f>
        <v>#REF!</v>
      </c>
      <c r="BT26" s="40" t="e">
        <f>'Model-BS'!AW27</f>
        <v>#REF!</v>
      </c>
      <c r="BU26" s="40" t="e">
        <f>'Model-BS'!BD27</f>
        <v>#REF!</v>
      </c>
      <c r="BV26" s="40" t="e">
        <f>'Model-BS'!BK27</f>
        <v>#REF!</v>
      </c>
      <c r="BW26" s="40" t="e">
        <f>'Model-BS'!BL27</f>
        <v>#REF!</v>
      </c>
      <c r="BX26" s="40" t="e">
        <f>'Model-BS'!BM27</f>
        <v>#REF!</v>
      </c>
      <c r="BY26" s="40" t="e">
        <f>'Model-BS'!BN27</f>
        <v>#REF!</v>
      </c>
      <c r="BZ26" s="40" t="e">
        <f>'Model-BS'!BO27</f>
        <v>#REF!</v>
      </c>
    </row>
    <row r="27" spans="2:78">
      <c r="B27" s="33" t="s">
        <v>22</v>
      </c>
      <c r="C27" s="33"/>
      <c r="D27" s="34" t="e">
        <f>[70]Model!I51</f>
        <v>#DIV/0!</v>
      </c>
      <c r="E27" s="34" t="e">
        <f>'Model-BS'!F28</f>
        <v>#REF!</v>
      </c>
      <c r="F27" s="34" t="e">
        <f>'Model-BS'!G28</f>
        <v>#REF!</v>
      </c>
      <c r="G27" s="34" t="e">
        <f>'Model-BS'!H28</f>
        <v>#REF!</v>
      </c>
      <c r="H27" s="34" t="e">
        <f>'Model-BS'!I28</f>
        <v>#REF!</v>
      </c>
      <c r="I27" s="34" t="e">
        <f>'Model-BS'!#REF!</f>
        <v>#REF!</v>
      </c>
      <c r="J27" s="34" t="e">
        <f>'Model-BS'!#REF!</f>
        <v>#REF!</v>
      </c>
      <c r="K27" s="34" t="e">
        <f>'Model-BS'!#REF!</f>
        <v>#REF!</v>
      </c>
      <c r="L27" s="34" t="e">
        <f>'Model-BS'!#REF!</f>
        <v>#REF!</v>
      </c>
      <c r="M27" s="34" t="e">
        <f>'Model-BS'!#REF!</f>
        <v>#REF!</v>
      </c>
      <c r="N27" s="34" t="e">
        <f>'Model-BS'!#REF!</f>
        <v>#REF!</v>
      </c>
      <c r="O27" s="34" t="e">
        <f>'Model-BS'!J28</f>
        <v>#REF!</v>
      </c>
      <c r="P27" s="34" t="e">
        <f>'Model-BS'!#REF!</f>
        <v>#REF!</v>
      </c>
      <c r="Q27" s="34" t="e">
        <f>'Model-BS'!#REF!</f>
        <v>#REF!</v>
      </c>
      <c r="R27" s="34" t="e">
        <f>'Model-BS'!#REF!</f>
        <v>#REF!</v>
      </c>
      <c r="S27" s="34" t="e">
        <f>'Model-BS'!#REF!</f>
        <v>#REF!</v>
      </c>
      <c r="T27" s="34" t="e">
        <f>'Model-BS'!#REF!</f>
        <v>#REF!</v>
      </c>
      <c r="U27" s="34" t="e">
        <f>'Model-BS'!#REF!</f>
        <v>#REF!</v>
      </c>
      <c r="V27" s="34" t="e">
        <f>'Model-BS'!K28</f>
        <v>#REF!</v>
      </c>
      <c r="W27" s="34" t="e">
        <f>'Model-BS'!#REF!</f>
        <v>#REF!</v>
      </c>
      <c r="X27" s="34" t="e">
        <f>'Model-BS'!#REF!</f>
        <v>#REF!</v>
      </c>
      <c r="Y27" s="34" t="e">
        <f>'Model-BS'!#REF!</f>
        <v>#REF!</v>
      </c>
      <c r="Z27" s="34" t="e">
        <f>'Model-BS'!#REF!</f>
        <v>#REF!</v>
      </c>
      <c r="AA27" s="34" t="e">
        <f>'Model-BS'!#REF!</f>
        <v>#REF!</v>
      </c>
      <c r="AB27" s="34" t="e">
        <f>'Model-BS'!#REF!</f>
        <v>#REF!</v>
      </c>
      <c r="AC27" s="34" t="e">
        <f>'Model-BS'!L28</f>
        <v>#REF!</v>
      </c>
      <c r="AD27" s="34" t="e">
        <f>'Model-BS'!#REF!</f>
        <v>#REF!</v>
      </c>
      <c r="AE27" s="34" t="e">
        <f>'Model-BS'!#REF!</f>
        <v>#REF!</v>
      </c>
      <c r="AF27" s="34" t="e">
        <f>'Model-BS'!#REF!</f>
        <v>#REF!</v>
      </c>
      <c r="AG27" s="34" t="e">
        <f>'Model-BS'!#REF!</f>
        <v>#REF!</v>
      </c>
      <c r="AH27" s="34" t="e">
        <f>'Model-BS'!#REF!</f>
        <v>#REF!</v>
      </c>
      <c r="AI27" s="34" t="e">
        <f>'Model-BS'!#REF!</f>
        <v>#REF!</v>
      </c>
      <c r="AJ27" s="34" t="e">
        <f>'Model-BS'!M28</f>
        <v>#REF!</v>
      </c>
      <c r="AK27" s="34" t="e">
        <f>'Model-BS'!#REF!</f>
        <v>#REF!</v>
      </c>
      <c r="AL27" s="34" t="e">
        <f>'Model-BS'!#REF!</f>
        <v>#REF!</v>
      </c>
      <c r="AM27" s="34" t="e">
        <f>'Model-BS'!#REF!</f>
        <v>#REF!</v>
      </c>
      <c r="AN27" s="34" t="e">
        <f>'Model-BS'!#REF!</f>
        <v>#REF!</v>
      </c>
      <c r="AO27" s="34" t="e">
        <f>'Model-BS'!#REF!</f>
        <v>#REF!</v>
      </c>
      <c r="AP27" s="34" t="e">
        <f>'Model-BS'!#REF!</f>
        <v>#REF!</v>
      </c>
      <c r="AQ27" s="34" t="e">
        <f>'Model-BS'!N28</f>
        <v>#REF!</v>
      </c>
      <c r="AR27" s="34" t="e">
        <f>'Model-BS'!#REF!</f>
        <v>#REF!</v>
      </c>
      <c r="AS27" s="34" t="e">
        <f>'Model-BS'!#REF!</f>
        <v>#REF!</v>
      </c>
      <c r="AT27" s="34" t="e">
        <f>'Model-BS'!#REF!</f>
        <v>#REF!</v>
      </c>
      <c r="AU27" s="34" t="e">
        <f>'Model-BS'!#REF!</f>
        <v>#REF!</v>
      </c>
      <c r="AV27" s="34" t="e">
        <f>'Model-BS'!#REF!</f>
        <v>#REF!</v>
      </c>
      <c r="AW27" s="34" t="e">
        <f>'Model-BS'!#REF!</f>
        <v>#REF!</v>
      </c>
      <c r="AX27" s="34" t="e">
        <f>'Model-BS'!O28</f>
        <v>#REF!</v>
      </c>
      <c r="AY27" s="34" t="e">
        <f>'Model-BS'!#REF!</f>
        <v>#REF!</v>
      </c>
      <c r="AZ27" s="34" t="e">
        <f>'Model-BS'!#REF!</f>
        <v>#REF!</v>
      </c>
      <c r="BA27" s="34" t="e">
        <f>'Model-BS'!#REF!</f>
        <v>#REF!</v>
      </c>
      <c r="BB27" s="34" t="e">
        <f>'Model-BS'!#REF!</f>
        <v>#REF!</v>
      </c>
      <c r="BC27" s="34" t="e">
        <f>'Model-BS'!#REF!</f>
        <v>#REF!</v>
      </c>
      <c r="BD27" s="34" t="e">
        <f>'Model-BS'!#REF!</f>
        <v>#REF!</v>
      </c>
      <c r="BE27" s="34" t="e">
        <f>'Model-BS'!P28</f>
        <v>#REF!</v>
      </c>
      <c r="BF27" s="34" t="e">
        <f>'Model-BS'!#REF!</f>
        <v>#REF!</v>
      </c>
      <c r="BG27" s="34" t="e">
        <f>'Model-BS'!#REF!</f>
        <v>#REF!</v>
      </c>
      <c r="BH27" s="34" t="e">
        <f>'Model-BS'!#REF!</f>
        <v>#REF!</v>
      </c>
      <c r="BI27" s="34" t="e">
        <f>'Model-BS'!#REF!</f>
        <v>#REF!</v>
      </c>
      <c r="BJ27" s="34" t="e">
        <f>'Model-BS'!#REF!</f>
        <v>#REF!</v>
      </c>
      <c r="BK27" s="34" t="e">
        <f>'Model-BS'!#REF!</f>
        <v>#REF!</v>
      </c>
      <c r="BL27" s="34" t="e">
        <f>'Model-BS'!Q28</f>
        <v>#REF!</v>
      </c>
      <c r="BM27" s="34" t="e">
        <f>'Model-BS'!R28</f>
        <v>#REF!</v>
      </c>
      <c r="BN27" s="34" t="e">
        <f>'Model-BS'!S28</f>
        <v>#REF!</v>
      </c>
      <c r="BO27" s="34" t="e">
        <f>'Model-BS'!T28</f>
        <v>#REF!</v>
      </c>
      <c r="BP27" s="34" t="e">
        <f>'Model-BS'!U28</f>
        <v>#REF!</v>
      </c>
      <c r="BQ27" s="34" t="e">
        <f>'Model-BS'!AB28</f>
        <v>#REF!</v>
      </c>
      <c r="BR27" s="34" t="e">
        <f>'Model-BS'!AI28</f>
        <v>#REF!</v>
      </c>
      <c r="BS27" s="34" t="e">
        <f>'Model-BS'!AP28</f>
        <v>#REF!</v>
      </c>
      <c r="BT27" s="34" t="e">
        <f>'Model-BS'!AW28</f>
        <v>#REF!</v>
      </c>
      <c r="BU27" s="34" t="e">
        <f>'Model-BS'!BD28</f>
        <v>#REF!</v>
      </c>
      <c r="BV27" s="34" t="e">
        <f>'Model-BS'!BK28</f>
        <v>#REF!</v>
      </c>
      <c r="BW27" s="34" t="e">
        <f>'Model-BS'!BL28</f>
        <v>#REF!</v>
      </c>
      <c r="BX27" s="34" t="e">
        <f>'Model-BS'!BM28</f>
        <v>#REF!</v>
      </c>
      <c r="BY27" s="34" t="e">
        <f>'Model-BS'!BN28</f>
        <v>#REF!</v>
      </c>
      <c r="BZ27" s="34" t="e">
        <f>'Model-BS'!BO28</f>
        <v>#REF!</v>
      </c>
    </row>
    <row r="28" spans="2:78" s="31" customFormat="1">
      <c r="B28" s="35" t="s">
        <v>27</v>
      </c>
      <c r="C28" s="35"/>
      <c r="D28" s="35">
        <f>[70]Model!I54</f>
        <v>0</v>
      </c>
      <c r="E28" s="35" t="e">
        <f>'Model-BS'!F29</f>
        <v>#REF!</v>
      </c>
      <c r="F28" s="35" t="e">
        <f>'Model-BS'!G29</f>
        <v>#REF!</v>
      </c>
      <c r="G28" s="35" t="e">
        <f>'Model-BS'!H29</f>
        <v>#REF!</v>
      </c>
      <c r="H28" s="35" t="e">
        <f>'Model-BS'!I29</f>
        <v>#REF!</v>
      </c>
      <c r="I28" s="35" t="e">
        <f>'Model-BS'!#REF!</f>
        <v>#REF!</v>
      </c>
      <c r="J28" s="35" t="e">
        <f>'Model-BS'!#REF!</f>
        <v>#REF!</v>
      </c>
      <c r="K28" s="35" t="e">
        <f>'Model-BS'!#REF!</f>
        <v>#REF!</v>
      </c>
      <c r="L28" s="35" t="e">
        <f>'Model-BS'!#REF!</f>
        <v>#REF!</v>
      </c>
      <c r="M28" s="35" t="e">
        <f>'Model-BS'!#REF!</f>
        <v>#REF!</v>
      </c>
      <c r="N28" s="35" t="e">
        <f>'Model-BS'!#REF!</f>
        <v>#REF!</v>
      </c>
      <c r="O28" s="35" t="e">
        <f>'Model-BS'!J29</f>
        <v>#REF!</v>
      </c>
      <c r="P28" s="35" t="e">
        <f>'Model-BS'!#REF!</f>
        <v>#REF!</v>
      </c>
      <c r="Q28" s="35" t="e">
        <f>'Model-BS'!#REF!</f>
        <v>#REF!</v>
      </c>
      <c r="R28" s="35" t="e">
        <f>'Model-BS'!#REF!</f>
        <v>#REF!</v>
      </c>
      <c r="S28" s="35" t="e">
        <f>'Model-BS'!#REF!</f>
        <v>#REF!</v>
      </c>
      <c r="T28" s="35" t="e">
        <f>'Model-BS'!#REF!</f>
        <v>#REF!</v>
      </c>
      <c r="U28" s="35" t="e">
        <f>'Model-BS'!#REF!</f>
        <v>#REF!</v>
      </c>
      <c r="V28" s="35" t="e">
        <f>'Model-BS'!K29</f>
        <v>#REF!</v>
      </c>
      <c r="W28" s="35" t="e">
        <f>'Model-BS'!#REF!</f>
        <v>#REF!</v>
      </c>
      <c r="X28" s="35" t="e">
        <f>'Model-BS'!#REF!</f>
        <v>#REF!</v>
      </c>
      <c r="Y28" s="35" t="e">
        <f>'Model-BS'!#REF!</f>
        <v>#REF!</v>
      </c>
      <c r="Z28" s="35" t="e">
        <f>'Model-BS'!#REF!</f>
        <v>#REF!</v>
      </c>
      <c r="AA28" s="35" t="e">
        <f>'Model-BS'!#REF!</f>
        <v>#REF!</v>
      </c>
      <c r="AB28" s="35" t="e">
        <f>'Model-BS'!#REF!</f>
        <v>#REF!</v>
      </c>
      <c r="AC28" s="35" t="e">
        <f>'Model-BS'!L29</f>
        <v>#REF!</v>
      </c>
      <c r="AD28" s="35" t="e">
        <f>'Model-BS'!#REF!</f>
        <v>#REF!</v>
      </c>
      <c r="AE28" s="35" t="e">
        <f>'Model-BS'!#REF!</f>
        <v>#REF!</v>
      </c>
      <c r="AF28" s="35" t="e">
        <f>'Model-BS'!#REF!</f>
        <v>#REF!</v>
      </c>
      <c r="AG28" s="35" t="e">
        <f>'Model-BS'!#REF!</f>
        <v>#REF!</v>
      </c>
      <c r="AH28" s="35" t="e">
        <f>'Model-BS'!#REF!</f>
        <v>#REF!</v>
      </c>
      <c r="AI28" s="35" t="e">
        <f>'Model-BS'!#REF!</f>
        <v>#REF!</v>
      </c>
      <c r="AJ28" s="35" t="e">
        <f>'Model-BS'!M29</f>
        <v>#REF!</v>
      </c>
      <c r="AK28" s="35" t="e">
        <f>'Model-BS'!#REF!</f>
        <v>#REF!</v>
      </c>
      <c r="AL28" s="35" t="e">
        <f>'Model-BS'!#REF!</f>
        <v>#REF!</v>
      </c>
      <c r="AM28" s="35" t="e">
        <f>'Model-BS'!#REF!</f>
        <v>#REF!</v>
      </c>
      <c r="AN28" s="35" t="e">
        <f>'Model-BS'!#REF!</f>
        <v>#REF!</v>
      </c>
      <c r="AO28" s="35" t="e">
        <f>'Model-BS'!#REF!</f>
        <v>#REF!</v>
      </c>
      <c r="AP28" s="35" t="e">
        <f>'Model-BS'!#REF!</f>
        <v>#REF!</v>
      </c>
      <c r="AQ28" s="35" t="e">
        <f>'Model-BS'!N29</f>
        <v>#REF!</v>
      </c>
      <c r="AR28" s="35" t="e">
        <f>'Model-BS'!#REF!</f>
        <v>#REF!</v>
      </c>
      <c r="AS28" s="35" t="e">
        <f>'Model-BS'!#REF!</f>
        <v>#REF!</v>
      </c>
      <c r="AT28" s="35" t="e">
        <f>'Model-BS'!#REF!</f>
        <v>#REF!</v>
      </c>
      <c r="AU28" s="35" t="e">
        <f>'Model-BS'!#REF!</f>
        <v>#REF!</v>
      </c>
      <c r="AV28" s="35" t="e">
        <f>'Model-BS'!#REF!</f>
        <v>#REF!</v>
      </c>
      <c r="AW28" s="35" t="e">
        <f>'Model-BS'!#REF!</f>
        <v>#REF!</v>
      </c>
      <c r="AX28" s="35" t="e">
        <f>'Model-BS'!O29</f>
        <v>#REF!</v>
      </c>
      <c r="AY28" s="35" t="e">
        <f>'Model-BS'!#REF!</f>
        <v>#REF!</v>
      </c>
      <c r="AZ28" s="35" t="e">
        <f>'Model-BS'!#REF!</f>
        <v>#REF!</v>
      </c>
      <c r="BA28" s="35" t="e">
        <f>'Model-BS'!#REF!</f>
        <v>#REF!</v>
      </c>
      <c r="BB28" s="35" t="e">
        <f>'Model-BS'!#REF!</f>
        <v>#REF!</v>
      </c>
      <c r="BC28" s="35" t="e">
        <f>'Model-BS'!#REF!</f>
        <v>#REF!</v>
      </c>
      <c r="BD28" s="35" t="e">
        <f>'Model-BS'!#REF!</f>
        <v>#REF!</v>
      </c>
      <c r="BE28" s="35" t="e">
        <f>'Model-BS'!P29</f>
        <v>#REF!</v>
      </c>
      <c r="BF28" s="35" t="e">
        <f>'Model-BS'!#REF!</f>
        <v>#REF!</v>
      </c>
      <c r="BG28" s="35" t="e">
        <f>'Model-BS'!#REF!</f>
        <v>#REF!</v>
      </c>
      <c r="BH28" s="35" t="e">
        <f>'Model-BS'!#REF!</f>
        <v>#REF!</v>
      </c>
      <c r="BI28" s="35" t="e">
        <f>'Model-BS'!#REF!</f>
        <v>#REF!</v>
      </c>
      <c r="BJ28" s="35" t="e">
        <f>'Model-BS'!#REF!</f>
        <v>#REF!</v>
      </c>
      <c r="BK28" s="35" t="e">
        <f>'Model-BS'!#REF!</f>
        <v>#REF!</v>
      </c>
      <c r="BL28" s="35" t="e">
        <f>'Model-BS'!Q29</f>
        <v>#REF!</v>
      </c>
      <c r="BM28" s="35" t="e">
        <f>'Model-BS'!R29</f>
        <v>#REF!</v>
      </c>
      <c r="BN28" s="35" t="e">
        <f>'Model-BS'!S29</f>
        <v>#REF!</v>
      </c>
      <c r="BO28" s="35" t="e">
        <f>'Model-BS'!T29</f>
        <v>#REF!</v>
      </c>
      <c r="BP28" s="35" t="e">
        <f>'Model-BS'!U29</f>
        <v>#REF!</v>
      </c>
      <c r="BQ28" s="35" t="e">
        <f>'Model-BS'!AB29</f>
        <v>#REF!</v>
      </c>
      <c r="BR28" s="35" t="e">
        <f>'Model-BS'!AI29</f>
        <v>#REF!</v>
      </c>
      <c r="BS28" s="35" t="e">
        <f>'Model-BS'!AP29</f>
        <v>#REF!</v>
      </c>
      <c r="BT28" s="35" t="e">
        <f>'Model-BS'!AW29</f>
        <v>#REF!</v>
      </c>
      <c r="BU28" s="35" t="e">
        <f>'Model-BS'!BD29</f>
        <v>#REF!</v>
      </c>
      <c r="BV28" s="35" t="e">
        <f>'Model-BS'!BK29</f>
        <v>#REF!</v>
      </c>
      <c r="BW28" s="35" t="e">
        <f>'Model-BS'!BL29</f>
        <v>#REF!</v>
      </c>
      <c r="BX28" s="35" t="e">
        <f>'Model-BS'!BM29</f>
        <v>#REF!</v>
      </c>
      <c r="BY28" s="35" t="e">
        <f>'Model-BS'!BN29</f>
        <v>#REF!</v>
      </c>
      <c r="BZ28" s="35" t="e">
        <f>'Model-BS'!BO29</f>
        <v>#REF!</v>
      </c>
    </row>
    <row r="29" spans="2:78" s="39" customFormat="1">
      <c r="B29" s="48" t="s">
        <v>28</v>
      </c>
      <c r="C29" s="48"/>
      <c r="D29" s="48">
        <f>[70]Model!I56</f>
        <v>0</v>
      </c>
      <c r="E29" s="48" t="e">
        <f>'Model-BS'!F31</f>
        <v>#REF!</v>
      </c>
      <c r="F29" s="48" t="e">
        <f>'Model-BS'!G31</f>
        <v>#REF!</v>
      </c>
      <c r="G29" s="48" t="e">
        <f>'Model-BS'!H31</f>
        <v>#REF!</v>
      </c>
      <c r="H29" s="48" t="e">
        <f>'Model-BS'!I31</f>
        <v>#REF!</v>
      </c>
      <c r="I29" s="48" t="e">
        <f>'Model-BS'!#REF!</f>
        <v>#REF!</v>
      </c>
      <c r="J29" s="48" t="e">
        <f>'Model-BS'!#REF!</f>
        <v>#REF!</v>
      </c>
      <c r="K29" s="48" t="e">
        <f>'Model-BS'!#REF!</f>
        <v>#REF!</v>
      </c>
      <c r="L29" s="48" t="e">
        <f>'Model-BS'!#REF!</f>
        <v>#REF!</v>
      </c>
      <c r="M29" s="48" t="e">
        <f>'Model-BS'!#REF!</f>
        <v>#REF!</v>
      </c>
      <c r="N29" s="48" t="e">
        <f>'Model-BS'!#REF!</f>
        <v>#REF!</v>
      </c>
      <c r="O29" s="48" t="e">
        <f>'Model-BS'!J31</f>
        <v>#REF!</v>
      </c>
      <c r="P29" s="48" t="e">
        <f>'Model-BS'!#REF!</f>
        <v>#REF!</v>
      </c>
      <c r="Q29" s="48" t="e">
        <f>'Model-BS'!#REF!</f>
        <v>#REF!</v>
      </c>
      <c r="R29" s="48" t="e">
        <f>'Model-BS'!#REF!</f>
        <v>#REF!</v>
      </c>
      <c r="S29" s="48" t="e">
        <f>'Model-BS'!#REF!</f>
        <v>#REF!</v>
      </c>
      <c r="T29" s="48" t="e">
        <f>'Model-BS'!#REF!</f>
        <v>#REF!</v>
      </c>
      <c r="U29" s="48" t="e">
        <f>'Model-BS'!#REF!</f>
        <v>#REF!</v>
      </c>
      <c r="V29" s="48" t="e">
        <f>'Model-BS'!K31</f>
        <v>#REF!</v>
      </c>
      <c r="W29" s="48" t="e">
        <f>'Model-BS'!#REF!</f>
        <v>#REF!</v>
      </c>
      <c r="X29" s="48" t="e">
        <f>'Model-BS'!#REF!</f>
        <v>#REF!</v>
      </c>
      <c r="Y29" s="48" t="e">
        <f>'Model-BS'!#REF!</f>
        <v>#REF!</v>
      </c>
      <c r="Z29" s="48" t="e">
        <f>'Model-BS'!#REF!</f>
        <v>#REF!</v>
      </c>
      <c r="AA29" s="48" t="e">
        <f>'Model-BS'!#REF!</f>
        <v>#REF!</v>
      </c>
      <c r="AB29" s="48" t="e">
        <f>'Model-BS'!#REF!</f>
        <v>#REF!</v>
      </c>
      <c r="AC29" s="48" t="e">
        <f>'Model-BS'!L31</f>
        <v>#REF!</v>
      </c>
      <c r="AD29" s="48" t="e">
        <f>'Model-BS'!#REF!</f>
        <v>#REF!</v>
      </c>
      <c r="AE29" s="48" t="e">
        <f>'Model-BS'!#REF!</f>
        <v>#REF!</v>
      </c>
      <c r="AF29" s="48" t="e">
        <f>'Model-BS'!#REF!</f>
        <v>#REF!</v>
      </c>
      <c r="AG29" s="48" t="e">
        <f>'Model-BS'!#REF!</f>
        <v>#REF!</v>
      </c>
      <c r="AH29" s="48" t="e">
        <f>'Model-BS'!#REF!</f>
        <v>#REF!</v>
      </c>
      <c r="AI29" s="48" t="e">
        <f>'Model-BS'!#REF!</f>
        <v>#REF!</v>
      </c>
      <c r="AJ29" s="48" t="e">
        <f>'Model-BS'!M31</f>
        <v>#REF!</v>
      </c>
      <c r="AK29" s="48" t="e">
        <f>'Model-BS'!#REF!</f>
        <v>#REF!</v>
      </c>
      <c r="AL29" s="48" t="e">
        <f>'Model-BS'!#REF!</f>
        <v>#REF!</v>
      </c>
      <c r="AM29" s="48" t="e">
        <f>'Model-BS'!#REF!</f>
        <v>#REF!</v>
      </c>
      <c r="AN29" s="48" t="e">
        <f>'Model-BS'!#REF!</f>
        <v>#REF!</v>
      </c>
      <c r="AO29" s="48" t="e">
        <f>'Model-BS'!#REF!</f>
        <v>#REF!</v>
      </c>
      <c r="AP29" s="48" t="e">
        <f>'Model-BS'!#REF!</f>
        <v>#REF!</v>
      </c>
      <c r="AQ29" s="48" t="e">
        <f>'Model-BS'!N31</f>
        <v>#REF!</v>
      </c>
      <c r="AR29" s="48" t="e">
        <f>'Model-BS'!#REF!</f>
        <v>#REF!</v>
      </c>
      <c r="AS29" s="48" t="e">
        <f>'Model-BS'!#REF!</f>
        <v>#REF!</v>
      </c>
      <c r="AT29" s="48" t="e">
        <f>'Model-BS'!#REF!</f>
        <v>#REF!</v>
      </c>
      <c r="AU29" s="48" t="e">
        <f>'Model-BS'!#REF!</f>
        <v>#REF!</v>
      </c>
      <c r="AV29" s="48" t="e">
        <f>'Model-BS'!#REF!</f>
        <v>#REF!</v>
      </c>
      <c r="AW29" s="48" t="e">
        <f>'Model-BS'!#REF!</f>
        <v>#REF!</v>
      </c>
      <c r="AX29" s="48" t="e">
        <f>'Model-BS'!O31</f>
        <v>#REF!</v>
      </c>
      <c r="AY29" s="48" t="e">
        <f>'Model-BS'!#REF!</f>
        <v>#REF!</v>
      </c>
      <c r="AZ29" s="48" t="e">
        <f>'Model-BS'!#REF!</f>
        <v>#REF!</v>
      </c>
      <c r="BA29" s="48" t="e">
        <f>'Model-BS'!#REF!</f>
        <v>#REF!</v>
      </c>
      <c r="BB29" s="48" t="e">
        <f>'Model-BS'!#REF!</f>
        <v>#REF!</v>
      </c>
      <c r="BC29" s="48" t="e">
        <f>'Model-BS'!#REF!</f>
        <v>#REF!</v>
      </c>
      <c r="BD29" s="48" t="e">
        <f>'Model-BS'!#REF!</f>
        <v>#REF!</v>
      </c>
      <c r="BE29" s="48" t="e">
        <f>'Model-BS'!P31</f>
        <v>#REF!</v>
      </c>
      <c r="BF29" s="48" t="e">
        <f>'Model-BS'!#REF!</f>
        <v>#REF!</v>
      </c>
      <c r="BG29" s="48" t="e">
        <f>'Model-BS'!#REF!</f>
        <v>#REF!</v>
      </c>
      <c r="BH29" s="48" t="e">
        <f>'Model-BS'!#REF!</f>
        <v>#REF!</v>
      </c>
      <c r="BI29" s="48" t="e">
        <f>'Model-BS'!#REF!</f>
        <v>#REF!</v>
      </c>
      <c r="BJ29" s="48" t="e">
        <f>'Model-BS'!#REF!</f>
        <v>#REF!</v>
      </c>
      <c r="BK29" s="48" t="e">
        <f>'Model-BS'!#REF!</f>
        <v>#REF!</v>
      </c>
      <c r="BL29" s="48" t="e">
        <f>'Model-BS'!Q31</f>
        <v>#REF!</v>
      </c>
      <c r="BM29" s="48" t="e">
        <f>'Model-BS'!R31</f>
        <v>#REF!</v>
      </c>
      <c r="BN29" s="48" t="e">
        <f>'Model-BS'!S31</f>
        <v>#REF!</v>
      </c>
      <c r="BO29" s="48" t="e">
        <f>'Model-BS'!T31</f>
        <v>#REF!</v>
      </c>
      <c r="BP29" s="48" t="e">
        <f>'Model-BS'!U31</f>
        <v>#REF!</v>
      </c>
      <c r="BQ29" s="48" t="e">
        <f>'Model-BS'!AB31</f>
        <v>#REF!</v>
      </c>
      <c r="BR29" s="48" t="e">
        <f>'Model-BS'!AI31</f>
        <v>#REF!</v>
      </c>
      <c r="BS29" s="48" t="e">
        <f>'Model-BS'!AP31</f>
        <v>#REF!</v>
      </c>
      <c r="BT29" s="48" t="e">
        <f>'Model-BS'!AW31</f>
        <v>#REF!</v>
      </c>
      <c r="BU29" s="48" t="e">
        <f>'Model-BS'!BD31</f>
        <v>#REF!</v>
      </c>
      <c r="BV29" s="48" t="e">
        <f>'Model-BS'!BK31</f>
        <v>#REF!</v>
      </c>
      <c r="BW29" s="48" t="e">
        <f>'Model-BS'!BL31</f>
        <v>#REF!</v>
      </c>
      <c r="BX29" s="48" t="e">
        <f>'Model-BS'!BM31</f>
        <v>#REF!</v>
      </c>
      <c r="BY29" s="48" t="e">
        <f>'Model-BS'!BN31</f>
        <v>#REF!</v>
      </c>
      <c r="BZ29" s="48" t="e">
        <f>'Model-BS'!BO31</f>
        <v>#REF!</v>
      </c>
    </row>
    <row r="30" spans="2:78">
      <c r="B30" s="33" t="s">
        <v>22</v>
      </c>
      <c r="C30" s="33"/>
      <c r="D30" s="43" t="e">
        <f>[70]Model!I57</f>
        <v>#DIV/0!</v>
      </c>
      <c r="E30" s="43" t="e">
        <f>'Model-BS'!F32</f>
        <v>#REF!</v>
      </c>
      <c r="F30" s="43" t="e">
        <f>'Model-BS'!G32</f>
        <v>#REF!</v>
      </c>
      <c r="G30" s="43" t="e">
        <f>'Model-BS'!H32</f>
        <v>#REF!</v>
      </c>
      <c r="H30" s="43" t="e">
        <f>'Model-BS'!I32</f>
        <v>#REF!</v>
      </c>
      <c r="I30" s="43" t="e">
        <f>'Model-BS'!#REF!</f>
        <v>#REF!</v>
      </c>
      <c r="J30" s="43" t="e">
        <f>'Model-BS'!#REF!</f>
        <v>#REF!</v>
      </c>
      <c r="K30" s="43" t="e">
        <f>'Model-BS'!#REF!</f>
        <v>#REF!</v>
      </c>
      <c r="L30" s="43" t="e">
        <f>'Model-BS'!#REF!</f>
        <v>#REF!</v>
      </c>
      <c r="M30" s="43" t="e">
        <f>'Model-BS'!#REF!</f>
        <v>#REF!</v>
      </c>
      <c r="N30" s="43" t="e">
        <f>'Model-BS'!#REF!</f>
        <v>#REF!</v>
      </c>
      <c r="O30" s="43" t="e">
        <f>'Model-BS'!J32</f>
        <v>#REF!</v>
      </c>
      <c r="P30" s="43" t="e">
        <f>'Model-BS'!#REF!</f>
        <v>#REF!</v>
      </c>
      <c r="Q30" s="43" t="e">
        <f>'Model-BS'!#REF!</f>
        <v>#REF!</v>
      </c>
      <c r="R30" s="43" t="e">
        <f>'Model-BS'!#REF!</f>
        <v>#REF!</v>
      </c>
      <c r="S30" s="43" t="e">
        <f>'Model-BS'!#REF!</f>
        <v>#REF!</v>
      </c>
      <c r="T30" s="43" t="e">
        <f>'Model-BS'!#REF!</f>
        <v>#REF!</v>
      </c>
      <c r="U30" s="43" t="e">
        <f>'Model-BS'!#REF!</f>
        <v>#REF!</v>
      </c>
      <c r="V30" s="43" t="e">
        <f>'Model-BS'!K32</f>
        <v>#REF!</v>
      </c>
      <c r="W30" s="43" t="e">
        <f>'Model-BS'!#REF!</f>
        <v>#REF!</v>
      </c>
      <c r="X30" s="43" t="e">
        <f>'Model-BS'!#REF!</f>
        <v>#REF!</v>
      </c>
      <c r="Y30" s="43" t="e">
        <f>'Model-BS'!#REF!</f>
        <v>#REF!</v>
      </c>
      <c r="Z30" s="43" t="e">
        <f>'Model-BS'!#REF!</f>
        <v>#REF!</v>
      </c>
      <c r="AA30" s="43" t="e">
        <f>'Model-BS'!#REF!</f>
        <v>#REF!</v>
      </c>
      <c r="AB30" s="43" t="e">
        <f>'Model-BS'!#REF!</f>
        <v>#REF!</v>
      </c>
      <c r="AC30" s="43" t="e">
        <f>'Model-BS'!L32</f>
        <v>#REF!</v>
      </c>
      <c r="AD30" s="43" t="e">
        <f>'Model-BS'!#REF!</f>
        <v>#REF!</v>
      </c>
      <c r="AE30" s="43" t="e">
        <f>'Model-BS'!#REF!</f>
        <v>#REF!</v>
      </c>
      <c r="AF30" s="43" t="e">
        <f>'Model-BS'!#REF!</f>
        <v>#REF!</v>
      </c>
      <c r="AG30" s="43" t="e">
        <f>'Model-BS'!#REF!</f>
        <v>#REF!</v>
      </c>
      <c r="AH30" s="43" t="e">
        <f>'Model-BS'!#REF!</f>
        <v>#REF!</v>
      </c>
      <c r="AI30" s="43" t="e">
        <f>'Model-BS'!#REF!</f>
        <v>#REF!</v>
      </c>
      <c r="AJ30" s="43" t="e">
        <f>'Model-BS'!M32</f>
        <v>#REF!</v>
      </c>
      <c r="AK30" s="43" t="e">
        <f>'Model-BS'!#REF!</f>
        <v>#REF!</v>
      </c>
      <c r="AL30" s="43" t="e">
        <f>'Model-BS'!#REF!</f>
        <v>#REF!</v>
      </c>
      <c r="AM30" s="43" t="e">
        <f>'Model-BS'!#REF!</f>
        <v>#REF!</v>
      </c>
      <c r="AN30" s="43" t="e">
        <f>'Model-BS'!#REF!</f>
        <v>#REF!</v>
      </c>
      <c r="AO30" s="43" t="e">
        <f>'Model-BS'!#REF!</f>
        <v>#REF!</v>
      </c>
      <c r="AP30" s="43" t="e">
        <f>'Model-BS'!#REF!</f>
        <v>#REF!</v>
      </c>
      <c r="AQ30" s="43" t="e">
        <f>'Model-BS'!N32</f>
        <v>#REF!</v>
      </c>
      <c r="AR30" s="43" t="e">
        <f>'Model-BS'!#REF!</f>
        <v>#REF!</v>
      </c>
      <c r="AS30" s="43" t="e">
        <f>'Model-BS'!#REF!</f>
        <v>#REF!</v>
      </c>
      <c r="AT30" s="43" t="e">
        <f>'Model-BS'!#REF!</f>
        <v>#REF!</v>
      </c>
      <c r="AU30" s="43" t="e">
        <f>'Model-BS'!#REF!</f>
        <v>#REF!</v>
      </c>
      <c r="AV30" s="43" t="e">
        <f>'Model-BS'!#REF!</f>
        <v>#REF!</v>
      </c>
      <c r="AW30" s="43" t="e">
        <f>'Model-BS'!#REF!</f>
        <v>#REF!</v>
      </c>
      <c r="AX30" s="43" t="e">
        <f>'Model-BS'!O32</f>
        <v>#REF!</v>
      </c>
      <c r="AY30" s="43" t="e">
        <f>'Model-BS'!#REF!</f>
        <v>#REF!</v>
      </c>
      <c r="AZ30" s="43" t="e">
        <f>'Model-BS'!#REF!</f>
        <v>#REF!</v>
      </c>
      <c r="BA30" s="43" t="e">
        <f>'Model-BS'!#REF!</f>
        <v>#REF!</v>
      </c>
      <c r="BB30" s="43" t="e">
        <f>'Model-BS'!#REF!</f>
        <v>#REF!</v>
      </c>
      <c r="BC30" s="43" t="e">
        <f>'Model-BS'!#REF!</f>
        <v>#REF!</v>
      </c>
      <c r="BD30" s="43" t="e">
        <f>'Model-BS'!#REF!</f>
        <v>#REF!</v>
      </c>
      <c r="BE30" s="43" t="e">
        <f>'Model-BS'!P32</f>
        <v>#REF!</v>
      </c>
      <c r="BF30" s="43" t="e">
        <f>'Model-BS'!#REF!</f>
        <v>#REF!</v>
      </c>
      <c r="BG30" s="43" t="e">
        <f>'Model-BS'!#REF!</f>
        <v>#REF!</v>
      </c>
      <c r="BH30" s="43" t="e">
        <f>'Model-BS'!#REF!</f>
        <v>#REF!</v>
      </c>
      <c r="BI30" s="43" t="e">
        <f>'Model-BS'!#REF!</f>
        <v>#REF!</v>
      </c>
      <c r="BJ30" s="43" t="e">
        <f>'Model-BS'!#REF!</f>
        <v>#REF!</v>
      </c>
      <c r="BK30" s="43" t="e">
        <f>'Model-BS'!#REF!</f>
        <v>#REF!</v>
      </c>
      <c r="BL30" s="43" t="e">
        <f>'Model-BS'!Q32</f>
        <v>#REF!</v>
      </c>
      <c r="BM30" s="43" t="e">
        <f>'Model-BS'!R32</f>
        <v>#REF!</v>
      </c>
      <c r="BN30" s="43" t="e">
        <f>'Model-BS'!S32</f>
        <v>#REF!</v>
      </c>
      <c r="BO30" s="43" t="e">
        <f>'Model-BS'!T32</f>
        <v>#REF!</v>
      </c>
      <c r="BP30" s="43" t="e">
        <f>'Model-BS'!U32</f>
        <v>#REF!</v>
      </c>
      <c r="BQ30" s="43" t="e">
        <f>'Model-BS'!AB32</f>
        <v>#REF!</v>
      </c>
      <c r="BR30" s="43" t="e">
        <f>'Model-BS'!AI32</f>
        <v>#REF!</v>
      </c>
      <c r="BS30" s="43" t="e">
        <f>'Model-BS'!AP32</f>
        <v>#REF!</v>
      </c>
      <c r="BT30" s="43" t="e">
        <f>'Model-BS'!AW32</f>
        <v>#REF!</v>
      </c>
      <c r="BU30" s="43" t="e">
        <f>'Model-BS'!BD32</f>
        <v>#REF!</v>
      </c>
      <c r="BV30" s="43" t="e">
        <f>'Model-BS'!BK32</f>
        <v>#REF!</v>
      </c>
      <c r="BW30" s="43" t="e">
        <f>'Model-BS'!BL32</f>
        <v>#REF!</v>
      </c>
      <c r="BX30" s="43" t="e">
        <f>'Model-BS'!BM32</f>
        <v>#REF!</v>
      </c>
      <c r="BY30" s="43" t="e">
        <f>'Model-BS'!BN32</f>
        <v>#REF!</v>
      </c>
      <c r="BZ30" s="43" t="e">
        <f>'Model-BS'!BO32</f>
        <v>#REF!</v>
      </c>
    </row>
    <row r="31" spans="2:78" s="31" customFormat="1" hidden="1" outlineLevel="2">
      <c r="B31" s="35" t="s">
        <v>29</v>
      </c>
      <c r="C31" s="35"/>
      <c r="D31" s="35">
        <f>[70]Model!I66</f>
        <v>0</v>
      </c>
      <c r="E31" s="35" t="e">
        <f>'Model-BS'!F34</f>
        <v>#REF!</v>
      </c>
      <c r="F31" s="35" t="e">
        <f>'Model-BS'!G34</f>
        <v>#REF!</v>
      </c>
      <c r="G31" s="35" t="e">
        <f>'Model-BS'!H34</f>
        <v>#REF!</v>
      </c>
      <c r="H31" s="35" t="e">
        <f>'Model-BS'!I34</f>
        <v>#REF!</v>
      </c>
      <c r="I31" s="35" t="e">
        <f>'Model-BS'!#REF!</f>
        <v>#REF!</v>
      </c>
      <c r="J31" s="35" t="e">
        <f>'Model-BS'!#REF!</f>
        <v>#REF!</v>
      </c>
      <c r="K31" s="35" t="e">
        <f>'Model-BS'!#REF!</f>
        <v>#REF!</v>
      </c>
      <c r="L31" s="35" t="e">
        <f>'Model-BS'!#REF!</f>
        <v>#REF!</v>
      </c>
      <c r="M31" s="35" t="e">
        <f>'Model-BS'!#REF!</f>
        <v>#REF!</v>
      </c>
      <c r="N31" s="35" t="e">
        <f>'Model-BS'!#REF!</f>
        <v>#REF!</v>
      </c>
      <c r="O31" s="35" t="e">
        <f>'Model-BS'!J34</f>
        <v>#REF!</v>
      </c>
      <c r="P31" s="35" t="e">
        <f>'Model-BS'!#REF!</f>
        <v>#REF!</v>
      </c>
      <c r="Q31" s="35" t="e">
        <f>'Model-BS'!#REF!</f>
        <v>#REF!</v>
      </c>
      <c r="R31" s="35" t="e">
        <f>'Model-BS'!#REF!</f>
        <v>#REF!</v>
      </c>
      <c r="S31" s="35" t="e">
        <f>'Model-BS'!#REF!</f>
        <v>#REF!</v>
      </c>
      <c r="T31" s="35" t="e">
        <f>'Model-BS'!#REF!</f>
        <v>#REF!</v>
      </c>
      <c r="U31" s="35" t="e">
        <f>'Model-BS'!#REF!</f>
        <v>#REF!</v>
      </c>
      <c r="V31" s="35" t="e">
        <f>'Model-BS'!K34</f>
        <v>#REF!</v>
      </c>
      <c r="W31" s="35" t="e">
        <f>'Model-BS'!#REF!</f>
        <v>#REF!</v>
      </c>
      <c r="X31" s="35" t="e">
        <f>'Model-BS'!#REF!</f>
        <v>#REF!</v>
      </c>
      <c r="Y31" s="35" t="e">
        <f>'Model-BS'!#REF!</f>
        <v>#REF!</v>
      </c>
      <c r="Z31" s="35" t="e">
        <f>'Model-BS'!#REF!</f>
        <v>#REF!</v>
      </c>
      <c r="AA31" s="35" t="e">
        <f>'Model-BS'!#REF!</f>
        <v>#REF!</v>
      </c>
      <c r="AB31" s="35" t="e">
        <f>'Model-BS'!#REF!</f>
        <v>#REF!</v>
      </c>
      <c r="AC31" s="35" t="e">
        <f>'Model-BS'!L34</f>
        <v>#REF!</v>
      </c>
      <c r="AD31" s="35" t="e">
        <f>'Model-BS'!#REF!</f>
        <v>#REF!</v>
      </c>
      <c r="AE31" s="35" t="e">
        <f>'Model-BS'!#REF!</f>
        <v>#REF!</v>
      </c>
      <c r="AF31" s="35" t="e">
        <f>'Model-BS'!#REF!</f>
        <v>#REF!</v>
      </c>
      <c r="AG31" s="35" t="e">
        <f>'Model-BS'!#REF!</f>
        <v>#REF!</v>
      </c>
      <c r="AH31" s="35" t="e">
        <f>'Model-BS'!#REF!</f>
        <v>#REF!</v>
      </c>
      <c r="AI31" s="35" t="e">
        <f>'Model-BS'!#REF!</f>
        <v>#REF!</v>
      </c>
      <c r="AJ31" s="35" t="e">
        <f>'Model-BS'!M34</f>
        <v>#REF!</v>
      </c>
      <c r="AK31" s="35" t="e">
        <f>'Model-BS'!#REF!</f>
        <v>#REF!</v>
      </c>
      <c r="AL31" s="35" t="e">
        <f>'Model-BS'!#REF!</f>
        <v>#REF!</v>
      </c>
      <c r="AM31" s="35" t="e">
        <f>'Model-BS'!#REF!</f>
        <v>#REF!</v>
      </c>
      <c r="AN31" s="35" t="e">
        <f>'Model-BS'!#REF!</f>
        <v>#REF!</v>
      </c>
      <c r="AO31" s="35" t="e">
        <f>'Model-BS'!#REF!</f>
        <v>#REF!</v>
      </c>
      <c r="AP31" s="35" t="e">
        <f>'Model-BS'!#REF!</f>
        <v>#REF!</v>
      </c>
      <c r="AQ31" s="35" t="e">
        <f>'Model-BS'!N34</f>
        <v>#REF!</v>
      </c>
      <c r="AR31" s="35" t="e">
        <f>'Model-BS'!#REF!</f>
        <v>#REF!</v>
      </c>
      <c r="AS31" s="35" t="e">
        <f>'Model-BS'!#REF!</f>
        <v>#REF!</v>
      </c>
      <c r="AT31" s="35" t="e">
        <f>'Model-BS'!#REF!</f>
        <v>#REF!</v>
      </c>
      <c r="AU31" s="35" t="e">
        <f>'Model-BS'!#REF!</f>
        <v>#REF!</v>
      </c>
      <c r="AV31" s="35" t="e">
        <f>'Model-BS'!#REF!</f>
        <v>#REF!</v>
      </c>
      <c r="AW31" s="35" t="e">
        <f>'Model-BS'!#REF!</f>
        <v>#REF!</v>
      </c>
      <c r="AX31" s="35" t="e">
        <f>'Model-BS'!O34</f>
        <v>#REF!</v>
      </c>
      <c r="AY31" s="35" t="e">
        <f>'Model-BS'!#REF!</f>
        <v>#REF!</v>
      </c>
      <c r="AZ31" s="35" t="e">
        <f>'Model-BS'!#REF!</f>
        <v>#REF!</v>
      </c>
      <c r="BA31" s="35" t="e">
        <f>'Model-BS'!#REF!</f>
        <v>#REF!</v>
      </c>
      <c r="BB31" s="35" t="e">
        <f>'Model-BS'!#REF!</f>
        <v>#REF!</v>
      </c>
      <c r="BC31" s="35" t="e">
        <f>'Model-BS'!#REF!</f>
        <v>#REF!</v>
      </c>
      <c r="BD31" s="35" t="e">
        <f>'Model-BS'!#REF!</f>
        <v>#REF!</v>
      </c>
      <c r="BE31" s="35" t="e">
        <f>'Model-BS'!P34</f>
        <v>#REF!</v>
      </c>
      <c r="BF31" s="35" t="e">
        <f>'Model-BS'!#REF!</f>
        <v>#REF!</v>
      </c>
      <c r="BG31" s="35" t="e">
        <f>'Model-BS'!#REF!</f>
        <v>#REF!</v>
      </c>
      <c r="BH31" s="35" t="e">
        <f>'Model-BS'!#REF!</f>
        <v>#REF!</v>
      </c>
      <c r="BI31" s="35" t="e">
        <f>'Model-BS'!#REF!</f>
        <v>#REF!</v>
      </c>
      <c r="BJ31" s="35" t="e">
        <f>'Model-BS'!#REF!</f>
        <v>#REF!</v>
      </c>
      <c r="BK31" s="35" t="e">
        <f>'Model-BS'!#REF!</f>
        <v>#REF!</v>
      </c>
      <c r="BL31" s="35" t="e">
        <f>'Model-BS'!Q34</f>
        <v>#REF!</v>
      </c>
      <c r="BM31" s="35" t="e">
        <f>'Model-BS'!R34</f>
        <v>#REF!</v>
      </c>
      <c r="BN31" s="35" t="e">
        <f>'Model-BS'!S34</f>
        <v>#REF!</v>
      </c>
      <c r="BO31" s="35" t="e">
        <f>'Model-BS'!T34</f>
        <v>#REF!</v>
      </c>
      <c r="BP31" s="35" t="e">
        <f>'Model-BS'!U34</f>
        <v>#REF!</v>
      </c>
      <c r="BQ31" s="35" t="e">
        <f>'Model-BS'!AB34</f>
        <v>#REF!</v>
      </c>
      <c r="BR31" s="35" t="e">
        <f>'Model-BS'!AI34</f>
        <v>#REF!</v>
      </c>
      <c r="BS31" s="35" t="e">
        <f>'Model-BS'!AP34</f>
        <v>#REF!</v>
      </c>
      <c r="BT31" s="35" t="e">
        <f>'Model-BS'!AW34</f>
        <v>#REF!</v>
      </c>
      <c r="BU31" s="35" t="e">
        <f>'Model-BS'!BD34</f>
        <v>#REF!</v>
      </c>
      <c r="BV31" s="35" t="e">
        <f>'Model-BS'!BK34</f>
        <v>#REF!</v>
      </c>
      <c r="BW31" s="35" t="e">
        <f>'Model-BS'!BL34</f>
        <v>#REF!</v>
      </c>
      <c r="BX31" s="35" t="e">
        <f>'Model-BS'!BM34</f>
        <v>#REF!</v>
      </c>
      <c r="BY31" s="35" t="e">
        <f>'Model-BS'!BN34</f>
        <v>#REF!</v>
      </c>
      <c r="BZ31" s="35" t="e">
        <f>'Model-BS'!BO34</f>
        <v>#REF!</v>
      </c>
    </row>
    <row r="32" spans="2:78" s="31" customFormat="1" hidden="1" outlineLevel="2">
      <c r="B32" s="49" t="s">
        <v>30</v>
      </c>
      <c r="C32" s="35"/>
      <c r="D32" s="35">
        <f>[70]Model!I67+[70]Model!I71</f>
        <v>0</v>
      </c>
      <c r="E32" s="35" t="e">
        <f>'Model-BS'!F45+'Model-BS'!F44</f>
        <v>#REF!</v>
      </c>
      <c r="F32" s="35" t="e">
        <f>'Model-BS'!G45+'Model-BS'!G44</f>
        <v>#REF!</v>
      </c>
      <c r="G32" s="35" t="e">
        <f>'Model-BS'!H45+'Model-BS'!H44</f>
        <v>#REF!</v>
      </c>
      <c r="H32" s="35" t="e">
        <f>'Model-BS'!I45+'Model-BS'!I44</f>
        <v>#REF!</v>
      </c>
      <c r="I32" s="35" t="e">
        <f>'Model-BS'!#REF!+'Model-BS'!#REF!</f>
        <v>#REF!</v>
      </c>
      <c r="J32" s="35" t="e">
        <f>'Model-BS'!#REF!+'Model-BS'!#REF!</f>
        <v>#REF!</v>
      </c>
      <c r="K32" s="35" t="e">
        <f>'Model-BS'!#REF!+'Model-BS'!#REF!</f>
        <v>#REF!</v>
      </c>
      <c r="L32" s="35" t="e">
        <f>'Model-BS'!#REF!+'Model-BS'!#REF!</f>
        <v>#REF!</v>
      </c>
      <c r="M32" s="35" t="e">
        <f>'Model-BS'!#REF!+'Model-BS'!#REF!</f>
        <v>#REF!</v>
      </c>
      <c r="N32" s="35" t="e">
        <f>'Model-BS'!#REF!+'Model-BS'!#REF!</f>
        <v>#REF!</v>
      </c>
      <c r="O32" s="35" t="e">
        <f>'Model-BS'!J45+'Model-BS'!J44</f>
        <v>#REF!</v>
      </c>
      <c r="P32" s="35" t="e">
        <f>'Model-BS'!#REF!+'Model-BS'!#REF!</f>
        <v>#REF!</v>
      </c>
      <c r="Q32" s="35" t="e">
        <f>'Model-BS'!#REF!+'Model-BS'!#REF!</f>
        <v>#REF!</v>
      </c>
      <c r="R32" s="35" t="e">
        <f>'Model-BS'!#REF!+'Model-BS'!#REF!</f>
        <v>#REF!</v>
      </c>
      <c r="S32" s="35" t="e">
        <f>'Model-BS'!#REF!+'Model-BS'!#REF!</f>
        <v>#REF!</v>
      </c>
      <c r="T32" s="35" t="e">
        <f>'Model-BS'!#REF!+'Model-BS'!#REF!</f>
        <v>#REF!</v>
      </c>
      <c r="U32" s="35" t="e">
        <f>'Model-BS'!#REF!+'Model-BS'!#REF!</f>
        <v>#REF!</v>
      </c>
      <c r="V32" s="35" t="e">
        <f>'Model-BS'!K45+'Model-BS'!K44</f>
        <v>#REF!</v>
      </c>
      <c r="W32" s="35" t="e">
        <f>'Model-BS'!#REF!+'Model-BS'!#REF!</f>
        <v>#REF!</v>
      </c>
      <c r="X32" s="35" t="e">
        <f>'Model-BS'!#REF!+'Model-BS'!#REF!</f>
        <v>#REF!</v>
      </c>
      <c r="Y32" s="35" t="e">
        <f>'Model-BS'!#REF!+'Model-BS'!#REF!</f>
        <v>#REF!</v>
      </c>
      <c r="Z32" s="35" t="e">
        <f>'Model-BS'!#REF!+'Model-BS'!#REF!</f>
        <v>#REF!</v>
      </c>
      <c r="AA32" s="35" t="e">
        <f>'Model-BS'!#REF!+'Model-BS'!#REF!</f>
        <v>#REF!</v>
      </c>
      <c r="AB32" s="35" t="e">
        <f>'Model-BS'!#REF!+'Model-BS'!#REF!</f>
        <v>#REF!</v>
      </c>
      <c r="AC32" s="35" t="e">
        <f>'Model-BS'!L45+'Model-BS'!L44</f>
        <v>#REF!</v>
      </c>
      <c r="AD32" s="35" t="e">
        <f>'Model-BS'!#REF!+'Model-BS'!#REF!</f>
        <v>#REF!</v>
      </c>
      <c r="AE32" s="35" t="e">
        <f>'Model-BS'!#REF!+'Model-BS'!#REF!</f>
        <v>#REF!</v>
      </c>
      <c r="AF32" s="35" t="e">
        <f>'Model-BS'!#REF!+'Model-BS'!#REF!</f>
        <v>#REF!</v>
      </c>
      <c r="AG32" s="35" t="e">
        <f>'Model-BS'!#REF!+'Model-BS'!#REF!</f>
        <v>#REF!</v>
      </c>
      <c r="AH32" s="35" t="e">
        <f>'Model-BS'!#REF!+'Model-BS'!#REF!</f>
        <v>#REF!</v>
      </c>
      <c r="AI32" s="35" t="e">
        <f>'Model-BS'!#REF!+'Model-BS'!#REF!</f>
        <v>#REF!</v>
      </c>
      <c r="AJ32" s="35" t="e">
        <f>'Model-BS'!M45+'Model-BS'!M44</f>
        <v>#REF!</v>
      </c>
      <c r="AK32" s="35" t="e">
        <f>'Model-BS'!#REF!+'Model-BS'!#REF!</f>
        <v>#REF!</v>
      </c>
      <c r="AL32" s="35" t="e">
        <f>'Model-BS'!#REF!+'Model-BS'!#REF!</f>
        <v>#REF!</v>
      </c>
      <c r="AM32" s="35" t="e">
        <f>'Model-BS'!#REF!+'Model-BS'!#REF!</f>
        <v>#REF!</v>
      </c>
      <c r="AN32" s="35" t="e">
        <f>'Model-BS'!#REF!+'Model-BS'!#REF!</f>
        <v>#REF!</v>
      </c>
      <c r="AO32" s="35" t="e">
        <f>'Model-BS'!#REF!+'Model-BS'!#REF!</f>
        <v>#REF!</v>
      </c>
      <c r="AP32" s="35" t="e">
        <f>'Model-BS'!#REF!+'Model-BS'!#REF!</f>
        <v>#REF!</v>
      </c>
      <c r="AQ32" s="35" t="e">
        <f>'Model-BS'!N45+'Model-BS'!N44</f>
        <v>#REF!</v>
      </c>
      <c r="AR32" s="35" t="e">
        <f>'Model-BS'!#REF!+'Model-BS'!#REF!</f>
        <v>#REF!</v>
      </c>
      <c r="AS32" s="35" t="e">
        <f>'Model-BS'!#REF!+'Model-BS'!#REF!</f>
        <v>#REF!</v>
      </c>
      <c r="AT32" s="35" t="e">
        <f>'Model-BS'!#REF!+'Model-BS'!#REF!</f>
        <v>#REF!</v>
      </c>
      <c r="AU32" s="35" t="e">
        <f>'Model-BS'!#REF!+'Model-BS'!#REF!</f>
        <v>#REF!</v>
      </c>
      <c r="AV32" s="35" t="e">
        <f>'Model-BS'!#REF!+'Model-BS'!#REF!</f>
        <v>#REF!</v>
      </c>
      <c r="AW32" s="35" t="e">
        <f>'Model-BS'!#REF!+'Model-BS'!#REF!</f>
        <v>#REF!</v>
      </c>
      <c r="AX32" s="35" t="e">
        <f>'Model-BS'!O45+'Model-BS'!O44</f>
        <v>#REF!</v>
      </c>
      <c r="AY32" s="35" t="e">
        <f>'Model-BS'!#REF!+'Model-BS'!#REF!</f>
        <v>#REF!</v>
      </c>
      <c r="AZ32" s="35" t="e">
        <f>'Model-BS'!#REF!+'Model-BS'!#REF!</f>
        <v>#REF!</v>
      </c>
      <c r="BA32" s="35" t="e">
        <f>'Model-BS'!#REF!+'Model-BS'!#REF!</f>
        <v>#REF!</v>
      </c>
      <c r="BB32" s="35" t="e">
        <f>'Model-BS'!#REF!+'Model-BS'!#REF!</f>
        <v>#REF!</v>
      </c>
      <c r="BC32" s="35" t="e">
        <f>'Model-BS'!#REF!+'Model-BS'!#REF!</f>
        <v>#REF!</v>
      </c>
      <c r="BD32" s="35" t="e">
        <f>'Model-BS'!#REF!+'Model-BS'!#REF!</f>
        <v>#REF!</v>
      </c>
      <c r="BE32" s="35" t="e">
        <f>'Model-BS'!P45+'Model-BS'!P44</f>
        <v>#REF!</v>
      </c>
      <c r="BF32" s="35" t="e">
        <f>'Model-BS'!#REF!+'Model-BS'!#REF!</f>
        <v>#REF!</v>
      </c>
      <c r="BG32" s="35" t="e">
        <f>'Model-BS'!#REF!+'Model-BS'!#REF!</f>
        <v>#REF!</v>
      </c>
      <c r="BH32" s="35" t="e">
        <f>'Model-BS'!#REF!+'Model-BS'!#REF!</f>
        <v>#REF!</v>
      </c>
      <c r="BI32" s="35" t="e">
        <f>'Model-BS'!#REF!+'Model-BS'!#REF!</f>
        <v>#REF!</v>
      </c>
      <c r="BJ32" s="35" t="e">
        <f>'Model-BS'!#REF!+'Model-BS'!#REF!</f>
        <v>#REF!</v>
      </c>
      <c r="BK32" s="35" t="e">
        <f>'Model-BS'!#REF!+'Model-BS'!#REF!</f>
        <v>#REF!</v>
      </c>
      <c r="BL32" s="35" t="e">
        <f>'Model-BS'!Q45+'Model-BS'!Q44</f>
        <v>#REF!</v>
      </c>
      <c r="BM32" s="35" t="e">
        <f>'Model-BS'!R45+'Model-BS'!R44</f>
        <v>#REF!</v>
      </c>
      <c r="BN32" s="35" t="e">
        <f>'Model-BS'!S45+'Model-BS'!S44</f>
        <v>#REF!</v>
      </c>
      <c r="BO32" s="35" t="e">
        <f>'Model-BS'!T45+'Model-BS'!T44</f>
        <v>#REF!</v>
      </c>
      <c r="BP32" s="35" t="e">
        <f>'Model-BS'!U45+'Model-BS'!U44</f>
        <v>#REF!</v>
      </c>
      <c r="BQ32" s="35" t="e">
        <f>'Model-BS'!AB45+'Model-BS'!AB44</f>
        <v>#REF!</v>
      </c>
      <c r="BR32" s="35" t="e">
        <f>'Model-BS'!AI45+'Model-BS'!AI44</f>
        <v>#REF!</v>
      </c>
      <c r="BS32" s="35" t="e">
        <f>'Model-BS'!AP45+'Model-BS'!AP44</f>
        <v>#REF!</v>
      </c>
      <c r="BT32" s="35" t="e">
        <f>'Model-BS'!AW45+'Model-BS'!AW44</f>
        <v>#REF!</v>
      </c>
      <c r="BU32" s="35" t="e">
        <f>'Model-BS'!BD45+'Model-BS'!BD44</f>
        <v>#REF!</v>
      </c>
      <c r="BV32" s="35" t="e">
        <f>'Model-BS'!BK45+'Model-BS'!BK44</f>
        <v>#REF!</v>
      </c>
      <c r="BW32" s="35" t="e">
        <f>'Model-BS'!BL45+'Model-BS'!BL44</f>
        <v>#REF!</v>
      </c>
      <c r="BX32" s="35" t="e">
        <f>'Model-BS'!BM45+'Model-BS'!BM44</f>
        <v>#REF!</v>
      </c>
      <c r="BY32" s="35" t="e">
        <f>'Model-BS'!BN45+'Model-BS'!BN44</f>
        <v>#REF!</v>
      </c>
      <c r="BZ32" s="35" t="e">
        <f>'Model-BS'!BO45+'Model-BS'!BO44</f>
        <v>#REF!</v>
      </c>
    </row>
    <row r="33" spans="2:78" s="31" customFormat="1" hidden="1" outlineLevel="2">
      <c r="B33" s="35" t="s">
        <v>31</v>
      </c>
      <c r="C33" s="35"/>
      <c r="D33" s="35">
        <f>[70]Model!I72</f>
        <v>0</v>
      </c>
      <c r="E33" s="35" t="e">
        <f>'Model-BS'!F51</f>
        <v>#REF!</v>
      </c>
      <c r="F33" s="35" t="e">
        <f>'Model-BS'!G51</f>
        <v>#REF!</v>
      </c>
      <c r="G33" s="35" t="e">
        <f>'Model-BS'!H51</f>
        <v>#REF!</v>
      </c>
      <c r="H33" s="35" t="e">
        <f>'Model-BS'!I51</f>
        <v>#REF!</v>
      </c>
      <c r="I33" s="35" t="e">
        <f>'Model-BS'!#REF!</f>
        <v>#REF!</v>
      </c>
      <c r="J33" s="35" t="e">
        <f>'Model-BS'!#REF!</f>
        <v>#REF!</v>
      </c>
      <c r="K33" s="35" t="e">
        <f>'Model-BS'!#REF!</f>
        <v>#REF!</v>
      </c>
      <c r="L33" s="35" t="e">
        <f>'Model-BS'!#REF!</f>
        <v>#REF!</v>
      </c>
      <c r="M33" s="35" t="e">
        <f>'Model-BS'!#REF!</f>
        <v>#REF!</v>
      </c>
      <c r="N33" s="35" t="e">
        <f>'Model-BS'!#REF!</f>
        <v>#REF!</v>
      </c>
      <c r="O33" s="35" t="e">
        <f>'Model-BS'!J51</f>
        <v>#REF!</v>
      </c>
      <c r="P33" s="35" t="e">
        <f>'Model-BS'!#REF!</f>
        <v>#REF!</v>
      </c>
      <c r="Q33" s="35" t="e">
        <f>'Model-BS'!#REF!</f>
        <v>#REF!</v>
      </c>
      <c r="R33" s="35" t="e">
        <f>'Model-BS'!#REF!</f>
        <v>#REF!</v>
      </c>
      <c r="S33" s="35" t="e">
        <f>'Model-BS'!#REF!</f>
        <v>#REF!</v>
      </c>
      <c r="T33" s="35" t="e">
        <f>'Model-BS'!#REF!</f>
        <v>#REF!</v>
      </c>
      <c r="U33" s="35" t="e">
        <f>'Model-BS'!#REF!</f>
        <v>#REF!</v>
      </c>
      <c r="V33" s="35" t="e">
        <f>'Model-BS'!K51</f>
        <v>#REF!</v>
      </c>
      <c r="W33" s="35" t="e">
        <f>'Model-BS'!#REF!</f>
        <v>#REF!</v>
      </c>
      <c r="X33" s="35" t="e">
        <f>'Model-BS'!#REF!</f>
        <v>#REF!</v>
      </c>
      <c r="Y33" s="35" t="e">
        <f>'Model-BS'!#REF!</f>
        <v>#REF!</v>
      </c>
      <c r="Z33" s="35" t="e">
        <f>'Model-BS'!#REF!</f>
        <v>#REF!</v>
      </c>
      <c r="AA33" s="35" t="e">
        <f>'Model-BS'!#REF!</f>
        <v>#REF!</v>
      </c>
      <c r="AB33" s="35" t="e">
        <f>'Model-BS'!#REF!</f>
        <v>#REF!</v>
      </c>
      <c r="AC33" s="35" t="e">
        <f>'Model-BS'!L51</f>
        <v>#REF!</v>
      </c>
      <c r="AD33" s="35" t="e">
        <f>'Model-BS'!#REF!</f>
        <v>#REF!</v>
      </c>
      <c r="AE33" s="35" t="e">
        <f>'Model-BS'!#REF!</f>
        <v>#REF!</v>
      </c>
      <c r="AF33" s="35" t="e">
        <f>'Model-BS'!#REF!</f>
        <v>#REF!</v>
      </c>
      <c r="AG33" s="35" t="e">
        <f>'Model-BS'!#REF!</f>
        <v>#REF!</v>
      </c>
      <c r="AH33" s="35" t="e">
        <f>'Model-BS'!#REF!</f>
        <v>#REF!</v>
      </c>
      <c r="AI33" s="35" t="e">
        <f>'Model-BS'!#REF!</f>
        <v>#REF!</v>
      </c>
      <c r="AJ33" s="35" t="e">
        <f>'Model-BS'!M51</f>
        <v>#REF!</v>
      </c>
      <c r="AK33" s="35" t="e">
        <f>'Model-BS'!#REF!</f>
        <v>#REF!</v>
      </c>
      <c r="AL33" s="35" t="e">
        <f>'Model-BS'!#REF!</f>
        <v>#REF!</v>
      </c>
      <c r="AM33" s="35" t="e">
        <f>'Model-BS'!#REF!</f>
        <v>#REF!</v>
      </c>
      <c r="AN33" s="35" t="e">
        <f>'Model-BS'!#REF!</f>
        <v>#REF!</v>
      </c>
      <c r="AO33" s="35" t="e">
        <f>'Model-BS'!#REF!</f>
        <v>#REF!</v>
      </c>
      <c r="AP33" s="35" t="e">
        <f>'Model-BS'!#REF!</f>
        <v>#REF!</v>
      </c>
      <c r="AQ33" s="35" t="e">
        <f>'Model-BS'!N51</f>
        <v>#REF!</v>
      </c>
      <c r="AR33" s="35" t="e">
        <f>'Model-BS'!#REF!</f>
        <v>#REF!</v>
      </c>
      <c r="AS33" s="35" t="e">
        <f>'Model-BS'!#REF!</f>
        <v>#REF!</v>
      </c>
      <c r="AT33" s="35" t="e">
        <f>'Model-BS'!#REF!</f>
        <v>#REF!</v>
      </c>
      <c r="AU33" s="35" t="e">
        <f>'Model-BS'!#REF!</f>
        <v>#REF!</v>
      </c>
      <c r="AV33" s="35" t="e">
        <f>'Model-BS'!#REF!</f>
        <v>#REF!</v>
      </c>
      <c r="AW33" s="35" t="e">
        <f>'Model-BS'!#REF!</f>
        <v>#REF!</v>
      </c>
      <c r="AX33" s="35" t="e">
        <f>'Model-BS'!O51</f>
        <v>#REF!</v>
      </c>
      <c r="AY33" s="35" t="e">
        <f>'Model-BS'!#REF!</f>
        <v>#REF!</v>
      </c>
      <c r="AZ33" s="35" t="e">
        <f>'Model-BS'!#REF!</f>
        <v>#REF!</v>
      </c>
      <c r="BA33" s="35" t="e">
        <f>'Model-BS'!#REF!</f>
        <v>#REF!</v>
      </c>
      <c r="BB33" s="35" t="e">
        <f>'Model-BS'!#REF!</f>
        <v>#REF!</v>
      </c>
      <c r="BC33" s="35" t="e">
        <f>'Model-BS'!#REF!</f>
        <v>#REF!</v>
      </c>
      <c r="BD33" s="35" t="e">
        <f>'Model-BS'!#REF!</f>
        <v>#REF!</v>
      </c>
      <c r="BE33" s="35" t="e">
        <f>'Model-BS'!P51</f>
        <v>#REF!</v>
      </c>
      <c r="BF33" s="35" t="e">
        <f>'Model-BS'!#REF!</f>
        <v>#REF!</v>
      </c>
      <c r="BG33" s="35" t="e">
        <f>'Model-BS'!#REF!</f>
        <v>#REF!</v>
      </c>
      <c r="BH33" s="35" t="e">
        <f>'Model-BS'!#REF!</f>
        <v>#REF!</v>
      </c>
      <c r="BI33" s="35" t="e">
        <f>'Model-BS'!#REF!</f>
        <v>#REF!</v>
      </c>
      <c r="BJ33" s="35" t="e">
        <f>'Model-BS'!#REF!</f>
        <v>#REF!</v>
      </c>
      <c r="BK33" s="35" t="e">
        <f>'Model-BS'!#REF!</f>
        <v>#REF!</v>
      </c>
      <c r="BL33" s="35" t="e">
        <f>'Model-BS'!Q51</f>
        <v>#REF!</v>
      </c>
      <c r="BM33" s="35" t="e">
        <f>'Model-BS'!R51</f>
        <v>#REF!</v>
      </c>
      <c r="BN33" s="35" t="e">
        <f>'Model-BS'!S51</f>
        <v>#REF!</v>
      </c>
      <c r="BO33" s="35" t="e">
        <f>'Model-BS'!T51</f>
        <v>#REF!</v>
      </c>
      <c r="BP33" s="35" t="e">
        <f>'Model-BS'!U51</f>
        <v>#REF!</v>
      </c>
      <c r="BQ33" s="35" t="e">
        <f>'Model-BS'!AB51</f>
        <v>#REF!</v>
      </c>
      <c r="BR33" s="35" t="e">
        <f>'Model-BS'!AI51</f>
        <v>#REF!</v>
      </c>
      <c r="BS33" s="35" t="e">
        <f>'Model-BS'!AP51</f>
        <v>#REF!</v>
      </c>
      <c r="BT33" s="35" t="e">
        <f>'Model-BS'!AW51</f>
        <v>#REF!</v>
      </c>
      <c r="BU33" s="35" t="e">
        <f>'Model-BS'!BD51</f>
        <v>#REF!</v>
      </c>
      <c r="BV33" s="35" t="e">
        <f>'Model-BS'!BK51</f>
        <v>#REF!</v>
      </c>
      <c r="BW33" s="35" t="e">
        <f>'Model-BS'!BL51</f>
        <v>#REF!</v>
      </c>
      <c r="BX33" s="35" t="e">
        <f>'Model-BS'!BM51</f>
        <v>#REF!</v>
      </c>
      <c r="BY33" s="35" t="e">
        <f>'Model-BS'!BN51</f>
        <v>#REF!</v>
      </c>
      <c r="BZ33" s="35" t="e">
        <f>'Model-BS'!BO51</f>
        <v>#REF!</v>
      </c>
    </row>
    <row r="34" spans="2:78" s="31" customFormat="1" collapsed="1">
      <c r="B34" s="50" t="s">
        <v>32</v>
      </c>
      <c r="C34" s="50"/>
      <c r="D34" s="50">
        <f>[70]Model!I73</f>
        <v>0</v>
      </c>
      <c r="E34" s="50" t="e">
        <f>'Model-BS'!F54</f>
        <v>#REF!</v>
      </c>
      <c r="F34" s="50" t="e">
        <f>'Model-BS'!G54</f>
        <v>#REF!</v>
      </c>
      <c r="G34" s="50" t="e">
        <f>'Model-BS'!H54</f>
        <v>#REF!</v>
      </c>
      <c r="H34" s="50" t="e">
        <f>'Model-BS'!I54</f>
        <v>#REF!</v>
      </c>
      <c r="I34" s="50" t="e">
        <f>'Model-BS'!#REF!</f>
        <v>#REF!</v>
      </c>
      <c r="J34" s="50" t="e">
        <f>'Model-BS'!#REF!</f>
        <v>#REF!</v>
      </c>
      <c r="K34" s="50" t="e">
        <f>'Model-BS'!#REF!</f>
        <v>#REF!</v>
      </c>
      <c r="L34" s="50" t="e">
        <f>'Model-BS'!#REF!</f>
        <v>#REF!</v>
      </c>
      <c r="M34" s="50" t="e">
        <f>'Model-BS'!#REF!</f>
        <v>#REF!</v>
      </c>
      <c r="N34" s="50" t="e">
        <f>'Model-BS'!#REF!</f>
        <v>#REF!</v>
      </c>
      <c r="O34" s="50" t="e">
        <f>'Model-BS'!J54</f>
        <v>#REF!</v>
      </c>
      <c r="P34" s="50" t="e">
        <f>'Model-BS'!#REF!</f>
        <v>#REF!</v>
      </c>
      <c r="Q34" s="50" t="e">
        <f>'Model-BS'!#REF!</f>
        <v>#REF!</v>
      </c>
      <c r="R34" s="50" t="e">
        <f>'Model-BS'!#REF!</f>
        <v>#REF!</v>
      </c>
      <c r="S34" s="50" t="e">
        <f>'Model-BS'!#REF!</f>
        <v>#REF!</v>
      </c>
      <c r="T34" s="50" t="e">
        <f>'Model-BS'!#REF!</f>
        <v>#REF!</v>
      </c>
      <c r="U34" s="50" t="e">
        <f>'Model-BS'!#REF!</f>
        <v>#REF!</v>
      </c>
      <c r="V34" s="50" t="e">
        <f>'Model-BS'!K54</f>
        <v>#REF!</v>
      </c>
      <c r="W34" s="50" t="e">
        <f>'Model-BS'!#REF!</f>
        <v>#REF!</v>
      </c>
      <c r="X34" s="50" t="e">
        <f>'Model-BS'!#REF!</f>
        <v>#REF!</v>
      </c>
      <c r="Y34" s="50" t="e">
        <f>'Model-BS'!#REF!</f>
        <v>#REF!</v>
      </c>
      <c r="Z34" s="50" t="e">
        <f>'Model-BS'!#REF!</f>
        <v>#REF!</v>
      </c>
      <c r="AA34" s="50" t="e">
        <f>'Model-BS'!#REF!</f>
        <v>#REF!</v>
      </c>
      <c r="AB34" s="50" t="e">
        <f>'Model-BS'!#REF!</f>
        <v>#REF!</v>
      </c>
      <c r="AC34" s="50" t="e">
        <f>'Model-BS'!L54</f>
        <v>#REF!</v>
      </c>
      <c r="AD34" s="50" t="e">
        <f>'Model-BS'!#REF!</f>
        <v>#REF!</v>
      </c>
      <c r="AE34" s="50" t="e">
        <f>'Model-BS'!#REF!</f>
        <v>#REF!</v>
      </c>
      <c r="AF34" s="50" t="e">
        <f>'Model-BS'!#REF!</f>
        <v>#REF!</v>
      </c>
      <c r="AG34" s="50" t="e">
        <f>'Model-BS'!#REF!</f>
        <v>#REF!</v>
      </c>
      <c r="AH34" s="50" t="e">
        <f>'Model-BS'!#REF!</f>
        <v>#REF!</v>
      </c>
      <c r="AI34" s="50" t="e">
        <f>'Model-BS'!#REF!</f>
        <v>#REF!</v>
      </c>
      <c r="AJ34" s="50" t="e">
        <f>'Model-BS'!M54</f>
        <v>#REF!</v>
      </c>
      <c r="AK34" s="50" t="e">
        <f>'Model-BS'!#REF!</f>
        <v>#REF!</v>
      </c>
      <c r="AL34" s="50" t="e">
        <f>'Model-BS'!#REF!</f>
        <v>#REF!</v>
      </c>
      <c r="AM34" s="50" t="e">
        <f>'Model-BS'!#REF!</f>
        <v>#REF!</v>
      </c>
      <c r="AN34" s="50" t="e">
        <f>'Model-BS'!#REF!</f>
        <v>#REF!</v>
      </c>
      <c r="AO34" s="50" t="e">
        <f>'Model-BS'!#REF!</f>
        <v>#REF!</v>
      </c>
      <c r="AP34" s="50" t="e">
        <f>'Model-BS'!#REF!</f>
        <v>#REF!</v>
      </c>
      <c r="AQ34" s="50" t="e">
        <f>'Model-BS'!N54</f>
        <v>#REF!</v>
      </c>
      <c r="AR34" s="50" t="e">
        <f>'Model-BS'!#REF!</f>
        <v>#REF!</v>
      </c>
      <c r="AS34" s="50" t="e">
        <f>'Model-BS'!#REF!</f>
        <v>#REF!</v>
      </c>
      <c r="AT34" s="50" t="e">
        <f>'Model-BS'!#REF!</f>
        <v>#REF!</v>
      </c>
      <c r="AU34" s="50" t="e">
        <f>'Model-BS'!#REF!</f>
        <v>#REF!</v>
      </c>
      <c r="AV34" s="50" t="e">
        <f>'Model-BS'!#REF!</f>
        <v>#REF!</v>
      </c>
      <c r="AW34" s="50" t="e">
        <f>'Model-BS'!#REF!</f>
        <v>#REF!</v>
      </c>
      <c r="AX34" s="50" t="e">
        <f>'Model-BS'!O54</f>
        <v>#REF!</v>
      </c>
      <c r="AY34" s="50" t="e">
        <f>'Model-BS'!#REF!</f>
        <v>#REF!</v>
      </c>
      <c r="AZ34" s="50" t="e">
        <f>'Model-BS'!#REF!</f>
        <v>#REF!</v>
      </c>
      <c r="BA34" s="50" t="e">
        <f>'Model-BS'!#REF!</f>
        <v>#REF!</v>
      </c>
      <c r="BB34" s="50" t="e">
        <f>'Model-BS'!#REF!</f>
        <v>#REF!</v>
      </c>
      <c r="BC34" s="50" t="e">
        <f>'Model-BS'!#REF!</f>
        <v>#REF!</v>
      </c>
      <c r="BD34" s="50" t="e">
        <f>'Model-BS'!#REF!</f>
        <v>#REF!</v>
      </c>
      <c r="BE34" s="50" t="e">
        <f>'Model-BS'!P54</f>
        <v>#REF!</v>
      </c>
      <c r="BF34" s="50" t="e">
        <f>'Model-BS'!#REF!</f>
        <v>#REF!</v>
      </c>
      <c r="BG34" s="50" t="e">
        <f>'Model-BS'!#REF!</f>
        <v>#REF!</v>
      </c>
      <c r="BH34" s="50" t="e">
        <f>'Model-BS'!#REF!</f>
        <v>#REF!</v>
      </c>
      <c r="BI34" s="50" t="e">
        <f>'Model-BS'!#REF!</f>
        <v>#REF!</v>
      </c>
      <c r="BJ34" s="50" t="e">
        <f>'Model-BS'!#REF!</f>
        <v>#REF!</v>
      </c>
      <c r="BK34" s="50" t="e">
        <f>'Model-BS'!#REF!</f>
        <v>#REF!</v>
      </c>
      <c r="BL34" s="50" t="e">
        <f>'Model-BS'!Q54</f>
        <v>#REF!</v>
      </c>
      <c r="BM34" s="50" t="e">
        <f>'Model-BS'!R54</f>
        <v>#REF!</v>
      </c>
      <c r="BN34" s="50" t="e">
        <f>'Model-BS'!S54</f>
        <v>#REF!</v>
      </c>
      <c r="BO34" s="50" t="e">
        <f>'Model-BS'!T54</f>
        <v>#REF!</v>
      </c>
      <c r="BP34" s="50" t="e">
        <f>'Model-BS'!U54</f>
        <v>#REF!</v>
      </c>
      <c r="BQ34" s="50" t="e">
        <f>'Model-BS'!AB54</f>
        <v>#REF!</v>
      </c>
      <c r="BR34" s="50" t="e">
        <f>'Model-BS'!AI54</f>
        <v>#REF!</v>
      </c>
      <c r="BS34" s="50" t="e">
        <f>'Model-BS'!AP54</f>
        <v>#REF!</v>
      </c>
      <c r="BT34" s="50" t="e">
        <f>'Model-BS'!AW54</f>
        <v>#REF!</v>
      </c>
      <c r="BU34" s="50" t="e">
        <f>'Model-BS'!BD54</f>
        <v>#REF!</v>
      </c>
      <c r="BV34" s="50" t="e">
        <f>'Model-BS'!BK54</f>
        <v>#REF!</v>
      </c>
      <c r="BW34" s="50" t="e">
        <f>'Model-BS'!BL54</f>
        <v>#REF!</v>
      </c>
      <c r="BX34" s="50" t="e">
        <f>'Model-BS'!BM54</f>
        <v>#REF!</v>
      </c>
      <c r="BY34" s="50" t="e">
        <f>'Model-BS'!BN54</f>
        <v>#REF!</v>
      </c>
      <c r="BZ34" s="50" t="e">
        <f>'Model-BS'!BO54</f>
        <v>#REF!</v>
      </c>
    </row>
    <row r="35" spans="2:78" s="31" customFormat="1">
      <c r="B35" s="35" t="s">
        <v>33</v>
      </c>
      <c r="C35" s="35"/>
      <c r="D35" s="35">
        <f>[70]Model!I74</f>
        <v>0</v>
      </c>
      <c r="E35" s="35" t="e">
        <f>'Model-BS'!F55</f>
        <v>#REF!</v>
      </c>
      <c r="F35" s="35" t="e">
        <f>'Model-BS'!G55</f>
        <v>#REF!</v>
      </c>
      <c r="G35" s="35" t="e">
        <f>'Model-BS'!H55</f>
        <v>#REF!</v>
      </c>
      <c r="H35" s="35" t="e">
        <f>'Model-BS'!I55</f>
        <v>#REF!</v>
      </c>
      <c r="I35" s="35" t="e">
        <f>'Model-BS'!#REF!</f>
        <v>#REF!</v>
      </c>
      <c r="J35" s="35" t="e">
        <f>'Model-BS'!#REF!</f>
        <v>#REF!</v>
      </c>
      <c r="K35" s="35" t="e">
        <f>'Model-BS'!#REF!</f>
        <v>#REF!</v>
      </c>
      <c r="L35" s="35" t="e">
        <f>'Model-BS'!#REF!</f>
        <v>#REF!</v>
      </c>
      <c r="M35" s="35" t="e">
        <f>'Model-BS'!#REF!</f>
        <v>#REF!</v>
      </c>
      <c r="N35" s="35" t="e">
        <f>'Model-BS'!#REF!</f>
        <v>#REF!</v>
      </c>
      <c r="O35" s="35" t="e">
        <f>'Model-BS'!J55</f>
        <v>#REF!</v>
      </c>
      <c r="P35" s="35" t="e">
        <f>'Model-BS'!#REF!</f>
        <v>#REF!</v>
      </c>
      <c r="Q35" s="35" t="e">
        <f>'Model-BS'!#REF!</f>
        <v>#REF!</v>
      </c>
      <c r="R35" s="35" t="e">
        <f>'Model-BS'!#REF!</f>
        <v>#REF!</v>
      </c>
      <c r="S35" s="35" t="e">
        <f>'Model-BS'!#REF!</f>
        <v>#REF!</v>
      </c>
      <c r="T35" s="35" t="e">
        <f>'Model-BS'!#REF!</f>
        <v>#REF!</v>
      </c>
      <c r="U35" s="35" t="e">
        <f>'Model-BS'!#REF!</f>
        <v>#REF!</v>
      </c>
      <c r="V35" s="35" t="e">
        <f>'Model-BS'!K55</f>
        <v>#REF!</v>
      </c>
      <c r="W35" s="35" t="e">
        <f>'Model-BS'!#REF!</f>
        <v>#REF!</v>
      </c>
      <c r="X35" s="35" t="e">
        <f>'Model-BS'!#REF!</f>
        <v>#REF!</v>
      </c>
      <c r="Y35" s="35" t="e">
        <f>'Model-BS'!#REF!</f>
        <v>#REF!</v>
      </c>
      <c r="Z35" s="35" t="e">
        <f>'Model-BS'!#REF!</f>
        <v>#REF!</v>
      </c>
      <c r="AA35" s="35" t="e">
        <f>'Model-BS'!#REF!</f>
        <v>#REF!</v>
      </c>
      <c r="AB35" s="35" t="e">
        <f>'Model-BS'!#REF!</f>
        <v>#REF!</v>
      </c>
      <c r="AC35" s="35" t="e">
        <f>'Model-BS'!L55</f>
        <v>#REF!</v>
      </c>
      <c r="AD35" s="35" t="e">
        <f>'Model-BS'!#REF!</f>
        <v>#REF!</v>
      </c>
      <c r="AE35" s="35" t="e">
        <f>'Model-BS'!#REF!</f>
        <v>#REF!</v>
      </c>
      <c r="AF35" s="35" t="e">
        <f>'Model-BS'!#REF!</f>
        <v>#REF!</v>
      </c>
      <c r="AG35" s="35" t="e">
        <f>'Model-BS'!#REF!</f>
        <v>#REF!</v>
      </c>
      <c r="AH35" s="35" t="e">
        <f>'Model-BS'!#REF!</f>
        <v>#REF!</v>
      </c>
      <c r="AI35" s="35" t="e">
        <f>'Model-BS'!#REF!</f>
        <v>#REF!</v>
      </c>
      <c r="AJ35" s="35" t="e">
        <f>'Model-BS'!M55</f>
        <v>#REF!</v>
      </c>
      <c r="AK35" s="35" t="e">
        <f>'Model-BS'!#REF!</f>
        <v>#REF!</v>
      </c>
      <c r="AL35" s="35" t="e">
        <f>'Model-BS'!#REF!</f>
        <v>#REF!</v>
      </c>
      <c r="AM35" s="35" t="e">
        <f>'Model-BS'!#REF!</f>
        <v>#REF!</v>
      </c>
      <c r="AN35" s="35" t="e">
        <f>'Model-BS'!#REF!</f>
        <v>#REF!</v>
      </c>
      <c r="AO35" s="35" t="e">
        <f>'Model-BS'!#REF!</f>
        <v>#REF!</v>
      </c>
      <c r="AP35" s="35" t="e">
        <f>'Model-BS'!#REF!</f>
        <v>#REF!</v>
      </c>
      <c r="AQ35" s="35" t="e">
        <f>'Model-BS'!N55</f>
        <v>#REF!</v>
      </c>
      <c r="AR35" s="35" t="e">
        <f>'Model-BS'!#REF!</f>
        <v>#REF!</v>
      </c>
      <c r="AS35" s="35" t="e">
        <f>'Model-BS'!#REF!</f>
        <v>#REF!</v>
      </c>
      <c r="AT35" s="35" t="e">
        <f>'Model-BS'!#REF!</f>
        <v>#REF!</v>
      </c>
      <c r="AU35" s="35" t="e">
        <f>'Model-BS'!#REF!</f>
        <v>#REF!</v>
      </c>
      <c r="AV35" s="35" t="e">
        <f>'Model-BS'!#REF!</f>
        <v>#REF!</v>
      </c>
      <c r="AW35" s="35" t="e">
        <f>'Model-BS'!#REF!</f>
        <v>#REF!</v>
      </c>
      <c r="AX35" s="35" t="e">
        <f>'Model-BS'!O55</f>
        <v>#REF!</v>
      </c>
      <c r="AY35" s="35" t="e">
        <f>'Model-BS'!#REF!</f>
        <v>#REF!</v>
      </c>
      <c r="AZ35" s="35" t="e">
        <f>'Model-BS'!#REF!</f>
        <v>#REF!</v>
      </c>
      <c r="BA35" s="35" t="e">
        <f>'Model-BS'!#REF!</f>
        <v>#REF!</v>
      </c>
      <c r="BB35" s="35" t="e">
        <f>'Model-BS'!#REF!</f>
        <v>#REF!</v>
      </c>
      <c r="BC35" s="35" t="e">
        <f>'Model-BS'!#REF!</f>
        <v>#REF!</v>
      </c>
      <c r="BD35" s="35" t="e">
        <f>'Model-BS'!#REF!</f>
        <v>#REF!</v>
      </c>
      <c r="BE35" s="35" t="e">
        <f>'Model-BS'!P55</f>
        <v>#REF!</v>
      </c>
      <c r="BF35" s="35" t="e">
        <f>'Model-BS'!#REF!</f>
        <v>#REF!</v>
      </c>
      <c r="BG35" s="35" t="e">
        <f>'Model-BS'!#REF!</f>
        <v>#REF!</v>
      </c>
      <c r="BH35" s="35" t="e">
        <f>'Model-BS'!#REF!</f>
        <v>#REF!</v>
      </c>
      <c r="BI35" s="35" t="e">
        <f>'Model-BS'!#REF!</f>
        <v>#REF!</v>
      </c>
      <c r="BJ35" s="35" t="e">
        <f>'Model-BS'!#REF!</f>
        <v>#REF!</v>
      </c>
      <c r="BK35" s="35" t="e">
        <f>'Model-BS'!#REF!</f>
        <v>#REF!</v>
      </c>
      <c r="BL35" s="35" t="e">
        <f>'Model-BS'!Q55</f>
        <v>#REF!</v>
      </c>
      <c r="BM35" s="35" t="e">
        <f>'Model-BS'!R55</f>
        <v>#REF!</v>
      </c>
      <c r="BN35" s="35" t="e">
        <f>'Model-BS'!S55</f>
        <v>#REF!</v>
      </c>
      <c r="BO35" s="35" t="e">
        <f>'Model-BS'!T55</f>
        <v>#REF!</v>
      </c>
      <c r="BP35" s="35" t="e">
        <f>'Model-BS'!U55</f>
        <v>#REF!</v>
      </c>
      <c r="BQ35" s="35" t="e">
        <f>'Model-BS'!AB55</f>
        <v>#REF!</v>
      </c>
      <c r="BR35" s="35" t="e">
        <f>'Model-BS'!AI55</f>
        <v>#REF!</v>
      </c>
      <c r="BS35" s="35" t="e">
        <f>'Model-BS'!AP55</f>
        <v>#REF!</v>
      </c>
      <c r="BT35" s="35" t="e">
        <f>'Model-BS'!AW55</f>
        <v>#REF!</v>
      </c>
      <c r="BU35" s="35" t="e">
        <f>'Model-BS'!BD55</f>
        <v>#REF!</v>
      </c>
      <c r="BV35" s="35" t="e">
        <f>'Model-BS'!BK55</f>
        <v>#REF!</v>
      </c>
      <c r="BW35" s="35" t="e">
        <f>'Model-BS'!BL55</f>
        <v>#REF!</v>
      </c>
      <c r="BX35" s="35" t="e">
        <f>'Model-BS'!BM55</f>
        <v>#REF!</v>
      </c>
      <c r="BY35" s="35" t="e">
        <f>'Model-BS'!BN55</f>
        <v>#REF!</v>
      </c>
      <c r="BZ35" s="35" t="e">
        <f>'Model-BS'!BO55</f>
        <v>#REF!</v>
      </c>
    </row>
    <row r="36" spans="2:78">
      <c r="B36" s="44" t="s">
        <v>34</v>
      </c>
      <c r="C36" s="44"/>
      <c r="D36" s="46" t="e">
        <f>[70]Model!I75</f>
        <v>#DIV/0!</v>
      </c>
      <c r="E36" s="46" t="e">
        <f>'Model-BS'!F56</f>
        <v>#REF!</v>
      </c>
      <c r="F36" s="46" t="e">
        <f>'Model-BS'!G56</f>
        <v>#REF!</v>
      </c>
      <c r="G36" s="46" t="e">
        <f>'Model-BS'!H56</f>
        <v>#REF!</v>
      </c>
      <c r="H36" s="46" t="e">
        <f>'Model-BS'!I56</f>
        <v>#REF!</v>
      </c>
      <c r="I36" s="46" t="e">
        <f>'Model-BS'!#REF!</f>
        <v>#REF!</v>
      </c>
      <c r="J36" s="46" t="e">
        <f>'Model-BS'!#REF!</f>
        <v>#REF!</v>
      </c>
      <c r="K36" s="46" t="e">
        <f>'Model-BS'!#REF!</f>
        <v>#REF!</v>
      </c>
      <c r="L36" s="46" t="e">
        <f>'Model-BS'!#REF!</f>
        <v>#REF!</v>
      </c>
      <c r="M36" s="46" t="e">
        <f>'Model-BS'!#REF!</f>
        <v>#REF!</v>
      </c>
      <c r="N36" s="46" t="e">
        <f>'Model-BS'!#REF!</f>
        <v>#REF!</v>
      </c>
      <c r="O36" s="46" t="e">
        <f>'Model-BS'!J56</f>
        <v>#REF!</v>
      </c>
      <c r="P36" s="46" t="e">
        <f>'Model-BS'!#REF!</f>
        <v>#REF!</v>
      </c>
      <c r="Q36" s="46" t="e">
        <f>'Model-BS'!#REF!</f>
        <v>#REF!</v>
      </c>
      <c r="R36" s="46" t="e">
        <f>'Model-BS'!#REF!</f>
        <v>#REF!</v>
      </c>
      <c r="S36" s="46" t="e">
        <f>'Model-BS'!#REF!</f>
        <v>#REF!</v>
      </c>
      <c r="T36" s="46" t="e">
        <f>'Model-BS'!#REF!</f>
        <v>#REF!</v>
      </c>
      <c r="U36" s="46" t="e">
        <f>'Model-BS'!#REF!</f>
        <v>#REF!</v>
      </c>
      <c r="V36" s="46" t="e">
        <f>'Model-BS'!K56</f>
        <v>#REF!</v>
      </c>
      <c r="W36" s="46" t="e">
        <f>'Model-BS'!#REF!</f>
        <v>#REF!</v>
      </c>
      <c r="X36" s="46" t="e">
        <f>'Model-BS'!#REF!</f>
        <v>#REF!</v>
      </c>
      <c r="Y36" s="46" t="e">
        <f>'Model-BS'!#REF!</f>
        <v>#REF!</v>
      </c>
      <c r="Z36" s="46" t="e">
        <f>'Model-BS'!#REF!</f>
        <v>#REF!</v>
      </c>
      <c r="AA36" s="46" t="e">
        <f>'Model-BS'!#REF!</f>
        <v>#REF!</v>
      </c>
      <c r="AB36" s="46" t="e">
        <f>'Model-BS'!#REF!</f>
        <v>#REF!</v>
      </c>
      <c r="AC36" s="46" t="e">
        <f>'Model-BS'!L56</f>
        <v>#REF!</v>
      </c>
      <c r="AD36" s="46" t="e">
        <f>'Model-BS'!#REF!</f>
        <v>#REF!</v>
      </c>
      <c r="AE36" s="46" t="e">
        <f>'Model-BS'!#REF!</f>
        <v>#REF!</v>
      </c>
      <c r="AF36" s="46" t="e">
        <f>'Model-BS'!#REF!</f>
        <v>#REF!</v>
      </c>
      <c r="AG36" s="46" t="e">
        <f>'Model-BS'!#REF!</f>
        <v>#REF!</v>
      </c>
      <c r="AH36" s="46" t="e">
        <f>'Model-BS'!#REF!</f>
        <v>#REF!</v>
      </c>
      <c r="AI36" s="46" t="e">
        <f>'Model-BS'!#REF!</f>
        <v>#REF!</v>
      </c>
      <c r="AJ36" s="46" t="e">
        <f>'Model-BS'!M56</f>
        <v>#REF!</v>
      </c>
      <c r="AK36" s="46" t="e">
        <f>'Model-BS'!#REF!</f>
        <v>#REF!</v>
      </c>
      <c r="AL36" s="46" t="e">
        <f>'Model-BS'!#REF!</f>
        <v>#REF!</v>
      </c>
      <c r="AM36" s="46" t="e">
        <f>'Model-BS'!#REF!</f>
        <v>#REF!</v>
      </c>
      <c r="AN36" s="46" t="e">
        <f>'Model-BS'!#REF!</f>
        <v>#REF!</v>
      </c>
      <c r="AO36" s="46" t="e">
        <f>'Model-BS'!#REF!</f>
        <v>#REF!</v>
      </c>
      <c r="AP36" s="46" t="e">
        <f>'Model-BS'!#REF!</f>
        <v>#REF!</v>
      </c>
      <c r="AQ36" s="46" t="e">
        <f>'Model-BS'!N56</f>
        <v>#REF!</v>
      </c>
      <c r="AR36" s="46" t="e">
        <f>'Model-BS'!#REF!</f>
        <v>#REF!</v>
      </c>
      <c r="AS36" s="46" t="e">
        <f>'Model-BS'!#REF!</f>
        <v>#REF!</v>
      </c>
      <c r="AT36" s="46" t="e">
        <f>'Model-BS'!#REF!</f>
        <v>#REF!</v>
      </c>
      <c r="AU36" s="46" t="e">
        <f>'Model-BS'!#REF!</f>
        <v>#REF!</v>
      </c>
      <c r="AV36" s="46" t="e">
        <f>'Model-BS'!#REF!</f>
        <v>#REF!</v>
      </c>
      <c r="AW36" s="46" t="e">
        <f>'Model-BS'!#REF!</f>
        <v>#REF!</v>
      </c>
      <c r="AX36" s="46" t="e">
        <f>'Model-BS'!O56</f>
        <v>#REF!</v>
      </c>
      <c r="AY36" s="46" t="e">
        <f>'Model-BS'!#REF!</f>
        <v>#REF!</v>
      </c>
      <c r="AZ36" s="46" t="e">
        <f>'Model-BS'!#REF!</f>
        <v>#REF!</v>
      </c>
      <c r="BA36" s="46" t="e">
        <f>'Model-BS'!#REF!</f>
        <v>#REF!</v>
      </c>
      <c r="BB36" s="46" t="e">
        <f>'Model-BS'!#REF!</f>
        <v>#REF!</v>
      </c>
      <c r="BC36" s="46" t="e">
        <f>'Model-BS'!#REF!</f>
        <v>#REF!</v>
      </c>
      <c r="BD36" s="46" t="e">
        <f>'Model-BS'!#REF!</f>
        <v>#REF!</v>
      </c>
      <c r="BE36" s="46" t="e">
        <f>'Model-BS'!P56</f>
        <v>#REF!</v>
      </c>
      <c r="BF36" s="46" t="e">
        <f>'Model-BS'!#REF!</f>
        <v>#REF!</v>
      </c>
      <c r="BG36" s="46" t="e">
        <f>'Model-BS'!#REF!</f>
        <v>#REF!</v>
      </c>
      <c r="BH36" s="46" t="e">
        <f>'Model-BS'!#REF!</f>
        <v>#REF!</v>
      </c>
      <c r="BI36" s="46" t="e">
        <f>'Model-BS'!#REF!</f>
        <v>#REF!</v>
      </c>
      <c r="BJ36" s="46" t="e">
        <f>'Model-BS'!#REF!</f>
        <v>#REF!</v>
      </c>
      <c r="BK36" s="46" t="e">
        <f>'Model-BS'!#REF!</f>
        <v>#REF!</v>
      </c>
      <c r="BL36" s="46" t="e">
        <f>'Model-BS'!Q56</f>
        <v>#REF!</v>
      </c>
      <c r="BM36" s="46" t="e">
        <f>'Model-BS'!R56</f>
        <v>#REF!</v>
      </c>
      <c r="BN36" s="46" t="e">
        <f>'Model-BS'!S56</f>
        <v>#REF!</v>
      </c>
      <c r="BO36" s="46" t="e">
        <f>'Model-BS'!T56</f>
        <v>#REF!</v>
      </c>
      <c r="BP36" s="46" t="e">
        <f>'Model-BS'!U56</f>
        <v>#REF!</v>
      </c>
      <c r="BQ36" s="46" t="e">
        <f>'Model-BS'!AB56</f>
        <v>#REF!</v>
      </c>
      <c r="BR36" s="46" t="e">
        <f>'Model-BS'!AI56</f>
        <v>#REF!</v>
      </c>
      <c r="BS36" s="46" t="e">
        <f>'Model-BS'!AP56</f>
        <v>#REF!</v>
      </c>
      <c r="BT36" s="46" t="e">
        <f>'Model-BS'!AW56</f>
        <v>#REF!</v>
      </c>
      <c r="BU36" s="46" t="e">
        <f>'Model-BS'!BD56</f>
        <v>#REF!</v>
      </c>
      <c r="BV36" s="46" t="e">
        <f>'Model-BS'!BK56</f>
        <v>#REF!</v>
      </c>
      <c r="BW36" s="46" t="e">
        <f>'Model-BS'!BL56</f>
        <v>#REF!</v>
      </c>
      <c r="BX36" s="46" t="e">
        <f>'Model-BS'!BM56</f>
        <v>#REF!</v>
      </c>
      <c r="BY36" s="46" t="e">
        <f>'Model-BS'!BN56</f>
        <v>#REF!</v>
      </c>
      <c r="BZ36" s="46" t="e">
        <f>'Model-BS'!BO56</f>
        <v>#REF!</v>
      </c>
    </row>
    <row r="37" spans="2:78" s="31" customFormat="1" hidden="1" outlineLevel="1">
      <c r="B37" s="35" t="s">
        <v>35</v>
      </c>
      <c r="C37" s="35"/>
      <c r="D37" s="35">
        <f>[70]Model!I76</f>
        <v>0</v>
      </c>
      <c r="E37" s="35" t="e">
        <f>'Model-BS'!F57</f>
        <v>#REF!</v>
      </c>
      <c r="F37" s="35" t="e">
        <f>'Model-BS'!G57</f>
        <v>#REF!</v>
      </c>
      <c r="G37" s="35" t="e">
        <f>'Model-BS'!H57</f>
        <v>#REF!</v>
      </c>
      <c r="H37" s="35" t="e">
        <f>'Model-BS'!I57</f>
        <v>#REF!</v>
      </c>
      <c r="I37" s="35" t="e">
        <f>'Model-BS'!#REF!</f>
        <v>#REF!</v>
      </c>
      <c r="J37" s="35" t="e">
        <f>'Model-BS'!#REF!</f>
        <v>#REF!</v>
      </c>
      <c r="K37" s="35" t="e">
        <f>'Model-BS'!#REF!</f>
        <v>#REF!</v>
      </c>
      <c r="L37" s="35" t="e">
        <f>'Model-BS'!#REF!</f>
        <v>#REF!</v>
      </c>
      <c r="M37" s="35" t="e">
        <f>'Model-BS'!#REF!</f>
        <v>#REF!</v>
      </c>
      <c r="N37" s="35" t="e">
        <f>'Model-BS'!#REF!</f>
        <v>#REF!</v>
      </c>
      <c r="O37" s="35" t="e">
        <f>'Model-BS'!J57</f>
        <v>#REF!</v>
      </c>
      <c r="P37" s="35" t="e">
        <f>'Model-BS'!#REF!</f>
        <v>#REF!</v>
      </c>
      <c r="Q37" s="35" t="e">
        <f>'Model-BS'!#REF!</f>
        <v>#REF!</v>
      </c>
      <c r="R37" s="35" t="e">
        <f>'Model-BS'!#REF!</f>
        <v>#REF!</v>
      </c>
      <c r="S37" s="35" t="e">
        <f>'Model-BS'!#REF!</f>
        <v>#REF!</v>
      </c>
      <c r="T37" s="35" t="e">
        <f>'Model-BS'!#REF!</f>
        <v>#REF!</v>
      </c>
      <c r="U37" s="35" t="e">
        <f>'Model-BS'!#REF!</f>
        <v>#REF!</v>
      </c>
      <c r="V37" s="35" t="e">
        <f>'Model-BS'!K57</f>
        <v>#REF!</v>
      </c>
      <c r="W37" s="35" t="e">
        <f>'Model-BS'!#REF!</f>
        <v>#REF!</v>
      </c>
      <c r="X37" s="35" t="e">
        <f>'Model-BS'!#REF!</f>
        <v>#REF!</v>
      </c>
      <c r="Y37" s="35" t="e">
        <f>'Model-BS'!#REF!</f>
        <v>#REF!</v>
      </c>
      <c r="Z37" s="35" t="e">
        <f>'Model-BS'!#REF!</f>
        <v>#REF!</v>
      </c>
      <c r="AA37" s="35" t="e">
        <f>'Model-BS'!#REF!</f>
        <v>#REF!</v>
      </c>
      <c r="AB37" s="35" t="e">
        <f>'Model-BS'!#REF!</f>
        <v>#REF!</v>
      </c>
      <c r="AC37" s="35" t="e">
        <f>'Model-BS'!L57</f>
        <v>#REF!</v>
      </c>
      <c r="AD37" s="35" t="e">
        <f>'Model-BS'!#REF!</f>
        <v>#REF!</v>
      </c>
      <c r="AE37" s="35" t="e">
        <f>'Model-BS'!#REF!</f>
        <v>#REF!</v>
      </c>
      <c r="AF37" s="35" t="e">
        <f>'Model-BS'!#REF!</f>
        <v>#REF!</v>
      </c>
      <c r="AG37" s="35" t="e">
        <f>'Model-BS'!#REF!</f>
        <v>#REF!</v>
      </c>
      <c r="AH37" s="35" t="e">
        <f>'Model-BS'!#REF!</f>
        <v>#REF!</v>
      </c>
      <c r="AI37" s="35" t="e">
        <f>'Model-BS'!#REF!</f>
        <v>#REF!</v>
      </c>
      <c r="AJ37" s="35" t="e">
        <f>'Model-BS'!M57</f>
        <v>#REF!</v>
      </c>
      <c r="AK37" s="35" t="e">
        <f>'Model-BS'!#REF!</f>
        <v>#REF!</v>
      </c>
      <c r="AL37" s="35" t="e">
        <f>'Model-BS'!#REF!</f>
        <v>#REF!</v>
      </c>
      <c r="AM37" s="35" t="e">
        <f>'Model-BS'!#REF!</f>
        <v>#REF!</v>
      </c>
      <c r="AN37" s="35" t="e">
        <f>'Model-BS'!#REF!</f>
        <v>#REF!</v>
      </c>
      <c r="AO37" s="35" t="e">
        <f>'Model-BS'!#REF!</f>
        <v>#REF!</v>
      </c>
      <c r="AP37" s="35" t="e">
        <f>'Model-BS'!#REF!</f>
        <v>#REF!</v>
      </c>
      <c r="AQ37" s="35" t="e">
        <f>'Model-BS'!N57</f>
        <v>#REF!</v>
      </c>
      <c r="AR37" s="35" t="e">
        <f>'Model-BS'!#REF!</f>
        <v>#REF!</v>
      </c>
      <c r="AS37" s="35" t="e">
        <f>'Model-BS'!#REF!</f>
        <v>#REF!</v>
      </c>
      <c r="AT37" s="35" t="e">
        <f>'Model-BS'!#REF!</f>
        <v>#REF!</v>
      </c>
      <c r="AU37" s="35" t="e">
        <f>'Model-BS'!#REF!</f>
        <v>#REF!</v>
      </c>
      <c r="AV37" s="35" t="e">
        <f>'Model-BS'!#REF!</f>
        <v>#REF!</v>
      </c>
      <c r="AW37" s="35" t="e">
        <f>'Model-BS'!#REF!</f>
        <v>#REF!</v>
      </c>
      <c r="AX37" s="35" t="e">
        <f>'Model-BS'!O57</f>
        <v>#REF!</v>
      </c>
      <c r="AY37" s="35" t="e">
        <f>'Model-BS'!#REF!</f>
        <v>#REF!</v>
      </c>
      <c r="AZ37" s="35" t="e">
        <f>'Model-BS'!#REF!</f>
        <v>#REF!</v>
      </c>
      <c r="BA37" s="35" t="e">
        <f>'Model-BS'!#REF!</f>
        <v>#REF!</v>
      </c>
      <c r="BB37" s="35" t="e">
        <f>'Model-BS'!#REF!</f>
        <v>#REF!</v>
      </c>
      <c r="BC37" s="35" t="e">
        <f>'Model-BS'!#REF!</f>
        <v>#REF!</v>
      </c>
      <c r="BD37" s="35" t="e">
        <f>'Model-BS'!#REF!</f>
        <v>#REF!</v>
      </c>
      <c r="BE37" s="35" t="e">
        <f>'Model-BS'!P57</f>
        <v>#REF!</v>
      </c>
      <c r="BF37" s="35" t="e">
        <f>'Model-BS'!#REF!</f>
        <v>#REF!</v>
      </c>
      <c r="BG37" s="35" t="e">
        <f>'Model-BS'!#REF!</f>
        <v>#REF!</v>
      </c>
      <c r="BH37" s="35" t="e">
        <f>'Model-BS'!#REF!</f>
        <v>#REF!</v>
      </c>
      <c r="BI37" s="35" t="e">
        <f>'Model-BS'!#REF!</f>
        <v>#REF!</v>
      </c>
      <c r="BJ37" s="35" t="e">
        <f>'Model-BS'!#REF!</f>
        <v>#REF!</v>
      </c>
      <c r="BK37" s="35" t="e">
        <f>'Model-BS'!#REF!</f>
        <v>#REF!</v>
      </c>
      <c r="BL37" s="35" t="e">
        <f>'Model-BS'!Q57</f>
        <v>#REF!</v>
      </c>
      <c r="BM37" s="35" t="e">
        <f>'Model-BS'!R57</f>
        <v>#REF!</v>
      </c>
      <c r="BN37" s="35" t="e">
        <f>'Model-BS'!S57</f>
        <v>#REF!</v>
      </c>
      <c r="BO37" s="35" t="e">
        <f>'Model-BS'!T57</f>
        <v>#REF!</v>
      </c>
      <c r="BP37" s="35" t="e">
        <f>'Model-BS'!U57</f>
        <v>#REF!</v>
      </c>
      <c r="BQ37" s="35" t="e">
        <f>'Model-BS'!AB57</f>
        <v>#REF!</v>
      </c>
      <c r="BR37" s="35" t="e">
        <f>'Model-BS'!AI57</f>
        <v>#REF!</v>
      </c>
      <c r="BS37" s="35" t="e">
        <f>'Model-BS'!AP57</f>
        <v>#REF!</v>
      </c>
      <c r="BT37" s="35" t="e">
        <f>'Model-BS'!AW57</f>
        <v>#REF!</v>
      </c>
      <c r="BU37" s="35" t="e">
        <f>'Model-BS'!BD57</f>
        <v>#REF!</v>
      </c>
      <c r="BV37" s="35" t="e">
        <f>'Model-BS'!BK57</f>
        <v>#REF!</v>
      </c>
      <c r="BW37" s="35" t="e">
        <f>'Model-BS'!BL57</f>
        <v>#REF!</v>
      </c>
      <c r="BX37" s="35" t="e">
        <f>'Model-BS'!BM57</f>
        <v>#REF!</v>
      </c>
      <c r="BY37" s="35" t="e">
        <f>'Model-BS'!BN57</f>
        <v>#REF!</v>
      </c>
      <c r="BZ37" s="35" t="e">
        <f>'Model-BS'!BO57</f>
        <v>#REF!</v>
      </c>
    </row>
    <row r="38" spans="2:78" s="51" customFormat="1" ht="12.6" hidden="1" outlineLevel="1">
      <c r="B38" s="44" t="s">
        <v>36</v>
      </c>
      <c r="C38" s="46"/>
      <c r="D38" s="46" t="e">
        <f>[70]Model!I77</f>
        <v>#DIV/0!</v>
      </c>
      <c r="E38" s="46" t="e">
        <f>'Model-BS'!F58</f>
        <v>#REF!</v>
      </c>
      <c r="F38" s="46" t="e">
        <f>'Model-BS'!G58</f>
        <v>#REF!</v>
      </c>
      <c r="G38" s="46" t="e">
        <f>'Model-BS'!H58</f>
        <v>#REF!</v>
      </c>
      <c r="H38" s="46" t="e">
        <f>'Model-BS'!I58</f>
        <v>#REF!</v>
      </c>
      <c r="I38" s="46" t="e">
        <f>'Model-BS'!#REF!</f>
        <v>#REF!</v>
      </c>
      <c r="J38" s="46" t="e">
        <f>'Model-BS'!#REF!</f>
        <v>#REF!</v>
      </c>
      <c r="K38" s="46" t="e">
        <f>'Model-BS'!#REF!</f>
        <v>#REF!</v>
      </c>
      <c r="L38" s="46" t="e">
        <f>'Model-BS'!#REF!</f>
        <v>#REF!</v>
      </c>
      <c r="M38" s="46" t="e">
        <f>'Model-BS'!#REF!</f>
        <v>#REF!</v>
      </c>
      <c r="N38" s="46" t="e">
        <f>'Model-BS'!#REF!</f>
        <v>#REF!</v>
      </c>
      <c r="O38" s="46" t="e">
        <f>'Model-BS'!J58</f>
        <v>#REF!</v>
      </c>
      <c r="P38" s="46" t="e">
        <f>'Model-BS'!#REF!</f>
        <v>#REF!</v>
      </c>
      <c r="Q38" s="46" t="e">
        <f>'Model-BS'!#REF!</f>
        <v>#REF!</v>
      </c>
      <c r="R38" s="46" t="e">
        <f>'Model-BS'!#REF!</f>
        <v>#REF!</v>
      </c>
      <c r="S38" s="46" t="e">
        <f>'Model-BS'!#REF!</f>
        <v>#REF!</v>
      </c>
      <c r="T38" s="46" t="e">
        <f>'Model-BS'!#REF!</f>
        <v>#REF!</v>
      </c>
      <c r="U38" s="46" t="e">
        <f>'Model-BS'!#REF!</f>
        <v>#REF!</v>
      </c>
      <c r="V38" s="46" t="e">
        <f>'Model-BS'!K58</f>
        <v>#REF!</v>
      </c>
      <c r="W38" s="46" t="e">
        <f>'Model-BS'!#REF!</f>
        <v>#REF!</v>
      </c>
      <c r="X38" s="46" t="e">
        <f>'Model-BS'!#REF!</f>
        <v>#REF!</v>
      </c>
      <c r="Y38" s="46" t="e">
        <f>'Model-BS'!#REF!</f>
        <v>#REF!</v>
      </c>
      <c r="Z38" s="46" t="e">
        <f>'Model-BS'!#REF!</f>
        <v>#REF!</v>
      </c>
      <c r="AA38" s="46" t="e">
        <f>'Model-BS'!#REF!</f>
        <v>#REF!</v>
      </c>
      <c r="AB38" s="46" t="e">
        <f>'Model-BS'!#REF!</f>
        <v>#REF!</v>
      </c>
      <c r="AC38" s="46" t="e">
        <f>'Model-BS'!L58</f>
        <v>#REF!</v>
      </c>
      <c r="AD38" s="46" t="e">
        <f>'Model-BS'!#REF!</f>
        <v>#REF!</v>
      </c>
      <c r="AE38" s="46" t="e">
        <f>'Model-BS'!#REF!</f>
        <v>#REF!</v>
      </c>
      <c r="AF38" s="46" t="e">
        <f>'Model-BS'!#REF!</f>
        <v>#REF!</v>
      </c>
      <c r="AG38" s="46" t="e">
        <f>'Model-BS'!#REF!</f>
        <v>#REF!</v>
      </c>
      <c r="AH38" s="46" t="e">
        <f>'Model-BS'!#REF!</f>
        <v>#REF!</v>
      </c>
      <c r="AI38" s="46" t="e">
        <f>'Model-BS'!#REF!</f>
        <v>#REF!</v>
      </c>
      <c r="AJ38" s="46" t="e">
        <f>'Model-BS'!M58</f>
        <v>#REF!</v>
      </c>
      <c r="AK38" s="46" t="e">
        <f>'Model-BS'!#REF!</f>
        <v>#REF!</v>
      </c>
      <c r="AL38" s="46" t="e">
        <f>'Model-BS'!#REF!</f>
        <v>#REF!</v>
      </c>
      <c r="AM38" s="46" t="e">
        <f>'Model-BS'!#REF!</f>
        <v>#REF!</v>
      </c>
      <c r="AN38" s="46" t="e">
        <f>'Model-BS'!#REF!</f>
        <v>#REF!</v>
      </c>
      <c r="AO38" s="46" t="e">
        <f>'Model-BS'!#REF!</f>
        <v>#REF!</v>
      </c>
      <c r="AP38" s="46" t="e">
        <f>'Model-BS'!#REF!</f>
        <v>#REF!</v>
      </c>
      <c r="AQ38" s="46" t="e">
        <f>'Model-BS'!N58</f>
        <v>#REF!</v>
      </c>
      <c r="AR38" s="46" t="e">
        <f>'Model-BS'!#REF!</f>
        <v>#REF!</v>
      </c>
      <c r="AS38" s="46" t="e">
        <f>'Model-BS'!#REF!</f>
        <v>#REF!</v>
      </c>
      <c r="AT38" s="46" t="e">
        <f>'Model-BS'!#REF!</f>
        <v>#REF!</v>
      </c>
      <c r="AU38" s="46" t="e">
        <f>'Model-BS'!#REF!</f>
        <v>#REF!</v>
      </c>
      <c r="AV38" s="46" t="e">
        <f>'Model-BS'!#REF!</f>
        <v>#REF!</v>
      </c>
      <c r="AW38" s="46" t="e">
        <f>'Model-BS'!#REF!</f>
        <v>#REF!</v>
      </c>
      <c r="AX38" s="46" t="e">
        <f>'Model-BS'!O58</f>
        <v>#REF!</v>
      </c>
      <c r="AY38" s="46" t="e">
        <f>'Model-BS'!#REF!</f>
        <v>#REF!</v>
      </c>
      <c r="AZ38" s="46" t="e">
        <f>'Model-BS'!#REF!</f>
        <v>#REF!</v>
      </c>
      <c r="BA38" s="46" t="e">
        <f>'Model-BS'!#REF!</f>
        <v>#REF!</v>
      </c>
      <c r="BB38" s="46" t="e">
        <f>'Model-BS'!#REF!</f>
        <v>#REF!</v>
      </c>
      <c r="BC38" s="46" t="e">
        <f>'Model-BS'!#REF!</f>
        <v>#REF!</v>
      </c>
      <c r="BD38" s="46" t="e">
        <f>'Model-BS'!#REF!</f>
        <v>#REF!</v>
      </c>
      <c r="BE38" s="46" t="e">
        <f>'Model-BS'!P58</f>
        <v>#REF!</v>
      </c>
      <c r="BF38" s="46" t="e">
        <f>'Model-BS'!#REF!</f>
        <v>#REF!</v>
      </c>
      <c r="BG38" s="46" t="e">
        <f>'Model-BS'!#REF!</f>
        <v>#REF!</v>
      </c>
      <c r="BH38" s="46" t="e">
        <f>'Model-BS'!#REF!</f>
        <v>#REF!</v>
      </c>
      <c r="BI38" s="46" t="e">
        <f>'Model-BS'!#REF!</f>
        <v>#REF!</v>
      </c>
      <c r="BJ38" s="46" t="e">
        <f>'Model-BS'!#REF!</f>
        <v>#REF!</v>
      </c>
      <c r="BK38" s="46" t="e">
        <f>'Model-BS'!#REF!</f>
        <v>#REF!</v>
      </c>
      <c r="BL38" s="46" t="e">
        <f>'Model-BS'!Q58</f>
        <v>#REF!</v>
      </c>
      <c r="BM38" s="46" t="e">
        <f>'Model-BS'!R58</f>
        <v>#REF!</v>
      </c>
      <c r="BN38" s="46" t="e">
        <f>'Model-BS'!S58</f>
        <v>#REF!</v>
      </c>
      <c r="BO38" s="46" t="e">
        <f>'Model-BS'!T58</f>
        <v>#REF!</v>
      </c>
      <c r="BP38" s="46" t="e">
        <f>'Model-BS'!U58</f>
        <v>#REF!</v>
      </c>
      <c r="BQ38" s="46" t="e">
        <f>'Model-BS'!AB58</f>
        <v>#REF!</v>
      </c>
      <c r="BR38" s="46" t="e">
        <f>'Model-BS'!AI58</f>
        <v>#REF!</v>
      </c>
      <c r="BS38" s="46" t="e">
        <f>'Model-BS'!AP58</f>
        <v>#REF!</v>
      </c>
      <c r="BT38" s="46" t="e">
        <f>'Model-BS'!AW58</f>
        <v>#REF!</v>
      </c>
      <c r="BU38" s="46" t="e">
        <f>'Model-BS'!BD58</f>
        <v>#REF!</v>
      </c>
      <c r="BV38" s="46" t="e">
        <f>'Model-BS'!BK58</f>
        <v>#REF!</v>
      </c>
      <c r="BW38" s="46" t="e">
        <f>'Model-BS'!BL58</f>
        <v>#REF!</v>
      </c>
      <c r="BX38" s="46" t="e">
        <f>'Model-BS'!BM58</f>
        <v>#REF!</v>
      </c>
      <c r="BY38" s="46" t="e">
        <f>'Model-BS'!BN58</f>
        <v>#REF!</v>
      </c>
      <c r="BZ38" s="46" t="e">
        <f>'Model-BS'!BO58</f>
        <v>#REF!</v>
      </c>
    </row>
    <row r="39" spans="2:78" s="31" customFormat="1" collapsed="1">
      <c r="B39" s="32" t="s">
        <v>37</v>
      </c>
      <c r="C39" s="32"/>
      <c r="D39" s="32">
        <f>D34+D35+D37</f>
        <v>0</v>
      </c>
      <c r="E39" s="32" t="e">
        <f t="shared" ref="E39:BL39" si="13">E34+E35+E37</f>
        <v>#REF!</v>
      </c>
      <c r="F39" s="32" t="e">
        <f t="shared" si="13"/>
        <v>#REF!</v>
      </c>
      <c r="G39" s="32" t="e">
        <f t="shared" si="13"/>
        <v>#REF!</v>
      </c>
      <c r="H39" s="32" t="e">
        <f t="shared" si="13"/>
        <v>#REF!</v>
      </c>
      <c r="I39" s="32" t="e">
        <f t="shared" si="13"/>
        <v>#REF!</v>
      </c>
      <c r="J39" s="32" t="e">
        <f t="shared" si="13"/>
        <v>#REF!</v>
      </c>
      <c r="K39" s="32" t="e">
        <f t="shared" si="13"/>
        <v>#REF!</v>
      </c>
      <c r="L39" s="32" t="e">
        <f t="shared" si="13"/>
        <v>#REF!</v>
      </c>
      <c r="M39" s="32" t="e">
        <f t="shared" si="13"/>
        <v>#REF!</v>
      </c>
      <c r="N39" s="32" t="e">
        <f t="shared" si="13"/>
        <v>#REF!</v>
      </c>
      <c r="O39" s="32" t="e">
        <f t="shared" si="13"/>
        <v>#REF!</v>
      </c>
      <c r="P39" s="32" t="e">
        <f t="shared" si="13"/>
        <v>#REF!</v>
      </c>
      <c r="Q39" s="32" t="e">
        <f t="shared" si="13"/>
        <v>#REF!</v>
      </c>
      <c r="R39" s="32" t="e">
        <f t="shared" si="13"/>
        <v>#REF!</v>
      </c>
      <c r="S39" s="32" t="e">
        <f t="shared" si="13"/>
        <v>#REF!</v>
      </c>
      <c r="T39" s="32" t="e">
        <f t="shared" si="13"/>
        <v>#REF!</v>
      </c>
      <c r="U39" s="32" t="e">
        <f t="shared" si="13"/>
        <v>#REF!</v>
      </c>
      <c r="V39" s="32" t="e">
        <f t="shared" si="13"/>
        <v>#REF!</v>
      </c>
      <c r="W39" s="32" t="e">
        <f t="shared" si="13"/>
        <v>#REF!</v>
      </c>
      <c r="X39" s="32" t="e">
        <f t="shared" si="13"/>
        <v>#REF!</v>
      </c>
      <c r="Y39" s="32" t="e">
        <f t="shared" si="13"/>
        <v>#REF!</v>
      </c>
      <c r="Z39" s="32" t="e">
        <f t="shared" si="13"/>
        <v>#REF!</v>
      </c>
      <c r="AA39" s="32" t="e">
        <f t="shared" si="13"/>
        <v>#REF!</v>
      </c>
      <c r="AB39" s="32" t="e">
        <f t="shared" si="13"/>
        <v>#REF!</v>
      </c>
      <c r="AC39" s="32" t="e">
        <f t="shared" si="13"/>
        <v>#REF!</v>
      </c>
      <c r="AD39" s="32" t="e">
        <f t="shared" si="13"/>
        <v>#REF!</v>
      </c>
      <c r="AE39" s="32" t="e">
        <f t="shared" si="13"/>
        <v>#REF!</v>
      </c>
      <c r="AF39" s="32" t="e">
        <f t="shared" si="13"/>
        <v>#REF!</v>
      </c>
      <c r="AG39" s="32" t="e">
        <f t="shared" si="13"/>
        <v>#REF!</v>
      </c>
      <c r="AH39" s="32" t="e">
        <f t="shared" si="13"/>
        <v>#REF!</v>
      </c>
      <c r="AI39" s="32" t="e">
        <f t="shared" si="13"/>
        <v>#REF!</v>
      </c>
      <c r="AJ39" s="32" t="e">
        <f t="shared" si="13"/>
        <v>#REF!</v>
      </c>
      <c r="AK39" s="32" t="e">
        <f t="shared" si="13"/>
        <v>#REF!</v>
      </c>
      <c r="AL39" s="32" t="e">
        <f t="shared" si="13"/>
        <v>#REF!</v>
      </c>
      <c r="AM39" s="32" t="e">
        <f t="shared" si="13"/>
        <v>#REF!</v>
      </c>
      <c r="AN39" s="32" t="e">
        <f t="shared" si="13"/>
        <v>#REF!</v>
      </c>
      <c r="AO39" s="32" t="e">
        <f t="shared" si="13"/>
        <v>#REF!</v>
      </c>
      <c r="AP39" s="32" t="e">
        <f t="shared" si="13"/>
        <v>#REF!</v>
      </c>
      <c r="AQ39" s="32" t="e">
        <f t="shared" si="13"/>
        <v>#REF!</v>
      </c>
      <c r="AR39" s="32" t="e">
        <f t="shared" si="13"/>
        <v>#REF!</v>
      </c>
      <c r="AS39" s="32" t="e">
        <f t="shared" si="13"/>
        <v>#REF!</v>
      </c>
      <c r="AT39" s="32" t="e">
        <f t="shared" si="13"/>
        <v>#REF!</v>
      </c>
      <c r="AU39" s="32" t="e">
        <f t="shared" si="13"/>
        <v>#REF!</v>
      </c>
      <c r="AV39" s="32" t="e">
        <f t="shared" si="13"/>
        <v>#REF!</v>
      </c>
      <c r="AW39" s="32" t="e">
        <f t="shared" si="13"/>
        <v>#REF!</v>
      </c>
      <c r="AX39" s="32" t="e">
        <f t="shared" si="13"/>
        <v>#REF!</v>
      </c>
      <c r="AY39" s="32" t="e">
        <f t="shared" si="13"/>
        <v>#REF!</v>
      </c>
      <c r="AZ39" s="32" t="e">
        <f t="shared" si="13"/>
        <v>#REF!</v>
      </c>
      <c r="BA39" s="32" t="e">
        <f t="shared" si="13"/>
        <v>#REF!</v>
      </c>
      <c r="BB39" s="32" t="e">
        <f t="shared" si="13"/>
        <v>#REF!</v>
      </c>
      <c r="BC39" s="32" t="e">
        <f t="shared" si="13"/>
        <v>#REF!</v>
      </c>
      <c r="BD39" s="32" t="e">
        <f t="shared" si="13"/>
        <v>#REF!</v>
      </c>
      <c r="BE39" s="32" t="e">
        <f t="shared" si="13"/>
        <v>#REF!</v>
      </c>
      <c r="BF39" s="32" t="e">
        <f t="shared" si="13"/>
        <v>#REF!</v>
      </c>
      <c r="BG39" s="32" t="e">
        <f t="shared" si="13"/>
        <v>#REF!</v>
      </c>
      <c r="BH39" s="32" t="e">
        <f t="shared" si="13"/>
        <v>#REF!</v>
      </c>
      <c r="BI39" s="32" t="e">
        <f t="shared" si="13"/>
        <v>#REF!</v>
      </c>
      <c r="BJ39" s="32" t="e">
        <f t="shared" si="13"/>
        <v>#REF!</v>
      </c>
      <c r="BK39" s="32" t="e">
        <f t="shared" si="13"/>
        <v>#REF!</v>
      </c>
      <c r="BL39" s="32" t="e">
        <f t="shared" si="13"/>
        <v>#REF!</v>
      </c>
      <c r="BM39" s="32" t="e">
        <f>'Model-BS'!R59</f>
        <v>#REF!</v>
      </c>
      <c r="BN39" s="32" t="e">
        <f>'Model-BS'!S59</f>
        <v>#REF!</v>
      </c>
      <c r="BO39" s="32" t="e">
        <f>'Model-BS'!T59</f>
        <v>#REF!</v>
      </c>
      <c r="BP39" s="32" t="e">
        <f>'Model-BS'!U59</f>
        <v>#REF!</v>
      </c>
      <c r="BQ39" s="32" t="e">
        <f>'Model-BS'!AB59</f>
        <v>#REF!</v>
      </c>
      <c r="BR39" s="32" t="e">
        <f>'Model-BS'!AI59</f>
        <v>#REF!</v>
      </c>
      <c r="BS39" s="32" t="e">
        <f>'Model-BS'!AP59</f>
        <v>#REF!</v>
      </c>
      <c r="BT39" s="32" t="e">
        <f>'Model-BS'!AW59</f>
        <v>#REF!</v>
      </c>
      <c r="BU39" s="32" t="e">
        <f>'Model-BS'!BD59</f>
        <v>#REF!</v>
      </c>
      <c r="BV39" s="32" t="e">
        <f>'Model-BS'!BK59</f>
        <v>#REF!</v>
      </c>
      <c r="BW39" s="32" t="e">
        <f>'Model-BS'!BL59</f>
        <v>#REF!</v>
      </c>
      <c r="BX39" s="32" t="e">
        <f>'Model-BS'!BM59</f>
        <v>#REF!</v>
      </c>
      <c r="BY39" s="32" t="e">
        <f>'Model-BS'!BN59</f>
        <v>#REF!</v>
      </c>
      <c r="BZ39" s="32" t="e">
        <f>'Model-BS'!BO59</f>
        <v>#REF!</v>
      </c>
    </row>
    <row r="40" spans="2:78">
      <c r="B40" s="33" t="s">
        <v>38</v>
      </c>
      <c r="C40" s="33"/>
      <c r="D40" s="43" t="e">
        <f>[70]Model!I79</f>
        <v>#DIV/0!</v>
      </c>
      <c r="E40" s="43" t="e">
        <f>'Model-BS'!F60</f>
        <v>#REF!</v>
      </c>
      <c r="F40" s="43" t="e">
        <f>'Model-BS'!G60</f>
        <v>#REF!</v>
      </c>
      <c r="G40" s="43" t="e">
        <f>'Model-BS'!H60</f>
        <v>#REF!</v>
      </c>
      <c r="H40" s="43" t="e">
        <f>'Model-BS'!I60</f>
        <v>#REF!</v>
      </c>
      <c r="I40" s="43" t="e">
        <f>'Model-BS'!#REF!</f>
        <v>#REF!</v>
      </c>
      <c r="J40" s="43" t="e">
        <f>'Model-BS'!#REF!</f>
        <v>#REF!</v>
      </c>
      <c r="K40" s="43" t="e">
        <f>'Model-BS'!#REF!</f>
        <v>#REF!</v>
      </c>
      <c r="L40" s="43" t="e">
        <f>'Model-BS'!#REF!</f>
        <v>#REF!</v>
      </c>
      <c r="M40" s="43" t="e">
        <f>'Model-BS'!#REF!</f>
        <v>#REF!</v>
      </c>
      <c r="N40" s="43" t="e">
        <f>'Model-BS'!#REF!</f>
        <v>#REF!</v>
      </c>
      <c r="O40" s="43" t="e">
        <f>'Model-BS'!J60</f>
        <v>#REF!</v>
      </c>
      <c r="P40" s="43" t="e">
        <f>'Model-BS'!#REF!</f>
        <v>#REF!</v>
      </c>
      <c r="Q40" s="43" t="e">
        <f>'Model-BS'!#REF!</f>
        <v>#REF!</v>
      </c>
      <c r="R40" s="43" t="e">
        <f>'Model-BS'!#REF!</f>
        <v>#REF!</v>
      </c>
      <c r="S40" s="43" t="e">
        <f>'Model-BS'!#REF!</f>
        <v>#REF!</v>
      </c>
      <c r="T40" s="43" t="e">
        <f>'Model-BS'!#REF!</f>
        <v>#REF!</v>
      </c>
      <c r="U40" s="43" t="e">
        <f>'Model-BS'!#REF!</f>
        <v>#REF!</v>
      </c>
      <c r="V40" s="43" t="e">
        <f>'Model-BS'!K60</f>
        <v>#REF!</v>
      </c>
      <c r="W40" s="43" t="e">
        <f>'Model-BS'!#REF!</f>
        <v>#REF!</v>
      </c>
      <c r="X40" s="43" t="e">
        <f>'Model-BS'!#REF!</f>
        <v>#REF!</v>
      </c>
      <c r="Y40" s="43" t="e">
        <f>'Model-BS'!#REF!</f>
        <v>#REF!</v>
      </c>
      <c r="Z40" s="43" t="e">
        <f>'Model-BS'!#REF!</f>
        <v>#REF!</v>
      </c>
      <c r="AA40" s="43" t="e">
        <f>'Model-BS'!#REF!</f>
        <v>#REF!</v>
      </c>
      <c r="AB40" s="43" t="e">
        <f>'Model-BS'!#REF!</f>
        <v>#REF!</v>
      </c>
      <c r="AC40" s="43" t="e">
        <f>'Model-BS'!L60</f>
        <v>#REF!</v>
      </c>
      <c r="AD40" s="43" t="e">
        <f>'Model-BS'!#REF!</f>
        <v>#REF!</v>
      </c>
      <c r="AE40" s="43" t="e">
        <f>'Model-BS'!#REF!</f>
        <v>#REF!</v>
      </c>
      <c r="AF40" s="43" t="e">
        <f>'Model-BS'!#REF!</f>
        <v>#REF!</v>
      </c>
      <c r="AG40" s="43" t="e">
        <f>'Model-BS'!#REF!</f>
        <v>#REF!</v>
      </c>
      <c r="AH40" s="43" t="e">
        <f>'Model-BS'!#REF!</f>
        <v>#REF!</v>
      </c>
      <c r="AI40" s="43" t="e">
        <f>'Model-BS'!#REF!</f>
        <v>#REF!</v>
      </c>
      <c r="AJ40" s="43" t="e">
        <f>'Model-BS'!M60</f>
        <v>#REF!</v>
      </c>
      <c r="AK40" s="43" t="e">
        <f>'Model-BS'!#REF!</f>
        <v>#REF!</v>
      </c>
      <c r="AL40" s="43" t="e">
        <f>'Model-BS'!#REF!</f>
        <v>#REF!</v>
      </c>
      <c r="AM40" s="43" t="e">
        <f>'Model-BS'!#REF!</f>
        <v>#REF!</v>
      </c>
      <c r="AN40" s="43" t="e">
        <f>'Model-BS'!#REF!</f>
        <v>#REF!</v>
      </c>
      <c r="AO40" s="43" t="e">
        <f>'Model-BS'!#REF!</f>
        <v>#REF!</v>
      </c>
      <c r="AP40" s="43" t="e">
        <f>'Model-BS'!#REF!</f>
        <v>#REF!</v>
      </c>
      <c r="AQ40" s="43" t="e">
        <f>'Model-BS'!N60</f>
        <v>#REF!</v>
      </c>
      <c r="AR40" s="43" t="e">
        <f>'Model-BS'!#REF!</f>
        <v>#REF!</v>
      </c>
      <c r="AS40" s="43" t="e">
        <f>'Model-BS'!#REF!</f>
        <v>#REF!</v>
      </c>
      <c r="AT40" s="43" t="e">
        <f>'Model-BS'!#REF!</f>
        <v>#REF!</v>
      </c>
      <c r="AU40" s="43" t="e">
        <f>'Model-BS'!#REF!</f>
        <v>#REF!</v>
      </c>
      <c r="AV40" s="43" t="e">
        <f>'Model-BS'!#REF!</f>
        <v>#REF!</v>
      </c>
      <c r="AW40" s="43" t="e">
        <f>'Model-BS'!#REF!</f>
        <v>#REF!</v>
      </c>
      <c r="AX40" s="43" t="e">
        <f>'Model-BS'!O60</f>
        <v>#REF!</v>
      </c>
      <c r="AY40" s="43" t="e">
        <f>'Model-BS'!#REF!</f>
        <v>#REF!</v>
      </c>
      <c r="AZ40" s="43" t="e">
        <f>'Model-BS'!#REF!</f>
        <v>#REF!</v>
      </c>
      <c r="BA40" s="43" t="e">
        <f>'Model-BS'!#REF!</f>
        <v>#REF!</v>
      </c>
      <c r="BB40" s="43" t="e">
        <f>'Model-BS'!#REF!</f>
        <v>#REF!</v>
      </c>
      <c r="BC40" s="43" t="e">
        <f>'Model-BS'!#REF!</f>
        <v>#REF!</v>
      </c>
      <c r="BD40" s="43" t="e">
        <f>'Model-BS'!#REF!</f>
        <v>#REF!</v>
      </c>
      <c r="BE40" s="43" t="e">
        <f>'Model-BS'!P60</f>
        <v>#REF!</v>
      </c>
      <c r="BF40" s="43" t="e">
        <f>'Model-BS'!#REF!</f>
        <v>#REF!</v>
      </c>
      <c r="BG40" s="43" t="e">
        <f>'Model-BS'!#REF!</f>
        <v>#REF!</v>
      </c>
      <c r="BH40" s="43" t="e">
        <f>'Model-BS'!#REF!</f>
        <v>#REF!</v>
      </c>
      <c r="BI40" s="43" t="e">
        <f>'Model-BS'!#REF!</f>
        <v>#REF!</v>
      </c>
      <c r="BJ40" s="43" t="e">
        <f>'Model-BS'!#REF!</f>
        <v>#REF!</v>
      </c>
      <c r="BK40" s="43" t="e">
        <f>'Model-BS'!#REF!</f>
        <v>#REF!</v>
      </c>
      <c r="BL40" s="43" t="e">
        <f>'Model-BS'!Q60</f>
        <v>#REF!</v>
      </c>
      <c r="BM40" s="43" t="e">
        <f t="shared" ref="BM40:BX40" si="14">BM39/BM10</f>
        <v>#REF!</v>
      </c>
      <c r="BN40" s="43" t="e">
        <f t="shared" si="14"/>
        <v>#REF!</v>
      </c>
      <c r="BO40" s="43" t="e">
        <f t="shared" si="14"/>
        <v>#REF!</v>
      </c>
      <c r="BP40" s="43" t="e">
        <f t="shared" si="14"/>
        <v>#REF!</v>
      </c>
      <c r="BQ40" s="43" t="e">
        <f t="shared" si="14"/>
        <v>#REF!</v>
      </c>
      <c r="BR40" s="43" t="e">
        <f t="shared" si="14"/>
        <v>#REF!</v>
      </c>
      <c r="BS40" s="43" t="e">
        <f t="shared" si="14"/>
        <v>#REF!</v>
      </c>
      <c r="BT40" s="43" t="e">
        <f t="shared" si="14"/>
        <v>#REF!</v>
      </c>
      <c r="BU40" s="43" t="e">
        <f t="shared" si="14"/>
        <v>#REF!</v>
      </c>
      <c r="BV40" s="43" t="e">
        <f t="shared" si="14"/>
        <v>#REF!</v>
      </c>
      <c r="BW40" s="43" t="e">
        <f t="shared" si="14"/>
        <v>#REF!</v>
      </c>
      <c r="BX40" s="43" t="e">
        <f t="shared" si="14"/>
        <v>#REF!</v>
      </c>
      <c r="BY40" s="43" t="e">
        <f t="shared" ref="BY40:BZ40" si="15">BY39/BY10</f>
        <v>#REF!</v>
      </c>
      <c r="BZ40" s="43" t="e">
        <f t="shared" si="15"/>
        <v>#REF!</v>
      </c>
    </row>
    <row r="41" spans="2:78">
      <c r="B41" s="36" t="s">
        <v>14</v>
      </c>
      <c r="C41" s="37"/>
      <c r="D41" s="38" t="e">
        <f>[70]Model!I80</f>
        <v>#DIV/0!</v>
      </c>
      <c r="E41" s="38" t="e">
        <f>'Model-BS'!F61</f>
        <v>#REF!</v>
      </c>
      <c r="F41" s="38" t="e">
        <f>'Model-BS'!G61</f>
        <v>#REF!</v>
      </c>
      <c r="G41" s="38" t="e">
        <f>'Model-BS'!H61</f>
        <v>#REF!</v>
      </c>
      <c r="H41" s="38" t="e">
        <f>'Model-BS'!I61</f>
        <v>#REF!</v>
      </c>
      <c r="I41" s="38" t="e">
        <f>'Model-BS'!#REF!</f>
        <v>#REF!</v>
      </c>
      <c r="J41" s="38" t="e">
        <f>'Model-BS'!#REF!</f>
        <v>#REF!</v>
      </c>
      <c r="K41" s="38" t="e">
        <f>'Model-BS'!#REF!</f>
        <v>#REF!</v>
      </c>
      <c r="L41" s="38" t="e">
        <f>'Model-BS'!#REF!</f>
        <v>#REF!</v>
      </c>
      <c r="M41" s="38" t="e">
        <f>'Model-BS'!#REF!</f>
        <v>#REF!</v>
      </c>
      <c r="N41" s="38" t="e">
        <f>'Model-BS'!#REF!</f>
        <v>#REF!</v>
      </c>
      <c r="O41" s="38" t="e">
        <f>'Model-BS'!J61</f>
        <v>#REF!</v>
      </c>
      <c r="P41" s="38" t="e">
        <f>'Model-BS'!#REF!</f>
        <v>#REF!</v>
      </c>
      <c r="Q41" s="38" t="e">
        <f>'Model-BS'!#REF!</f>
        <v>#REF!</v>
      </c>
      <c r="R41" s="38" t="e">
        <f>'Model-BS'!#REF!</f>
        <v>#REF!</v>
      </c>
      <c r="S41" s="38" t="e">
        <f>'Model-BS'!#REF!</f>
        <v>#REF!</v>
      </c>
      <c r="T41" s="38" t="e">
        <f>'Model-BS'!#REF!</f>
        <v>#REF!</v>
      </c>
      <c r="U41" s="38" t="e">
        <f>'Model-BS'!#REF!</f>
        <v>#REF!</v>
      </c>
      <c r="V41" s="38" t="e">
        <f>'Model-BS'!K61</f>
        <v>#REF!</v>
      </c>
      <c r="W41" s="38" t="e">
        <f>'Model-BS'!#REF!</f>
        <v>#REF!</v>
      </c>
      <c r="X41" s="38" t="e">
        <f>'Model-BS'!#REF!</f>
        <v>#REF!</v>
      </c>
      <c r="Y41" s="38" t="e">
        <f>'Model-BS'!#REF!</f>
        <v>#REF!</v>
      </c>
      <c r="Z41" s="38" t="e">
        <f>'Model-BS'!#REF!</f>
        <v>#REF!</v>
      </c>
      <c r="AA41" s="38" t="e">
        <f>'Model-BS'!#REF!</f>
        <v>#REF!</v>
      </c>
      <c r="AB41" s="38" t="e">
        <f>'Model-BS'!#REF!</f>
        <v>#REF!</v>
      </c>
      <c r="AC41" s="38" t="e">
        <f>'Model-BS'!L61</f>
        <v>#REF!</v>
      </c>
      <c r="AD41" s="38" t="e">
        <f>'Model-BS'!#REF!</f>
        <v>#REF!</v>
      </c>
      <c r="AE41" s="38" t="e">
        <f>'Model-BS'!#REF!</f>
        <v>#REF!</v>
      </c>
      <c r="AF41" s="38" t="e">
        <f>'Model-BS'!#REF!</f>
        <v>#REF!</v>
      </c>
      <c r="AG41" s="38" t="e">
        <f>'Model-BS'!#REF!</f>
        <v>#REF!</v>
      </c>
      <c r="AH41" s="38" t="e">
        <f>'Model-BS'!#REF!</f>
        <v>#REF!</v>
      </c>
      <c r="AI41" s="38" t="e">
        <f>'Model-BS'!#REF!</f>
        <v>#REF!</v>
      </c>
      <c r="AJ41" s="38" t="e">
        <f>'Model-BS'!M61</f>
        <v>#REF!</v>
      </c>
      <c r="AK41" s="38" t="e">
        <f>'Model-BS'!#REF!</f>
        <v>#REF!</v>
      </c>
      <c r="AL41" s="38" t="e">
        <f>'Model-BS'!#REF!</f>
        <v>#REF!</v>
      </c>
      <c r="AM41" s="38" t="e">
        <f>'Model-BS'!#REF!</f>
        <v>#REF!</v>
      </c>
      <c r="AN41" s="38" t="e">
        <f>'Model-BS'!#REF!</f>
        <v>#REF!</v>
      </c>
      <c r="AO41" s="38" t="e">
        <f>'Model-BS'!#REF!</f>
        <v>#REF!</v>
      </c>
      <c r="AP41" s="38" t="e">
        <f>'Model-BS'!#REF!</f>
        <v>#REF!</v>
      </c>
      <c r="AQ41" s="38" t="e">
        <f>'Model-BS'!N61</f>
        <v>#REF!</v>
      </c>
      <c r="AR41" s="38" t="e">
        <f>'Model-BS'!#REF!</f>
        <v>#REF!</v>
      </c>
      <c r="AS41" s="38" t="e">
        <f>'Model-BS'!#REF!</f>
        <v>#REF!</v>
      </c>
      <c r="AT41" s="38" t="e">
        <f>'Model-BS'!#REF!</f>
        <v>#REF!</v>
      </c>
      <c r="AU41" s="38" t="e">
        <f>'Model-BS'!#REF!</f>
        <v>#REF!</v>
      </c>
      <c r="AV41" s="38" t="e">
        <f>'Model-BS'!#REF!</f>
        <v>#REF!</v>
      </c>
      <c r="AW41" s="38" t="e">
        <f>'Model-BS'!#REF!</f>
        <v>#REF!</v>
      </c>
      <c r="AX41" s="38" t="e">
        <f>'Model-BS'!O61</f>
        <v>#REF!</v>
      </c>
      <c r="AY41" s="38" t="e">
        <f>'Model-BS'!#REF!</f>
        <v>#REF!</v>
      </c>
      <c r="AZ41" s="38" t="e">
        <f>'Model-BS'!#REF!</f>
        <v>#REF!</v>
      </c>
      <c r="BA41" s="38" t="e">
        <f>'Model-BS'!#REF!</f>
        <v>#REF!</v>
      </c>
      <c r="BB41" s="38" t="e">
        <f>'Model-BS'!#REF!</f>
        <v>#REF!</v>
      </c>
      <c r="BC41" s="38" t="e">
        <f>'Model-BS'!#REF!</f>
        <v>#REF!</v>
      </c>
      <c r="BD41" s="38" t="e">
        <f>'Model-BS'!#REF!</f>
        <v>#REF!</v>
      </c>
      <c r="BE41" s="38" t="e">
        <f>'Model-BS'!P61</f>
        <v>#REF!</v>
      </c>
      <c r="BF41" s="38" t="e">
        <f>'Model-BS'!#REF!</f>
        <v>#REF!</v>
      </c>
      <c r="BG41" s="38" t="e">
        <f>'Model-BS'!#REF!</f>
        <v>#REF!</v>
      </c>
      <c r="BH41" s="38" t="e">
        <f>'Model-BS'!#REF!</f>
        <v>#REF!</v>
      </c>
      <c r="BI41" s="38" t="e">
        <f>'Model-BS'!#REF!</f>
        <v>#REF!</v>
      </c>
      <c r="BJ41" s="38" t="e">
        <f>'Model-BS'!#REF!</f>
        <v>#REF!</v>
      </c>
      <c r="BK41" s="38" t="e">
        <f>'Model-BS'!#REF!</f>
        <v>#REF!</v>
      </c>
      <c r="BL41" s="38" t="e">
        <f>'Model-BS'!Q61</f>
        <v>#REF!</v>
      </c>
      <c r="BM41" s="38" t="e">
        <f>'Model-BS'!R61</f>
        <v>#REF!</v>
      </c>
      <c r="BN41" s="38" t="e">
        <f>'Model-BS'!S61</f>
        <v>#REF!</v>
      </c>
      <c r="BO41" s="38" t="e">
        <f>'Model-BS'!T61</f>
        <v>#REF!</v>
      </c>
      <c r="BP41" s="38" t="e">
        <f>'Model-BS'!U61</f>
        <v>#REF!</v>
      </c>
      <c r="BQ41" s="38">
        <f>'Model-BS'!AB61</f>
        <v>0</v>
      </c>
      <c r="BR41" s="38" t="e">
        <f>'Model-BS'!AI61</f>
        <v>#REF!</v>
      </c>
      <c r="BS41" s="38" t="e">
        <f>'Model-BS'!AP61</f>
        <v>#REF!</v>
      </c>
      <c r="BT41" s="38" t="e">
        <f>'Model-BS'!AW61</f>
        <v>#REF!</v>
      </c>
      <c r="BU41" s="38" t="e">
        <f>'Model-BS'!BD61</f>
        <v>#REF!</v>
      </c>
      <c r="BV41" s="38" t="e">
        <f>'Model-BS'!BK61</f>
        <v>#REF!</v>
      </c>
      <c r="BW41" s="38" t="e">
        <f>'Model-BS'!BL61</f>
        <v>#REF!</v>
      </c>
      <c r="BX41" s="38" t="e">
        <f>'Model-BS'!BM61</f>
        <v>#REF!</v>
      </c>
      <c r="BY41" s="38" t="e">
        <f>'Model-BS'!BN61</f>
        <v>#REF!</v>
      </c>
      <c r="BZ41" s="38" t="e">
        <f>'Model-BS'!BO61</f>
        <v>#REF!</v>
      </c>
    </row>
    <row r="42" spans="2:78" ht="5.25" customHeight="1">
      <c r="BX42" s="7"/>
      <c r="BY42" s="7"/>
      <c r="BZ42" s="7"/>
    </row>
    <row r="43" spans="2:78">
      <c r="B43" s="28" t="s">
        <v>39</v>
      </c>
      <c r="C43" s="29"/>
      <c r="D43" s="30">
        <v>2002</v>
      </c>
      <c r="E43" s="26">
        <f t="shared" ref="E43:AJ43" si="16">E7</f>
        <v>2003</v>
      </c>
      <c r="F43" s="26">
        <f t="shared" si="16"/>
        <v>2004</v>
      </c>
      <c r="G43" s="26">
        <f t="shared" si="16"/>
        <v>2005</v>
      </c>
      <c r="H43" s="26">
        <f t="shared" si="16"/>
        <v>2006</v>
      </c>
      <c r="I43" s="26">
        <f t="shared" si="16"/>
        <v>2009.5833333333301</v>
      </c>
      <c r="J43" s="26">
        <f t="shared" si="16"/>
        <v>2009.6666666666699</v>
      </c>
      <c r="K43" s="26">
        <f t="shared" si="16"/>
        <v>2009.75</v>
      </c>
      <c r="L43" s="26">
        <f t="shared" si="16"/>
        <v>2009.8333333333301</v>
      </c>
      <c r="M43" s="26">
        <f t="shared" si="16"/>
        <v>2009.9166666666699</v>
      </c>
      <c r="N43" s="26">
        <f t="shared" si="16"/>
        <v>2010</v>
      </c>
      <c r="O43" s="26">
        <f t="shared" si="16"/>
        <v>2007</v>
      </c>
      <c r="P43" s="26">
        <f t="shared" si="16"/>
        <v>2010.1666666666699</v>
      </c>
      <c r="Q43" s="26">
        <f t="shared" si="16"/>
        <v>2010.25</v>
      </c>
      <c r="R43" s="26">
        <f t="shared" si="16"/>
        <v>2010.3333333333301</v>
      </c>
      <c r="S43" s="26">
        <f t="shared" si="16"/>
        <v>2010.4166666666699</v>
      </c>
      <c r="T43" s="26">
        <f t="shared" si="16"/>
        <v>2010.5</v>
      </c>
      <c r="U43" s="26">
        <f t="shared" si="16"/>
        <v>2010.5833333333301</v>
      </c>
      <c r="V43" s="26">
        <f t="shared" si="16"/>
        <v>2008</v>
      </c>
      <c r="W43" s="26">
        <f t="shared" si="16"/>
        <v>2010.75</v>
      </c>
      <c r="X43" s="26">
        <f t="shared" si="16"/>
        <v>2010.8333333333301</v>
      </c>
      <c r="Y43" s="26">
        <f t="shared" si="16"/>
        <v>2010.9166666666699</v>
      </c>
      <c r="Z43" s="26">
        <f t="shared" si="16"/>
        <v>2011</v>
      </c>
      <c r="AA43" s="26">
        <f t="shared" si="16"/>
        <v>2011.0833333333301</v>
      </c>
      <c r="AB43" s="26">
        <f t="shared" si="16"/>
        <v>2011.1666666666699</v>
      </c>
      <c r="AC43" s="26">
        <f t="shared" si="16"/>
        <v>2009</v>
      </c>
      <c r="AD43" s="26">
        <f t="shared" si="16"/>
        <v>2011.3333333333301</v>
      </c>
      <c r="AE43" s="26">
        <f t="shared" si="16"/>
        <v>2011.4166666666699</v>
      </c>
      <c r="AF43" s="26">
        <f t="shared" si="16"/>
        <v>2011.5</v>
      </c>
      <c r="AG43" s="26">
        <f t="shared" si="16"/>
        <v>2011.5833333333301</v>
      </c>
      <c r="AH43" s="26">
        <f t="shared" si="16"/>
        <v>2011.6666666666699</v>
      </c>
      <c r="AI43" s="26">
        <f t="shared" si="16"/>
        <v>2011.75</v>
      </c>
      <c r="AJ43" s="26">
        <f t="shared" si="16"/>
        <v>2010</v>
      </c>
      <c r="AK43" s="26">
        <f t="shared" ref="AK43:BP43" si="17">AK7</f>
        <v>2011.9166666666699</v>
      </c>
      <c r="AL43" s="26">
        <f t="shared" si="17"/>
        <v>2012</v>
      </c>
      <c r="AM43" s="26">
        <f t="shared" si="17"/>
        <v>2012.0833333333301</v>
      </c>
      <c r="AN43" s="26">
        <f t="shared" si="17"/>
        <v>2012.1666666666699</v>
      </c>
      <c r="AO43" s="26">
        <f t="shared" si="17"/>
        <v>2012.25</v>
      </c>
      <c r="AP43" s="26">
        <f t="shared" si="17"/>
        <v>2012.3333333333301</v>
      </c>
      <c r="AQ43" s="26">
        <f t="shared" si="17"/>
        <v>2011</v>
      </c>
      <c r="AR43" s="26">
        <f t="shared" si="17"/>
        <v>2012.5</v>
      </c>
      <c r="AS43" s="26">
        <f t="shared" si="17"/>
        <v>2012.5833333333301</v>
      </c>
      <c r="AT43" s="26">
        <f t="shared" si="17"/>
        <v>2012.6666666666699</v>
      </c>
      <c r="AU43" s="26">
        <f t="shared" si="17"/>
        <v>2012.75</v>
      </c>
      <c r="AV43" s="26">
        <f t="shared" si="17"/>
        <v>2012.8333333333301</v>
      </c>
      <c r="AW43" s="26">
        <f t="shared" si="17"/>
        <v>2012.9166666666699</v>
      </c>
      <c r="AX43" s="26">
        <f t="shared" si="17"/>
        <v>2012</v>
      </c>
      <c r="AY43" s="26">
        <f t="shared" si="17"/>
        <v>2013.0833333333301</v>
      </c>
      <c r="AZ43" s="26">
        <f t="shared" si="17"/>
        <v>2013.1666666666699</v>
      </c>
      <c r="BA43" s="26">
        <f t="shared" si="17"/>
        <v>2013.25</v>
      </c>
      <c r="BB43" s="26">
        <f t="shared" si="17"/>
        <v>2013.3333333333301</v>
      </c>
      <c r="BC43" s="26">
        <f t="shared" si="17"/>
        <v>2013.4166666666699</v>
      </c>
      <c r="BD43" s="26">
        <f t="shared" si="17"/>
        <v>2013.5</v>
      </c>
      <c r="BE43" s="26">
        <f t="shared" si="17"/>
        <v>2013</v>
      </c>
      <c r="BF43" s="26">
        <f t="shared" si="17"/>
        <v>2014</v>
      </c>
      <c r="BG43" s="26">
        <f t="shared" si="17"/>
        <v>2014</v>
      </c>
      <c r="BH43" s="26">
        <f t="shared" si="17"/>
        <v>2014</v>
      </c>
      <c r="BI43" s="26">
        <f t="shared" si="17"/>
        <v>2014</v>
      </c>
      <c r="BJ43" s="26">
        <f t="shared" si="17"/>
        <v>2014</v>
      </c>
      <c r="BK43" s="26">
        <f t="shared" si="17"/>
        <v>2014</v>
      </c>
      <c r="BL43" s="26">
        <f t="shared" si="17"/>
        <v>2014</v>
      </c>
      <c r="BM43" s="26">
        <f t="shared" si="17"/>
        <v>2015</v>
      </c>
      <c r="BN43" s="26">
        <f t="shared" si="17"/>
        <v>2016</v>
      </c>
      <c r="BO43" s="26">
        <f t="shared" si="17"/>
        <v>2017</v>
      </c>
      <c r="BP43" s="26">
        <f t="shared" si="17"/>
        <v>2018</v>
      </c>
      <c r="BQ43" s="26">
        <f t="shared" ref="BQ43:BX43" si="18">BQ7</f>
        <v>2019</v>
      </c>
      <c r="BR43" s="26">
        <f t="shared" si="18"/>
        <v>2020</v>
      </c>
      <c r="BS43" s="26">
        <f t="shared" si="18"/>
        <v>2021</v>
      </c>
      <c r="BT43" s="26">
        <f t="shared" si="18"/>
        <v>2022</v>
      </c>
      <c r="BU43" s="26">
        <f t="shared" si="18"/>
        <v>2023</v>
      </c>
      <c r="BV43" s="26">
        <f t="shared" si="18"/>
        <v>2024</v>
      </c>
      <c r="BW43" s="26">
        <f t="shared" si="18"/>
        <v>2025</v>
      </c>
      <c r="BX43" s="26" t="str">
        <f t="shared" si="18"/>
        <v>2026E</v>
      </c>
      <c r="BY43" s="26" t="str">
        <f t="shared" ref="BY43:BZ43" si="19">BY7</f>
        <v>2027E</v>
      </c>
      <c r="BZ43" s="26" t="str">
        <f t="shared" si="19"/>
        <v>2028E</v>
      </c>
    </row>
    <row r="44" spans="2:78" s="31" customFormat="1">
      <c r="B44" s="49" t="s">
        <v>40</v>
      </c>
      <c r="C44" s="35"/>
      <c r="D44" s="35">
        <f>[70]Model!I102</f>
        <v>0</v>
      </c>
      <c r="E44" s="35" t="e">
        <f>'Model-BS'!#REF!</f>
        <v>#REF!</v>
      </c>
      <c r="F44" s="35" t="e">
        <f>'Model-BS'!#REF!</f>
        <v>#REF!</v>
      </c>
      <c r="G44" s="35" t="e">
        <f>'Model-BS'!#REF!</f>
        <v>#REF!</v>
      </c>
      <c r="H44" s="35" t="e">
        <f>'Model-BS'!#REF!</f>
        <v>#REF!</v>
      </c>
      <c r="I44" s="35" t="e">
        <f>'Model-BS'!#REF!</f>
        <v>#REF!</v>
      </c>
      <c r="J44" s="35" t="e">
        <f>'Model-BS'!#REF!</f>
        <v>#REF!</v>
      </c>
      <c r="K44" s="35" t="e">
        <f>'Model-BS'!#REF!</f>
        <v>#REF!</v>
      </c>
      <c r="L44" s="35" t="e">
        <f>'Model-BS'!#REF!</f>
        <v>#REF!</v>
      </c>
      <c r="M44" s="35" t="e">
        <f>'Model-BS'!#REF!</f>
        <v>#REF!</v>
      </c>
      <c r="N44" s="35" t="e">
        <f>'Model-BS'!#REF!</f>
        <v>#REF!</v>
      </c>
      <c r="O44" s="35" t="e">
        <f>'Model-BS'!#REF!</f>
        <v>#REF!</v>
      </c>
      <c r="P44" s="35" t="e">
        <f>'Model-BS'!#REF!</f>
        <v>#REF!</v>
      </c>
      <c r="Q44" s="35" t="e">
        <f>'Model-BS'!#REF!</f>
        <v>#REF!</v>
      </c>
      <c r="R44" s="35" t="e">
        <f>'Model-BS'!#REF!</f>
        <v>#REF!</v>
      </c>
      <c r="S44" s="35" t="e">
        <f>'Model-BS'!#REF!</f>
        <v>#REF!</v>
      </c>
      <c r="T44" s="35" t="e">
        <f>'Model-BS'!#REF!</f>
        <v>#REF!</v>
      </c>
      <c r="U44" s="35" t="e">
        <f>'Model-BS'!#REF!</f>
        <v>#REF!</v>
      </c>
      <c r="V44" s="35" t="e">
        <f>'Model-BS'!#REF!</f>
        <v>#REF!</v>
      </c>
      <c r="W44" s="35" t="e">
        <f>'Model-BS'!#REF!</f>
        <v>#REF!</v>
      </c>
      <c r="X44" s="35" t="e">
        <f>'Model-BS'!#REF!</f>
        <v>#REF!</v>
      </c>
      <c r="Y44" s="35" t="e">
        <f>'Model-BS'!#REF!</f>
        <v>#REF!</v>
      </c>
      <c r="Z44" s="35" t="e">
        <f>'Model-BS'!#REF!</f>
        <v>#REF!</v>
      </c>
      <c r="AA44" s="35" t="e">
        <f>'Model-BS'!#REF!</f>
        <v>#REF!</v>
      </c>
      <c r="AB44" s="35" t="e">
        <f>'Model-BS'!#REF!</f>
        <v>#REF!</v>
      </c>
      <c r="AC44" s="35" t="e">
        <f>'Model-BS'!#REF!</f>
        <v>#REF!</v>
      </c>
      <c r="AD44" s="35" t="e">
        <f>'Model-BS'!#REF!</f>
        <v>#REF!</v>
      </c>
      <c r="AE44" s="35" t="e">
        <f>'Model-BS'!#REF!</f>
        <v>#REF!</v>
      </c>
      <c r="AF44" s="35" t="e">
        <f>'Model-BS'!#REF!</f>
        <v>#REF!</v>
      </c>
      <c r="AG44" s="35" t="e">
        <f>'Model-BS'!#REF!</f>
        <v>#REF!</v>
      </c>
      <c r="AH44" s="35" t="e">
        <f>'Model-BS'!#REF!</f>
        <v>#REF!</v>
      </c>
      <c r="AI44" s="35" t="e">
        <f>'Model-BS'!#REF!</f>
        <v>#REF!</v>
      </c>
      <c r="AJ44" s="35" t="e">
        <f>'Model-BS'!#REF!</f>
        <v>#REF!</v>
      </c>
      <c r="AK44" s="35" t="e">
        <f>'Model-BS'!#REF!</f>
        <v>#REF!</v>
      </c>
      <c r="AL44" s="35" t="e">
        <f>'Model-BS'!#REF!</f>
        <v>#REF!</v>
      </c>
      <c r="AM44" s="35" t="e">
        <f>'Model-BS'!#REF!</f>
        <v>#REF!</v>
      </c>
      <c r="AN44" s="35" t="e">
        <f>'Model-BS'!#REF!</f>
        <v>#REF!</v>
      </c>
      <c r="AO44" s="35" t="e">
        <f>'Model-BS'!#REF!</f>
        <v>#REF!</v>
      </c>
      <c r="AP44" s="35" t="e">
        <f>'Model-BS'!#REF!</f>
        <v>#REF!</v>
      </c>
      <c r="AQ44" s="35" t="e">
        <f>'Model-BS'!#REF!</f>
        <v>#REF!</v>
      </c>
      <c r="AR44" s="35" t="e">
        <f>'Model-BS'!#REF!</f>
        <v>#REF!</v>
      </c>
      <c r="AS44" s="35" t="e">
        <f>'Model-BS'!#REF!</f>
        <v>#REF!</v>
      </c>
      <c r="AT44" s="35" t="e">
        <f>'Model-BS'!#REF!</f>
        <v>#REF!</v>
      </c>
      <c r="AU44" s="35" t="e">
        <f>'Model-BS'!#REF!</f>
        <v>#REF!</v>
      </c>
      <c r="AV44" s="35" t="e">
        <f>'Model-BS'!#REF!</f>
        <v>#REF!</v>
      </c>
      <c r="AW44" s="35" t="e">
        <f>'Model-BS'!#REF!</f>
        <v>#REF!</v>
      </c>
      <c r="AX44" s="35" t="e">
        <f>'Model-BS'!#REF!</f>
        <v>#REF!</v>
      </c>
      <c r="AY44" s="35" t="e">
        <f>'Model-BS'!#REF!</f>
        <v>#REF!</v>
      </c>
      <c r="AZ44" s="35" t="e">
        <f>'Model-BS'!#REF!</f>
        <v>#REF!</v>
      </c>
      <c r="BA44" s="35" t="e">
        <f>'Model-BS'!#REF!</f>
        <v>#REF!</v>
      </c>
      <c r="BB44" s="35" t="e">
        <f>'Model-BS'!#REF!</f>
        <v>#REF!</v>
      </c>
      <c r="BC44" s="35" t="e">
        <f>'Model-BS'!#REF!</f>
        <v>#REF!</v>
      </c>
      <c r="BD44" s="35" t="e">
        <f>'Model-BS'!#REF!</f>
        <v>#REF!</v>
      </c>
      <c r="BE44" s="35" t="e">
        <f>'Model-BS'!#REF!</f>
        <v>#REF!</v>
      </c>
      <c r="BF44" s="35" t="e">
        <f>'Model-BS'!#REF!</f>
        <v>#REF!</v>
      </c>
      <c r="BG44" s="35" t="e">
        <f>'Model-BS'!#REF!</f>
        <v>#REF!</v>
      </c>
      <c r="BH44" s="35" t="e">
        <f>'Model-BS'!#REF!</f>
        <v>#REF!</v>
      </c>
      <c r="BI44" s="35" t="e">
        <f>'Model-BS'!#REF!</f>
        <v>#REF!</v>
      </c>
      <c r="BJ44" s="35" t="e">
        <f>'Model-BS'!#REF!</f>
        <v>#REF!</v>
      </c>
      <c r="BK44" s="35" t="e">
        <f>'Model-BS'!#REF!</f>
        <v>#REF!</v>
      </c>
      <c r="BL44" s="35" t="e">
        <f>'Model-BS'!#REF!</f>
        <v>#REF!</v>
      </c>
      <c r="BM44" s="35" t="e">
        <f>'Model-BS'!R166+'Model-BS'!R179+'Model-BS'!R177</f>
        <v>#REF!</v>
      </c>
      <c r="BN44" s="35" t="e">
        <f>'Model-BS'!S166+'Model-BS'!S179+'Model-BS'!S177</f>
        <v>#REF!</v>
      </c>
      <c r="BO44" s="35" t="e">
        <f>'Model-BS'!T166+'Model-BS'!T179+'Model-BS'!T177</f>
        <v>#REF!</v>
      </c>
      <c r="BP44" s="35" t="e">
        <f>'Model-BS'!U166+'Model-BS'!U179+'Model-BS'!U177</f>
        <v>#REF!</v>
      </c>
      <c r="BQ44" s="35" t="e">
        <f>'Model-BS'!AB166+'Model-BS'!AB179+'Model-BS'!AB177</f>
        <v>#REF!</v>
      </c>
      <c r="BR44" s="35" t="e">
        <f>'Model-BS'!AI166+'Model-BS'!AI179+'Model-BS'!AI177</f>
        <v>#REF!</v>
      </c>
      <c r="BS44" s="35" t="e">
        <f>'Model-BS'!AP166+'Model-BS'!AP179+'Model-BS'!AP177</f>
        <v>#REF!</v>
      </c>
      <c r="BT44" s="35" t="e">
        <f>'Model-BS'!AW166+'Model-BS'!AW179+'Model-BS'!AW177</f>
        <v>#REF!</v>
      </c>
      <c r="BU44" s="35" t="e">
        <f>'Model-BS'!BD166+'Model-BS'!BD179+'Model-BS'!BD177</f>
        <v>#REF!</v>
      </c>
      <c r="BV44" s="35" t="e">
        <f>'Model-BS'!BK166+'Model-BS'!BK179+'Model-BS'!BK177</f>
        <v>#REF!</v>
      </c>
      <c r="BW44" s="35" t="e">
        <f>'Model-BS'!BL166+'Model-BS'!BL179+'Model-BS'!BL177</f>
        <v>#REF!</v>
      </c>
      <c r="BX44" s="35" t="e">
        <f>'Model-BS'!BM166+'Model-BS'!BM179+'Model-BS'!BM177</f>
        <v>#REF!</v>
      </c>
      <c r="BY44" s="35" t="e">
        <f>'Model-BS'!BN166+'Model-BS'!BN179+'Model-BS'!BN177</f>
        <v>#REF!</v>
      </c>
      <c r="BZ44" s="35" t="e">
        <f>'Model-BS'!BO166+'Model-BS'!BO179+'Model-BS'!BO177</f>
        <v>#REF!</v>
      </c>
    </row>
    <row r="45" spans="2:78" s="31" customFormat="1" hidden="1" outlineLevel="1">
      <c r="B45" s="52" t="s">
        <v>41</v>
      </c>
      <c r="C45" s="47"/>
      <c r="D45" s="47">
        <f>[70]Model!I115</f>
        <v>0</v>
      </c>
      <c r="E45" s="47" t="e">
        <f>'Model-BS'!#REF!</f>
        <v>#REF!</v>
      </c>
      <c r="F45" s="47" t="e">
        <f>'Model-BS'!#REF!</f>
        <v>#REF!</v>
      </c>
      <c r="G45" s="47" t="e">
        <f>'Model-BS'!#REF!</f>
        <v>#REF!</v>
      </c>
      <c r="H45" s="47" t="e">
        <f>'Model-BS'!#REF!</f>
        <v>#REF!</v>
      </c>
      <c r="I45" s="47" t="e">
        <f>'Model-BS'!#REF!</f>
        <v>#REF!</v>
      </c>
      <c r="J45" s="47" t="e">
        <f>'Model-BS'!#REF!</f>
        <v>#REF!</v>
      </c>
      <c r="K45" s="47" t="e">
        <f>'Model-BS'!#REF!</f>
        <v>#REF!</v>
      </c>
      <c r="L45" s="47" t="e">
        <f>'Model-BS'!#REF!</f>
        <v>#REF!</v>
      </c>
      <c r="M45" s="47" t="e">
        <f>'Model-BS'!#REF!</f>
        <v>#REF!</v>
      </c>
      <c r="N45" s="47" t="e">
        <f>'Model-BS'!#REF!</f>
        <v>#REF!</v>
      </c>
      <c r="O45" s="47" t="e">
        <f>'Model-BS'!#REF!</f>
        <v>#REF!</v>
      </c>
      <c r="P45" s="47" t="e">
        <f>'Model-BS'!#REF!</f>
        <v>#REF!</v>
      </c>
      <c r="Q45" s="47" t="e">
        <f>'Model-BS'!#REF!</f>
        <v>#REF!</v>
      </c>
      <c r="R45" s="47" t="e">
        <f>'Model-BS'!#REF!</f>
        <v>#REF!</v>
      </c>
      <c r="S45" s="47" t="e">
        <f>'Model-BS'!#REF!</f>
        <v>#REF!</v>
      </c>
      <c r="T45" s="47" t="e">
        <f>'Model-BS'!#REF!</f>
        <v>#REF!</v>
      </c>
      <c r="U45" s="47" t="e">
        <f>'Model-BS'!#REF!</f>
        <v>#REF!</v>
      </c>
      <c r="V45" s="47" t="e">
        <f>'Model-BS'!#REF!</f>
        <v>#REF!</v>
      </c>
      <c r="W45" s="47" t="e">
        <f>'Model-BS'!#REF!</f>
        <v>#REF!</v>
      </c>
      <c r="X45" s="47" t="e">
        <f>'Model-BS'!#REF!</f>
        <v>#REF!</v>
      </c>
      <c r="Y45" s="47" t="e">
        <f>'Model-BS'!#REF!</f>
        <v>#REF!</v>
      </c>
      <c r="Z45" s="47" t="e">
        <f>'Model-BS'!#REF!</f>
        <v>#REF!</v>
      </c>
      <c r="AA45" s="47" t="e">
        <f>'Model-BS'!#REF!</f>
        <v>#REF!</v>
      </c>
      <c r="AB45" s="47" t="e">
        <f>'Model-BS'!#REF!</f>
        <v>#REF!</v>
      </c>
      <c r="AC45" s="47" t="e">
        <f>'Model-BS'!#REF!</f>
        <v>#REF!</v>
      </c>
      <c r="AD45" s="47" t="e">
        <f>'Model-BS'!#REF!</f>
        <v>#REF!</v>
      </c>
      <c r="AE45" s="47" t="e">
        <f>'Model-BS'!#REF!</f>
        <v>#REF!</v>
      </c>
      <c r="AF45" s="47" t="e">
        <f>'Model-BS'!#REF!</f>
        <v>#REF!</v>
      </c>
      <c r="AG45" s="47" t="e">
        <f>'Model-BS'!#REF!</f>
        <v>#REF!</v>
      </c>
      <c r="AH45" s="47" t="e">
        <f>'Model-BS'!#REF!</f>
        <v>#REF!</v>
      </c>
      <c r="AI45" s="47" t="e">
        <f>'Model-BS'!#REF!</f>
        <v>#REF!</v>
      </c>
      <c r="AJ45" s="47" t="e">
        <f>'Model-BS'!#REF!</f>
        <v>#REF!</v>
      </c>
      <c r="AK45" s="47" t="e">
        <f>'Model-BS'!#REF!</f>
        <v>#REF!</v>
      </c>
      <c r="AL45" s="47" t="e">
        <f>'Model-BS'!#REF!</f>
        <v>#REF!</v>
      </c>
      <c r="AM45" s="47" t="e">
        <f>'Model-BS'!#REF!</f>
        <v>#REF!</v>
      </c>
      <c r="AN45" s="47" t="e">
        <f>'Model-BS'!#REF!</f>
        <v>#REF!</v>
      </c>
      <c r="AO45" s="47" t="e">
        <f>'Model-BS'!#REF!</f>
        <v>#REF!</v>
      </c>
      <c r="AP45" s="47" t="e">
        <f>'Model-BS'!#REF!</f>
        <v>#REF!</v>
      </c>
      <c r="AQ45" s="47" t="e">
        <f>'Model-BS'!#REF!</f>
        <v>#REF!</v>
      </c>
      <c r="AR45" s="47" t="e">
        <f>'Model-BS'!#REF!</f>
        <v>#REF!</v>
      </c>
      <c r="AS45" s="47" t="e">
        <f>'Model-BS'!#REF!</f>
        <v>#REF!</v>
      </c>
      <c r="AT45" s="47" t="e">
        <f>'Model-BS'!#REF!</f>
        <v>#REF!</v>
      </c>
      <c r="AU45" s="47" t="e">
        <f>'Model-BS'!#REF!</f>
        <v>#REF!</v>
      </c>
      <c r="AV45" s="47" t="e">
        <f>'Model-BS'!#REF!</f>
        <v>#REF!</v>
      </c>
      <c r="AW45" s="47" t="e">
        <f>'Model-BS'!#REF!</f>
        <v>#REF!</v>
      </c>
      <c r="AX45" s="47" t="e">
        <f>'Model-BS'!#REF!</f>
        <v>#REF!</v>
      </c>
      <c r="AY45" s="47" t="e">
        <f>'Model-BS'!#REF!</f>
        <v>#REF!</v>
      </c>
      <c r="AZ45" s="47" t="e">
        <f>'Model-BS'!#REF!</f>
        <v>#REF!</v>
      </c>
      <c r="BA45" s="47" t="e">
        <f>'Model-BS'!#REF!</f>
        <v>#REF!</v>
      </c>
      <c r="BB45" s="47" t="e">
        <f>'Model-BS'!#REF!</f>
        <v>#REF!</v>
      </c>
      <c r="BC45" s="47" t="e">
        <f>'Model-BS'!#REF!</f>
        <v>#REF!</v>
      </c>
      <c r="BD45" s="47" t="e">
        <f>'Model-BS'!#REF!</f>
        <v>#REF!</v>
      </c>
      <c r="BE45" s="47" t="e">
        <f>'Model-BS'!#REF!</f>
        <v>#REF!</v>
      </c>
      <c r="BF45" s="47" t="e">
        <f>'Model-BS'!#REF!</f>
        <v>#REF!</v>
      </c>
      <c r="BG45" s="47" t="e">
        <f>'Model-BS'!#REF!</f>
        <v>#REF!</v>
      </c>
      <c r="BH45" s="47" t="e">
        <f>'Model-BS'!#REF!</f>
        <v>#REF!</v>
      </c>
      <c r="BI45" s="47" t="e">
        <f>'Model-BS'!#REF!</f>
        <v>#REF!</v>
      </c>
      <c r="BJ45" s="47" t="e">
        <f>'Model-BS'!#REF!</f>
        <v>#REF!</v>
      </c>
      <c r="BK45" s="47" t="e">
        <f>'Model-BS'!#REF!</f>
        <v>#REF!</v>
      </c>
      <c r="BL45" s="47" t="e">
        <f>'Model-BS'!#REF!</f>
        <v>#REF!</v>
      </c>
      <c r="BM45" s="47" t="e">
        <f>'Model-BS'!#REF!</f>
        <v>#REF!</v>
      </c>
      <c r="BN45" s="47" t="e">
        <f>'Model-BS'!#REF!</f>
        <v>#REF!</v>
      </c>
      <c r="BO45" s="47" t="e">
        <f>'Model-BS'!#REF!</f>
        <v>#REF!</v>
      </c>
      <c r="BP45" s="47" t="e">
        <f>'Model-BS'!#REF!</f>
        <v>#REF!</v>
      </c>
      <c r="BQ45" s="47" t="e">
        <f>'Model-BS'!#REF!</f>
        <v>#REF!</v>
      </c>
      <c r="BR45" s="47" t="e">
        <f>'Model-BS'!#REF!</f>
        <v>#REF!</v>
      </c>
      <c r="BS45" s="47" t="e">
        <f>'Model-BS'!#REF!</f>
        <v>#REF!</v>
      </c>
      <c r="BT45" s="47" t="e">
        <f>'Model-BS'!#REF!</f>
        <v>#REF!</v>
      </c>
      <c r="BU45" s="47" t="e">
        <f>'Model-BS'!#REF!</f>
        <v>#REF!</v>
      </c>
      <c r="BV45" s="47" t="e">
        <f>'Model-BS'!#REF!</f>
        <v>#REF!</v>
      </c>
      <c r="BW45" s="47" t="e">
        <f>'Model-BS'!#REF!</f>
        <v>#REF!</v>
      </c>
      <c r="BX45" s="47" t="e">
        <f>'Model-BS'!#REF!</f>
        <v>#REF!</v>
      </c>
      <c r="BY45" s="47" t="e">
        <f>'Model-BS'!#REF!</f>
        <v>#REF!</v>
      </c>
      <c r="BZ45" s="47" t="e">
        <f>'Model-BS'!#REF!</f>
        <v>#REF!</v>
      </c>
    </row>
    <row r="46" spans="2:78" s="31" customFormat="1" hidden="1" outlineLevel="1">
      <c r="B46" s="53" t="s">
        <v>42</v>
      </c>
      <c r="C46" s="54"/>
      <c r="D46" s="54">
        <f>[70]Model!I129</f>
        <v>0</v>
      </c>
      <c r="E46" s="54" t="e">
        <f>'Model-BS'!#REF!</f>
        <v>#REF!</v>
      </c>
      <c r="F46" s="54" t="e">
        <f>'Model-BS'!#REF!</f>
        <v>#REF!</v>
      </c>
      <c r="G46" s="54" t="e">
        <f>'Model-BS'!#REF!</f>
        <v>#REF!</v>
      </c>
      <c r="H46" s="54" t="e">
        <f>'Model-BS'!#REF!</f>
        <v>#REF!</v>
      </c>
      <c r="I46" s="54" t="e">
        <f>'Model-BS'!#REF!</f>
        <v>#REF!</v>
      </c>
      <c r="J46" s="54" t="e">
        <f>'Model-BS'!#REF!</f>
        <v>#REF!</v>
      </c>
      <c r="K46" s="54" t="e">
        <f>'Model-BS'!#REF!</f>
        <v>#REF!</v>
      </c>
      <c r="L46" s="54" t="e">
        <f>'Model-BS'!#REF!</f>
        <v>#REF!</v>
      </c>
      <c r="M46" s="54" t="e">
        <f>'Model-BS'!#REF!</f>
        <v>#REF!</v>
      </c>
      <c r="N46" s="54" t="e">
        <f>'Model-BS'!#REF!</f>
        <v>#REF!</v>
      </c>
      <c r="O46" s="54" t="e">
        <f>'Model-BS'!#REF!</f>
        <v>#REF!</v>
      </c>
      <c r="P46" s="54" t="e">
        <f>'Model-BS'!#REF!</f>
        <v>#REF!</v>
      </c>
      <c r="Q46" s="54" t="e">
        <f>'Model-BS'!#REF!</f>
        <v>#REF!</v>
      </c>
      <c r="R46" s="54" t="e">
        <f>'Model-BS'!#REF!</f>
        <v>#REF!</v>
      </c>
      <c r="S46" s="54" t="e">
        <f>'Model-BS'!#REF!</f>
        <v>#REF!</v>
      </c>
      <c r="T46" s="54" t="e">
        <f>'Model-BS'!#REF!</f>
        <v>#REF!</v>
      </c>
      <c r="U46" s="54" t="e">
        <f>'Model-BS'!#REF!</f>
        <v>#REF!</v>
      </c>
      <c r="V46" s="54" t="e">
        <f>'Model-BS'!#REF!</f>
        <v>#REF!</v>
      </c>
      <c r="W46" s="54" t="e">
        <f>'Model-BS'!#REF!</f>
        <v>#REF!</v>
      </c>
      <c r="X46" s="54" t="e">
        <f>'Model-BS'!#REF!</f>
        <v>#REF!</v>
      </c>
      <c r="Y46" s="54" t="e">
        <f>'Model-BS'!#REF!</f>
        <v>#REF!</v>
      </c>
      <c r="Z46" s="54" t="e">
        <f>'Model-BS'!#REF!</f>
        <v>#REF!</v>
      </c>
      <c r="AA46" s="54" t="e">
        <f>'Model-BS'!#REF!</f>
        <v>#REF!</v>
      </c>
      <c r="AB46" s="54" t="e">
        <f>'Model-BS'!#REF!</f>
        <v>#REF!</v>
      </c>
      <c r="AC46" s="54" t="e">
        <f>'Model-BS'!#REF!</f>
        <v>#REF!</v>
      </c>
      <c r="AD46" s="54" t="e">
        <f>'Model-BS'!#REF!</f>
        <v>#REF!</v>
      </c>
      <c r="AE46" s="54" t="e">
        <f>'Model-BS'!#REF!</f>
        <v>#REF!</v>
      </c>
      <c r="AF46" s="54" t="e">
        <f>'Model-BS'!#REF!</f>
        <v>#REF!</v>
      </c>
      <c r="AG46" s="54" t="e">
        <f>'Model-BS'!#REF!</f>
        <v>#REF!</v>
      </c>
      <c r="AH46" s="54" t="e">
        <f>'Model-BS'!#REF!</f>
        <v>#REF!</v>
      </c>
      <c r="AI46" s="54" t="e">
        <f>'Model-BS'!#REF!</f>
        <v>#REF!</v>
      </c>
      <c r="AJ46" s="54" t="e">
        <f>'Model-BS'!#REF!</f>
        <v>#REF!</v>
      </c>
      <c r="AK46" s="54" t="e">
        <f>'Model-BS'!#REF!</f>
        <v>#REF!</v>
      </c>
      <c r="AL46" s="54" t="e">
        <f>'Model-BS'!#REF!</f>
        <v>#REF!</v>
      </c>
      <c r="AM46" s="54" t="e">
        <f>'Model-BS'!#REF!</f>
        <v>#REF!</v>
      </c>
      <c r="AN46" s="54" t="e">
        <f>'Model-BS'!#REF!</f>
        <v>#REF!</v>
      </c>
      <c r="AO46" s="54" t="e">
        <f>'Model-BS'!#REF!</f>
        <v>#REF!</v>
      </c>
      <c r="AP46" s="54" t="e">
        <f>'Model-BS'!#REF!</f>
        <v>#REF!</v>
      </c>
      <c r="AQ46" s="54" t="e">
        <f>'Model-BS'!#REF!</f>
        <v>#REF!</v>
      </c>
      <c r="AR46" s="54" t="e">
        <f>'Model-BS'!#REF!</f>
        <v>#REF!</v>
      </c>
      <c r="AS46" s="54" t="e">
        <f>'Model-BS'!#REF!</f>
        <v>#REF!</v>
      </c>
      <c r="AT46" s="54" t="e">
        <f>'Model-BS'!#REF!</f>
        <v>#REF!</v>
      </c>
      <c r="AU46" s="54" t="e">
        <f>'Model-BS'!#REF!</f>
        <v>#REF!</v>
      </c>
      <c r="AV46" s="54" t="e">
        <f>'Model-BS'!#REF!</f>
        <v>#REF!</v>
      </c>
      <c r="AW46" s="54" t="e">
        <f>'Model-BS'!#REF!</f>
        <v>#REF!</v>
      </c>
      <c r="AX46" s="54" t="e">
        <f>'Model-BS'!#REF!</f>
        <v>#REF!</v>
      </c>
      <c r="AY46" s="54" t="e">
        <f>'Model-BS'!#REF!</f>
        <v>#REF!</v>
      </c>
      <c r="AZ46" s="54" t="e">
        <f>'Model-BS'!#REF!</f>
        <v>#REF!</v>
      </c>
      <c r="BA46" s="54" t="e">
        <f>'Model-BS'!#REF!</f>
        <v>#REF!</v>
      </c>
      <c r="BB46" s="54" t="e">
        <f>'Model-BS'!#REF!</f>
        <v>#REF!</v>
      </c>
      <c r="BC46" s="54" t="e">
        <f>'Model-BS'!#REF!</f>
        <v>#REF!</v>
      </c>
      <c r="BD46" s="54" t="e">
        <f>'Model-BS'!#REF!</f>
        <v>#REF!</v>
      </c>
      <c r="BE46" s="54" t="e">
        <f>'Model-BS'!#REF!</f>
        <v>#REF!</v>
      </c>
      <c r="BF46" s="54" t="e">
        <f>'Model-BS'!#REF!</f>
        <v>#REF!</v>
      </c>
      <c r="BG46" s="54" t="e">
        <f>'Model-BS'!#REF!</f>
        <v>#REF!</v>
      </c>
      <c r="BH46" s="54" t="e">
        <f>'Model-BS'!#REF!</f>
        <v>#REF!</v>
      </c>
      <c r="BI46" s="54" t="e">
        <f>'Model-BS'!#REF!</f>
        <v>#REF!</v>
      </c>
      <c r="BJ46" s="54" t="e">
        <f>'Model-BS'!#REF!</f>
        <v>#REF!</v>
      </c>
      <c r="BK46" s="54" t="e">
        <f>'Model-BS'!#REF!</f>
        <v>#REF!</v>
      </c>
      <c r="BL46" s="54" t="e">
        <f>'Model-BS'!#REF!</f>
        <v>#REF!</v>
      </c>
      <c r="BM46" s="54" t="e">
        <f>'Model-BS'!#REF!</f>
        <v>#REF!</v>
      </c>
      <c r="BN46" s="54" t="e">
        <f>'Model-BS'!#REF!</f>
        <v>#REF!</v>
      </c>
      <c r="BO46" s="54" t="e">
        <f>'Model-BS'!#REF!</f>
        <v>#REF!</v>
      </c>
      <c r="BP46" s="54" t="e">
        <f>'Model-BS'!#REF!</f>
        <v>#REF!</v>
      </c>
      <c r="BQ46" s="54" t="e">
        <f>'Model-BS'!#REF!</f>
        <v>#REF!</v>
      </c>
      <c r="BR46" s="54" t="e">
        <f>'Model-BS'!#REF!</f>
        <v>#REF!</v>
      </c>
      <c r="BS46" s="54" t="e">
        <f>'Model-BS'!#REF!</f>
        <v>#REF!</v>
      </c>
      <c r="BT46" s="54" t="e">
        <f>'Model-BS'!#REF!</f>
        <v>#REF!</v>
      </c>
      <c r="BU46" s="54" t="e">
        <f>'Model-BS'!#REF!</f>
        <v>#REF!</v>
      </c>
      <c r="BV46" s="54" t="e">
        <f>'Model-BS'!#REF!</f>
        <v>#REF!</v>
      </c>
      <c r="BW46" s="54" t="e">
        <f>'Model-BS'!#REF!</f>
        <v>#REF!</v>
      </c>
      <c r="BX46" s="54" t="e">
        <f>'Model-BS'!#REF!</f>
        <v>#REF!</v>
      </c>
      <c r="BY46" s="54" t="e">
        <f>'Model-BS'!#REF!</f>
        <v>#REF!</v>
      </c>
      <c r="BZ46" s="54" t="e">
        <f>'Model-BS'!#REF!</f>
        <v>#REF!</v>
      </c>
    </row>
    <row r="47" spans="2:78" s="31" customFormat="1" collapsed="1">
      <c r="B47" s="55" t="s">
        <v>43</v>
      </c>
      <c r="C47" s="56"/>
      <c r="D47" s="56">
        <f>[70]Model!I132</f>
        <v>0</v>
      </c>
      <c r="E47" s="56" t="e">
        <f>'Model-BS'!#REF!</f>
        <v>#REF!</v>
      </c>
      <c r="F47" s="56" t="e">
        <f>'Model-BS'!#REF!</f>
        <v>#REF!</v>
      </c>
      <c r="G47" s="56" t="e">
        <f>'Model-BS'!#REF!</f>
        <v>#REF!</v>
      </c>
      <c r="H47" s="56" t="e">
        <f>'Model-BS'!#REF!</f>
        <v>#REF!</v>
      </c>
      <c r="I47" s="56" t="e">
        <f>'Model-BS'!#REF!</f>
        <v>#REF!</v>
      </c>
      <c r="J47" s="56" t="e">
        <f>'Model-BS'!#REF!</f>
        <v>#REF!</v>
      </c>
      <c r="K47" s="56" t="e">
        <f>'Model-BS'!#REF!</f>
        <v>#REF!</v>
      </c>
      <c r="L47" s="56" t="e">
        <f>'Model-BS'!#REF!</f>
        <v>#REF!</v>
      </c>
      <c r="M47" s="56" t="e">
        <f>'Model-BS'!#REF!</f>
        <v>#REF!</v>
      </c>
      <c r="N47" s="56" t="e">
        <f>'Model-BS'!#REF!</f>
        <v>#REF!</v>
      </c>
      <c r="O47" s="56" t="e">
        <f>'Model-BS'!#REF!</f>
        <v>#REF!</v>
      </c>
      <c r="P47" s="56" t="e">
        <f>'Model-BS'!#REF!</f>
        <v>#REF!</v>
      </c>
      <c r="Q47" s="56" t="e">
        <f>'Model-BS'!#REF!</f>
        <v>#REF!</v>
      </c>
      <c r="R47" s="56" t="e">
        <f>'Model-BS'!#REF!</f>
        <v>#REF!</v>
      </c>
      <c r="S47" s="56" t="e">
        <f>'Model-BS'!#REF!</f>
        <v>#REF!</v>
      </c>
      <c r="T47" s="56" t="e">
        <f>'Model-BS'!#REF!</f>
        <v>#REF!</v>
      </c>
      <c r="U47" s="56" t="e">
        <f>'Model-BS'!#REF!</f>
        <v>#REF!</v>
      </c>
      <c r="V47" s="56" t="e">
        <f>'Model-BS'!#REF!</f>
        <v>#REF!</v>
      </c>
      <c r="W47" s="56" t="e">
        <f>'Model-BS'!#REF!</f>
        <v>#REF!</v>
      </c>
      <c r="X47" s="56" t="e">
        <f>'Model-BS'!#REF!</f>
        <v>#REF!</v>
      </c>
      <c r="Y47" s="56" t="e">
        <f>'Model-BS'!#REF!</f>
        <v>#REF!</v>
      </c>
      <c r="Z47" s="56" t="e">
        <f>'Model-BS'!#REF!</f>
        <v>#REF!</v>
      </c>
      <c r="AA47" s="56" t="e">
        <f>'Model-BS'!#REF!</f>
        <v>#REF!</v>
      </c>
      <c r="AB47" s="56" t="e">
        <f>'Model-BS'!#REF!</f>
        <v>#REF!</v>
      </c>
      <c r="AC47" s="56" t="e">
        <f>'Model-BS'!#REF!</f>
        <v>#REF!</v>
      </c>
      <c r="AD47" s="56" t="e">
        <f>'Model-BS'!#REF!</f>
        <v>#REF!</v>
      </c>
      <c r="AE47" s="56" t="e">
        <f>'Model-BS'!#REF!</f>
        <v>#REF!</v>
      </c>
      <c r="AF47" s="56" t="e">
        <f>'Model-BS'!#REF!</f>
        <v>#REF!</v>
      </c>
      <c r="AG47" s="56" t="e">
        <f>'Model-BS'!#REF!</f>
        <v>#REF!</v>
      </c>
      <c r="AH47" s="56" t="e">
        <f>'Model-BS'!#REF!</f>
        <v>#REF!</v>
      </c>
      <c r="AI47" s="56" t="e">
        <f>'Model-BS'!#REF!</f>
        <v>#REF!</v>
      </c>
      <c r="AJ47" s="56" t="e">
        <f>'Model-BS'!#REF!</f>
        <v>#REF!</v>
      </c>
      <c r="AK47" s="56" t="e">
        <f>'Model-BS'!#REF!</f>
        <v>#REF!</v>
      </c>
      <c r="AL47" s="56" t="e">
        <f>'Model-BS'!#REF!</f>
        <v>#REF!</v>
      </c>
      <c r="AM47" s="56" t="e">
        <f>'Model-BS'!#REF!</f>
        <v>#REF!</v>
      </c>
      <c r="AN47" s="56" t="e">
        <f>'Model-BS'!#REF!</f>
        <v>#REF!</v>
      </c>
      <c r="AO47" s="56" t="e">
        <f>'Model-BS'!#REF!</f>
        <v>#REF!</v>
      </c>
      <c r="AP47" s="56" t="e">
        <f>'Model-BS'!#REF!</f>
        <v>#REF!</v>
      </c>
      <c r="AQ47" s="56" t="e">
        <f>'Model-BS'!#REF!</f>
        <v>#REF!</v>
      </c>
      <c r="AR47" s="56" t="e">
        <f>'Model-BS'!#REF!</f>
        <v>#REF!</v>
      </c>
      <c r="AS47" s="56" t="e">
        <f>'Model-BS'!#REF!</f>
        <v>#REF!</v>
      </c>
      <c r="AT47" s="56" t="e">
        <f>'Model-BS'!#REF!</f>
        <v>#REF!</v>
      </c>
      <c r="AU47" s="56" t="e">
        <f>'Model-BS'!#REF!</f>
        <v>#REF!</v>
      </c>
      <c r="AV47" s="56" t="e">
        <f>'Model-BS'!#REF!</f>
        <v>#REF!</v>
      </c>
      <c r="AW47" s="56" t="e">
        <f>'Model-BS'!#REF!</f>
        <v>#REF!</v>
      </c>
      <c r="AX47" s="56" t="e">
        <f>'Model-BS'!#REF!</f>
        <v>#REF!</v>
      </c>
      <c r="AY47" s="56" t="e">
        <f>'Model-BS'!#REF!</f>
        <v>#REF!</v>
      </c>
      <c r="AZ47" s="56" t="e">
        <f>'Model-BS'!#REF!</f>
        <v>#REF!</v>
      </c>
      <c r="BA47" s="56" t="e">
        <f>'Model-BS'!#REF!</f>
        <v>#REF!</v>
      </c>
      <c r="BB47" s="56" t="e">
        <f>'Model-BS'!#REF!</f>
        <v>#REF!</v>
      </c>
      <c r="BC47" s="56" t="e">
        <f>'Model-BS'!#REF!</f>
        <v>#REF!</v>
      </c>
      <c r="BD47" s="56" t="e">
        <f>'Model-BS'!#REF!</f>
        <v>#REF!</v>
      </c>
      <c r="BE47" s="56" t="e">
        <f>'Model-BS'!#REF!</f>
        <v>#REF!</v>
      </c>
      <c r="BF47" s="56" t="e">
        <f>'Model-BS'!#REF!</f>
        <v>#REF!</v>
      </c>
      <c r="BG47" s="56" t="e">
        <f>'Model-BS'!#REF!</f>
        <v>#REF!</v>
      </c>
      <c r="BH47" s="56" t="e">
        <f>'Model-BS'!#REF!</f>
        <v>#REF!</v>
      </c>
      <c r="BI47" s="56" t="e">
        <f>'Model-BS'!#REF!</f>
        <v>#REF!</v>
      </c>
      <c r="BJ47" s="56" t="e">
        <f>'Model-BS'!#REF!</f>
        <v>#REF!</v>
      </c>
      <c r="BK47" s="56" t="e">
        <f>'Model-BS'!#REF!</f>
        <v>#REF!</v>
      </c>
      <c r="BL47" s="56" t="e">
        <f>'Model-BS'!#REF!</f>
        <v>#REF!</v>
      </c>
      <c r="BM47" s="56" t="e">
        <f>'Model-BS'!R246</f>
        <v>#REF!</v>
      </c>
      <c r="BN47" s="56" t="e">
        <f>'Model-BS'!S246</f>
        <v>#REF!</v>
      </c>
      <c r="BO47" s="56" t="e">
        <f>'Model-BS'!T246</f>
        <v>#REF!</v>
      </c>
      <c r="BP47" s="56" t="e">
        <f>'Model-BS'!U246</f>
        <v>#REF!</v>
      </c>
      <c r="BQ47" s="56" t="e">
        <f>'Model-BS'!AB246</f>
        <v>#REF!</v>
      </c>
      <c r="BR47" s="56" t="e">
        <f>'Model-BS'!AI246</f>
        <v>#REF!</v>
      </c>
      <c r="BS47" s="56" t="e">
        <f>'Model-BS'!AP246</f>
        <v>#REF!</v>
      </c>
      <c r="BT47" s="56" t="e">
        <f>'Model-BS'!AW246</f>
        <v>#REF!</v>
      </c>
      <c r="BU47" s="56" t="e">
        <f>'Model-BS'!BD246</f>
        <v>#REF!</v>
      </c>
      <c r="BV47" s="56" t="e">
        <f>'Model-BS'!BK246</f>
        <v>#REF!</v>
      </c>
      <c r="BW47" s="56" t="e">
        <f>'Model-BS'!BL246</f>
        <v>#REF!</v>
      </c>
      <c r="BX47" s="56" t="e">
        <f>'Model-BS'!BM246</f>
        <v>#REF!</v>
      </c>
      <c r="BY47" s="56" t="e">
        <f>'Model-BS'!BN246</f>
        <v>#REF!</v>
      </c>
      <c r="BZ47" s="56" t="e">
        <f>'Model-BS'!BO246</f>
        <v>#REF!</v>
      </c>
    </row>
    <row r="48" spans="2:78" s="31" customFormat="1">
      <c r="B48" s="53" t="s">
        <v>44</v>
      </c>
      <c r="C48" s="54"/>
      <c r="D48" s="54">
        <f>[70]Model!I138</f>
        <v>0</v>
      </c>
      <c r="E48" s="54" t="e">
        <f>'Model-BS'!#REF!</f>
        <v>#REF!</v>
      </c>
      <c r="F48" s="54" t="e">
        <f>'Model-BS'!#REF!</f>
        <v>#REF!</v>
      </c>
      <c r="G48" s="54" t="e">
        <f>'Model-BS'!#REF!</f>
        <v>#REF!</v>
      </c>
      <c r="H48" s="54" t="e">
        <f>'Model-BS'!#REF!</f>
        <v>#REF!</v>
      </c>
      <c r="I48" s="54" t="e">
        <f>'Model-BS'!#REF!</f>
        <v>#REF!</v>
      </c>
      <c r="J48" s="54" t="e">
        <f>'Model-BS'!#REF!</f>
        <v>#REF!</v>
      </c>
      <c r="K48" s="54" t="e">
        <f>'Model-BS'!#REF!</f>
        <v>#REF!</v>
      </c>
      <c r="L48" s="54" t="e">
        <f>'Model-BS'!#REF!</f>
        <v>#REF!</v>
      </c>
      <c r="M48" s="54" t="e">
        <f>'Model-BS'!#REF!</f>
        <v>#REF!</v>
      </c>
      <c r="N48" s="54" t="e">
        <f>'Model-BS'!#REF!</f>
        <v>#REF!</v>
      </c>
      <c r="O48" s="54" t="e">
        <f>'Model-BS'!#REF!</f>
        <v>#REF!</v>
      </c>
      <c r="P48" s="54" t="e">
        <f>'Model-BS'!#REF!</f>
        <v>#REF!</v>
      </c>
      <c r="Q48" s="54" t="e">
        <f>'Model-BS'!#REF!</f>
        <v>#REF!</v>
      </c>
      <c r="R48" s="54" t="e">
        <f>'Model-BS'!#REF!</f>
        <v>#REF!</v>
      </c>
      <c r="S48" s="54" t="e">
        <f>'Model-BS'!#REF!</f>
        <v>#REF!</v>
      </c>
      <c r="T48" s="54" t="e">
        <f>'Model-BS'!#REF!</f>
        <v>#REF!</v>
      </c>
      <c r="U48" s="54" t="e">
        <f>'Model-BS'!#REF!</f>
        <v>#REF!</v>
      </c>
      <c r="V48" s="54" t="e">
        <f>'Model-BS'!#REF!</f>
        <v>#REF!</v>
      </c>
      <c r="W48" s="54" t="e">
        <f>'Model-BS'!#REF!</f>
        <v>#REF!</v>
      </c>
      <c r="X48" s="54" t="e">
        <f>'Model-BS'!#REF!</f>
        <v>#REF!</v>
      </c>
      <c r="Y48" s="54" t="e">
        <f>'Model-BS'!#REF!</f>
        <v>#REF!</v>
      </c>
      <c r="Z48" s="54" t="e">
        <f>'Model-BS'!#REF!</f>
        <v>#REF!</v>
      </c>
      <c r="AA48" s="54" t="e">
        <f>'Model-BS'!#REF!</f>
        <v>#REF!</v>
      </c>
      <c r="AB48" s="54" t="e">
        <f>'Model-BS'!#REF!</f>
        <v>#REF!</v>
      </c>
      <c r="AC48" s="54" t="e">
        <f>'Model-BS'!#REF!</f>
        <v>#REF!</v>
      </c>
      <c r="AD48" s="54" t="e">
        <f>'Model-BS'!#REF!</f>
        <v>#REF!</v>
      </c>
      <c r="AE48" s="54" t="e">
        <f>'Model-BS'!#REF!</f>
        <v>#REF!</v>
      </c>
      <c r="AF48" s="54" t="e">
        <f>'Model-BS'!#REF!</f>
        <v>#REF!</v>
      </c>
      <c r="AG48" s="54" t="e">
        <f>'Model-BS'!#REF!</f>
        <v>#REF!</v>
      </c>
      <c r="AH48" s="54" t="e">
        <f>'Model-BS'!#REF!</f>
        <v>#REF!</v>
      </c>
      <c r="AI48" s="54" t="e">
        <f>'Model-BS'!#REF!</f>
        <v>#REF!</v>
      </c>
      <c r="AJ48" s="54" t="e">
        <f>'Model-BS'!#REF!</f>
        <v>#REF!</v>
      </c>
      <c r="AK48" s="54" t="e">
        <f>'Model-BS'!#REF!</f>
        <v>#REF!</v>
      </c>
      <c r="AL48" s="54" t="e">
        <f>'Model-BS'!#REF!</f>
        <v>#REF!</v>
      </c>
      <c r="AM48" s="54" t="e">
        <f>'Model-BS'!#REF!</f>
        <v>#REF!</v>
      </c>
      <c r="AN48" s="54" t="e">
        <f>'Model-BS'!#REF!</f>
        <v>#REF!</v>
      </c>
      <c r="AO48" s="54" t="e">
        <f>'Model-BS'!#REF!</f>
        <v>#REF!</v>
      </c>
      <c r="AP48" s="54" t="e">
        <f>'Model-BS'!#REF!</f>
        <v>#REF!</v>
      </c>
      <c r="AQ48" s="54" t="e">
        <f>'Model-BS'!#REF!</f>
        <v>#REF!</v>
      </c>
      <c r="AR48" s="54" t="e">
        <f>'Model-BS'!#REF!</f>
        <v>#REF!</v>
      </c>
      <c r="AS48" s="54" t="e">
        <f>'Model-BS'!#REF!</f>
        <v>#REF!</v>
      </c>
      <c r="AT48" s="54" t="e">
        <f>'Model-BS'!#REF!</f>
        <v>#REF!</v>
      </c>
      <c r="AU48" s="54" t="e">
        <f>'Model-BS'!#REF!</f>
        <v>#REF!</v>
      </c>
      <c r="AV48" s="54" t="e">
        <f>'Model-BS'!#REF!</f>
        <v>#REF!</v>
      </c>
      <c r="AW48" s="54" t="e">
        <f>'Model-BS'!#REF!</f>
        <v>#REF!</v>
      </c>
      <c r="AX48" s="54" t="e">
        <f>'Model-BS'!#REF!</f>
        <v>#REF!</v>
      </c>
      <c r="AY48" s="54" t="e">
        <f>'Model-BS'!#REF!</f>
        <v>#REF!</v>
      </c>
      <c r="AZ48" s="54" t="e">
        <f>'Model-BS'!#REF!</f>
        <v>#REF!</v>
      </c>
      <c r="BA48" s="54" t="e">
        <f>'Model-BS'!#REF!</f>
        <v>#REF!</v>
      </c>
      <c r="BB48" s="54" t="e">
        <f>'Model-BS'!#REF!</f>
        <v>#REF!</v>
      </c>
      <c r="BC48" s="54" t="e">
        <f>'Model-BS'!#REF!</f>
        <v>#REF!</v>
      </c>
      <c r="BD48" s="54" t="e">
        <f>'Model-BS'!#REF!</f>
        <v>#REF!</v>
      </c>
      <c r="BE48" s="54" t="e">
        <f>'Model-BS'!#REF!</f>
        <v>#REF!</v>
      </c>
      <c r="BF48" s="54" t="e">
        <f>'Model-BS'!#REF!</f>
        <v>#REF!</v>
      </c>
      <c r="BG48" s="54" t="e">
        <f>'Model-BS'!#REF!</f>
        <v>#REF!</v>
      </c>
      <c r="BH48" s="54" t="e">
        <f>'Model-BS'!#REF!</f>
        <v>#REF!</v>
      </c>
      <c r="BI48" s="54" t="e">
        <f>'Model-BS'!#REF!</f>
        <v>#REF!</v>
      </c>
      <c r="BJ48" s="54" t="e">
        <f>'Model-BS'!#REF!</f>
        <v>#REF!</v>
      </c>
      <c r="BK48" s="54" t="e">
        <f>'Model-BS'!#REF!</f>
        <v>#REF!</v>
      </c>
      <c r="BL48" s="54" t="e">
        <f>'Model-BS'!#REF!</f>
        <v>#REF!</v>
      </c>
      <c r="BM48" s="54" t="e">
        <f>'Model-BS'!R334</f>
        <v>#REF!</v>
      </c>
      <c r="BN48" s="54" t="e">
        <f>'Model-BS'!S334</f>
        <v>#REF!</v>
      </c>
      <c r="BO48" s="54" t="e">
        <f>'Model-BS'!T334</f>
        <v>#REF!</v>
      </c>
      <c r="BP48" s="54" t="e">
        <f>'Model-BS'!U334</f>
        <v>#REF!</v>
      </c>
      <c r="BQ48" s="54" t="e">
        <f>'Model-BS'!AB334</f>
        <v>#REF!</v>
      </c>
      <c r="BR48" s="54" t="e">
        <f>'Model-BS'!AI334</f>
        <v>#REF!</v>
      </c>
      <c r="BS48" s="54" t="e">
        <f>'Model-BS'!AP334</f>
        <v>#REF!</v>
      </c>
      <c r="BT48" s="54" t="e">
        <f>'Model-BS'!AW334</f>
        <v>#REF!</v>
      </c>
      <c r="BU48" s="54" t="e">
        <f>'Model-BS'!BD334</f>
        <v>#REF!</v>
      </c>
      <c r="BV48" s="54" t="e">
        <f>'Model-BS'!BK334</f>
        <v>#REF!</v>
      </c>
      <c r="BW48" s="54" t="e">
        <f>'Model-BS'!BL334</f>
        <v>#REF!</v>
      </c>
      <c r="BX48" s="54" t="e">
        <f>'Model-BS'!BM334</f>
        <v>#REF!</v>
      </c>
      <c r="BY48" s="54" t="e">
        <f>'Model-BS'!BN334</f>
        <v>#REF!</v>
      </c>
      <c r="BZ48" s="54" t="e">
        <f>'Model-BS'!BO334</f>
        <v>#REF!</v>
      </c>
    </row>
    <row r="49" spans="2:78" s="31" customFormat="1">
      <c r="B49" s="49" t="s">
        <v>45</v>
      </c>
      <c r="C49" s="35"/>
      <c r="D49" s="35"/>
      <c r="E49" s="35" t="e">
        <f t="shared" ref="E49:AJ49" si="20">E10/E48</f>
        <v>#REF!</v>
      </c>
      <c r="F49" s="35" t="e">
        <f t="shared" si="20"/>
        <v>#REF!</v>
      </c>
      <c r="G49" s="35" t="e">
        <f t="shared" si="20"/>
        <v>#REF!</v>
      </c>
      <c r="H49" s="35" t="e">
        <f t="shared" si="20"/>
        <v>#REF!</v>
      </c>
      <c r="I49" s="35" t="e">
        <f t="shared" si="20"/>
        <v>#REF!</v>
      </c>
      <c r="J49" s="35" t="e">
        <f t="shared" si="20"/>
        <v>#REF!</v>
      </c>
      <c r="K49" s="35" t="e">
        <f t="shared" si="20"/>
        <v>#REF!</v>
      </c>
      <c r="L49" s="35" t="e">
        <f t="shared" si="20"/>
        <v>#REF!</v>
      </c>
      <c r="M49" s="35" t="e">
        <f t="shared" si="20"/>
        <v>#REF!</v>
      </c>
      <c r="N49" s="35" t="e">
        <f t="shared" si="20"/>
        <v>#REF!</v>
      </c>
      <c r="O49" s="35" t="e">
        <f t="shared" si="20"/>
        <v>#REF!</v>
      </c>
      <c r="P49" s="35" t="e">
        <f t="shared" si="20"/>
        <v>#REF!</v>
      </c>
      <c r="Q49" s="35" t="e">
        <f t="shared" si="20"/>
        <v>#REF!</v>
      </c>
      <c r="R49" s="35" t="e">
        <f t="shared" si="20"/>
        <v>#REF!</v>
      </c>
      <c r="S49" s="35" t="e">
        <f t="shared" si="20"/>
        <v>#REF!</v>
      </c>
      <c r="T49" s="35" t="e">
        <f t="shared" si="20"/>
        <v>#REF!</v>
      </c>
      <c r="U49" s="35" t="e">
        <f t="shared" si="20"/>
        <v>#REF!</v>
      </c>
      <c r="V49" s="35" t="e">
        <f t="shared" si="20"/>
        <v>#REF!</v>
      </c>
      <c r="W49" s="35" t="e">
        <f t="shared" si="20"/>
        <v>#REF!</v>
      </c>
      <c r="X49" s="35" t="e">
        <f t="shared" si="20"/>
        <v>#REF!</v>
      </c>
      <c r="Y49" s="35" t="e">
        <f t="shared" si="20"/>
        <v>#REF!</v>
      </c>
      <c r="Z49" s="35" t="e">
        <f t="shared" si="20"/>
        <v>#REF!</v>
      </c>
      <c r="AA49" s="35" t="e">
        <f t="shared" si="20"/>
        <v>#REF!</v>
      </c>
      <c r="AB49" s="35" t="e">
        <f t="shared" si="20"/>
        <v>#REF!</v>
      </c>
      <c r="AC49" s="35" t="e">
        <f t="shared" si="20"/>
        <v>#REF!</v>
      </c>
      <c r="AD49" s="35" t="e">
        <f t="shared" si="20"/>
        <v>#REF!</v>
      </c>
      <c r="AE49" s="35" t="e">
        <f t="shared" si="20"/>
        <v>#REF!</v>
      </c>
      <c r="AF49" s="35" t="e">
        <f t="shared" si="20"/>
        <v>#REF!</v>
      </c>
      <c r="AG49" s="35" t="e">
        <f t="shared" si="20"/>
        <v>#REF!</v>
      </c>
      <c r="AH49" s="35" t="e">
        <f t="shared" si="20"/>
        <v>#REF!</v>
      </c>
      <c r="AI49" s="35" t="e">
        <f t="shared" si="20"/>
        <v>#REF!</v>
      </c>
      <c r="AJ49" s="35" t="e">
        <f t="shared" si="20"/>
        <v>#REF!</v>
      </c>
      <c r="AK49" s="35" t="e">
        <f t="shared" ref="AK49:BP49" si="21">AK10/AK48</f>
        <v>#REF!</v>
      </c>
      <c r="AL49" s="35" t="e">
        <f t="shared" si="21"/>
        <v>#REF!</v>
      </c>
      <c r="AM49" s="35" t="e">
        <f t="shared" si="21"/>
        <v>#REF!</v>
      </c>
      <c r="AN49" s="35" t="e">
        <f t="shared" si="21"/>
        <v>#REF!</v>
      </c>
      <c r="AO49" s="35" t="e">
        <f t="shared" si="21"/>
        <v>#REF!</v>
      </c>
      <c r="AP49" s="35" t="e">
        <f t="shared" si="21"/>
        <v>#REF!</v>
      </c>
      <c r="AQ49" s="35" t="e">
        <f t="shared" si="21"/>
        <v>#REF!</v>
      </c>
      <c r="AR49" s="35" t="e">
        <f t="shared" si="21"/>
        <v>#REF!</v>
      </c>
      <c r="AS49" s="35" t="e">
        <f t="shared" si="21"/>
        <v>#REF!</v>
      </c>
      <c r="AT49" s="35" t="e">
        <f t="shared" si="21"/>
        <v>#REF!</v>
      </c>
      <c r="AU49" s="35" t="e">
        <f t="shared" si="21"/>
        <v>#REF!</v>
      </c>
      <c r="AV49" s="35" t="e">
        <f t="shared" si="21"/>
        <v>#REF!</v>
      </c>
      <c r="AW49" s="35" t="e">
        <f t="shared" si="21"/>
        <v>#REF!</v>
      </c>
      <c r="AX49" s="35" t="e">
        <f t="shared" si="21"/>
        <v>#REF!</v>
      </c>
      <c r="AY49" s="35" t="e">
        <f t="shared" si="21"/>
        <v>#REF!</v>
      </c>
      <c r="AZ49" s="35" t="e">
        <f t="shared" si="21"/>
        <v>#REF!</v>
      </c>
      <c r="BA49" s="35" t="e">
        <f t="shared" si="21"/>
        <v>#REF!</v>
      </c>
      <c r="BB49" s="35" t="e">
        <f t="shared" si="21"/>
        <v>#REF!</v>
      </c>
      <c r="BC49" s="35" t="e">
        <f t="shared" si="21"/>
        <v>#REF!</v>
      </c>
      <c r="BD49" s="35" t="e">
        <f t="shared" si="21"/>
        <v>#REF!</v>
      </c>
      <c r="BE49" s="35" t="e">
        <f t="shared" si="21"/>
        <v>#REF!</v>
      </c>
      <c r="BF49" s="35" t="e">
        <f t="shared" si="21"/>
        <v>#REF!</v>
      </c>
      <c r="BG49" s="35" t="e">
        <f t="shared" si="21"/>
        <v>#REF!</v>
      </c>
      <c r="BH49" s="35" t="e">
        <f t="shared" si="21"/>
        <v>#REF!</v>
      </c>
      <c r="BI49" s="35" t="e">
        <f t="shared" si="21"/>
        <v>#REF!</v>
      </c>
      <c r="BJ49" s="35" t="e">
        <f t="shared" si="21"/>
        <v>#REF!</v>
      </c>
      <c r="BK49" s="35" t="e">
        <f t="shared" si="21"/>
        <v>#REF!</v>
      </c>
      <c r="BL49" s="35" t="e">
        <f t="shared" si="21"/>
        <v>#REF!</v>
      </c>
      <c r="BM49" s="57" t="e">
        <f t="shared" si="21"/>
        <v>#REF!</v>
      </c>
      <c r="BN49" s="57" t="e">
        <f t="shared" si="21"/>
        <v>#REF!</v>
      </c>
      <c r="BO49" s="57" t="e">
        <f t="shared" si="21"/>
        <v>#REF!</v>
      </c>
      <c r="BP49" s="57" t="e">
        <f t="shared" si="21"/>
        <v>#REF!</v>
      </c>
      <c r="BQ49" s="57" t="e">
        <f t="shared" ref="BQ49:BX49" si="22">BQ10/BQ48</f>
        <v>#REF!</v>
      </c>
      <c r="BR49" s="57" t="e">
        <f t="shared" si="22"/>
        <v>#REF!</v>
      </c>
      <c r="BS49" s="57" t="e">
        <f t="shared" si="22"/>
        <v>#REF!</v>
      </c>
      <c r="BT49" s="57" t="e">
        <f t="shared" si="22"/>
        <v>#REF!</v>
      </c>
      <c r="BU49" s="57" t="e">
        <f t="shared" si="22"/>
        <v>#REF!</v>
      </c>
      <c r="BV49" s="57" t="e">
        <f t="shared" si="22"/>
        <v>#REF!</v>
      </c>
      <c r="BW49" s="57" t="e">
        <f t="shared" si="22"/>
        <v>#REF!</v>
      </c>
      <c r="BX49" s="57" t="e">
        <f t="shared" si="22"/>
        <v>#REF!</v>
      </c>
      <c r="BY49" s="57" t="e">
        <f t="shared" ref="BY49:BZ49" si="23">BY10/BY48</f>
        <v>#REF!</v>
      </c>
      <c r="BZ49" s="57" t="e">
        <f t="shared" si="23"/>
        <v>#REF!</v>
      </c>
    </row>
    <row r="50" spans="2:78" s="31" customFormat="1" outlineLevel="1">
      <c r="B50" s="52" t="s">
        <v>46</v>
      </c>
      <c r="C50" s="47"/>
      <c r="D50" s="47">
        <f>[70]Model!I139</f>
        <v>0</v>
      </c>
      <c r="E50" s="47" t="e">
        <f>'Model-BS'!F140</f>
        <v>#REF!</v>
      </c>
      <c r="F50" s="47" t="e">
        <f>'Model-BS'!G140</f>
        <v>#REF!</v>
      </c>
      <c r="G50" s="47" t="e">
        <f>'Model-BS'!H140</f>
        <v>#REF!</v>
      </c>
      <c r="H50" s="47" t="e">
        <f>'Model-BS'!I140</f>
        <v>#REF!</v>
      </c>
      <c r="I50" s="47" t="e">
        <f>'Model-BS'!#REF!</f>
        <v>#REF!</v>
      </c>
      <c r="J50" s="47" t="e">
        <f>'Model-BS'!#REF!</f>
        <v>#REF!</v>
      </c>
      <c r="K50" s="47" t="e">
        <f>'Model-BS'!#REF!</f>
        <v>#REF!</v>
      </c>
      <c r="L50" s="47" t="e">
        <f>'Model-BS'!#REF!</f>
        <v>#REF!</v>
      </c>
      <c r="M50" s="47" t="e">
        <f>'Model-BS'!#REF!</f>
        <v>#REF!</v>
      </c>
      <c r="N50" s="47" t="e">
        <f>'Model-BS'!#REF!</f>
        <v>#REF!</v>
      </c>
      <c r="O50" s="47" t="e">
        <f>'Model-BS'!J140</f>
        <v>#REF!</v>
      </c>
      <c r="P50" s="47" t="e">
        <f>'Model-BS'!#REF!</f>
        <v>#REF!</v>
      </c>
      <c r="Q50" s="47" t="e">
        <f>'Model-BS'!#REF!</f>
        <v>#REF!</v>
      </c>
      <c r="R50" s="47" t="e">
        <f>'Model-BS'!#REF!</f>
        <v>#REF!</v>
      </c>
      <c r="S50" s="47" t="e">
        <f>'Model-BS'!#REF!</f>
        <v>#REF!</v>
      </c>
      <c r="T50" s="47" t="e">
        <f>'Model-BS'!#REF!</f>
        <v>#REF!</v>
      </c>
      <c r="U50" s="47" t="e">
        <f>'Model-BS'!#REF!</f>
        <v>#REF!</v>
      </c>
      <c r="V50" s="47" t="e">
        <f>'Model-BS'!K140</f>
        <v>#REF!</v>
      </c>
      <c r="W50" s="47" t="e">
        <f>'Model-BS'!#REF!</f>
        <v>#REF!</v>
      </c>
      <c r="X50" s="47" t="e">
        <f>'Model-BS'!#REF!</f>
        <v>#REF!</v>
      </c>
      <c r="Y50" s="47" t="e">
        <f>'Model-BS'!#REF!</f>
        <v>#REF!</v>
      </c>
      <c r="Z50" s="47" t="e">
        <f>'Model-BS'!#REF!</f>
        <v>#REF!</v>
      </c>
      <c r="AA50" s="47" t="e">
        <f>'Model-BS'!#REF!</f>
        <v>#REF!</v>
      </c>
      <c r="AB50" s="47" t="e">
        <f>'Model-BS'!#REF!</f>
        <v>#REF!</v>
      </c>
      <c r="AC50" s="47" t="e">
        <f>'Model-BS'!L140</f>
        <v>#REF!</v>
      </c>
      <c r="AD50" s="47" t="e">
        <f>'Model-BS'!#REF!</f>
        <v>#REF!</v>
      </c>
      <c r="AE50" s="47" t="e">
        <f>'Model-BS'!#REF!</f>
        <v>#REF!</v>
      </c>
      <c r="AF50" s="47" t="e">
        <f>'Model-BS'!#REF!</f>
        <v>#REF!</v>
      </c>
      <c r="AG50" s="47" t="e">
        <f>'Model-BS'!#REF!</f>
        <v>#REF!</v>
      </c>
      <c r="AH50" s="47" t="e">
        <f>'Model-BS'!#REF!</f>
        <v>#REF!</v>
      </c>
      <c r="AI50" s="47" t="e">
        <f>'Model-BS'!#REF!</f>
        <v>#REF!</v>
      </c>
      <c r="AJ50" s="47" t="e">
        <f>'Model-BS'!M140</f>
        <v>#REF!</v>
      </c>
      <c r="AK50" s="47" t="e">
        <f>'Model-BS'!#REF!</f>
        <v>#REF!</v>
      </c>
      <c r="AL50" s="47" t="e">
        <f>'Model-BS'!#REF!</f>
        <v>#REF!</v>
      </c>
      <c r="AM50" s="47" t="e">
        <f>'Model-BS'!#REF!</f>
        <v>#REF!</v>
      </c>
      <c r="AN50" s="47" t="e">
        <f>'Model-BS'!#REF!</f>
        <v>#REF!</v>
      </c>
      <c r="AO50" s="47" t="e">
        <f>'Model-BS'!#REF!</f>
        <v>#REF!</v>
      </c>
      <c r="AP50" s="47" t="e">
        <f>'Model-BS'!#REF!</f>
        <v>#REF!</v>
      </c>
      <c r="AQ50" s="47" t="e">
        <f>'Model-BS'!N140</f>
        <v>#REF!</v>
      </c>
      <c r="AR50" s="47" t="e">
        <f>'Model-BS'!#REF!</f>
        <v>#REF!</v>
      </c>
      <c r="AS50" s="47" t="e">
        <f>'Model-BS'!#REF!</f>
        <v>#REF!</v>
      </c>
      <c r="AT50" s="47" t="e">
        <f>'Model-BS'!#REF!</f>
        <v>#REF!</v>
      </c>
      <c r="AU50" s="47" t="e">
        <f>'Model-BS'!#REF!</f>
        <v>#REF!</v>
      </c>
      <c r="AV50" s="47" t="e">
        <f>'Model-BS'!#REF!</f>
        <v>#REF!</v>
      </c>
      <c r="AW50" s="47" t="e">
        <f>'Model-BS'!#REF!</f>
        <v>#REF!</v>
      </c>
      <c r="AX50" s="47" t="e">
        <f>'Model-BS'!O140</f>
        <v>#REF!</v>
      </c>
      <c r="AY50" s="47" t="e">
        <f>'Model-BS'!#REF!</f>
        <v>#REF!</v>
      </c>
      <c r="AZ50" s="47" t="e">
        <f>'Model-BS'!#REF!</f>
        <v>#REF!</v>
      </c>
      <c r="BA50" s="47" t="e">
        <f>'Model-BS'!#REF!</f>
        <v>#REF!</v>
      </c>
      <c r="BB50" s="47" t="e">
        <f>'Model-BS'!#REF!</f>
        <v>#REF!</v>
      </c>
      <c r="BC50" s="47" t="e">
        <f>'Model-BS'!#REF!</f>
        <v>#REF!</v>
      </c>
      <c r="BD50" s="47" t="e">
        <f>'Model-BS'!#REF!</f>
        <v>#REF!</v>
      </c>
      <c r="BE50" s="47" t="e">
        <f>'Model-BS'!P140</f>
        <v>#REF!</v>
      </c>
      <c r="BF50" s="47" t="e">
        <f>'Model-BS'!#REF!</f>
        <v>#REF!</v>
      </c>
      <c r="BG50" s="47" t="e">
        <f>'Model-BS'!#REF!</f>
        <v>#REF!</v>
      </c>
      <c r="BH50" s="47" t="e">
        <f>'Model-BS'!#REF!</f>
        <v>#REF!</v>
      </c>
      <c r="BI50" s="47" t="e">
        <f>'Model-BS'!#REF!</f>
        <v>#REF!</v>
      </c>
      <c r="BJ50" s="47" t="e">
        <f>'Model-BS'!#REF!</f>
        <v>#REF!</v>
      </c>
      <c r="BK50" s="47" t="e">
        <f>'Model-BS'!#REF!</f>
        <v>#REF!</v>
      </c>
      <c r="BL50" s="47" t="e">
        <f>'Model-BS'!Q140</f>
        <v>#REF!</v>
      </c>
      <c r="BM50" s="47" t="e">
        <f>'Model-BS'!R140</f>
        <v>#REF!</v>
      </c>
      <c r="BN50" s="47" t="e">
        <f>'Model-BS'!S140</f>
        <v>#REF!</v>
      </c>
      <c r="BO50" s="47" t="e">
        <f>'Model-BS'!T140</f>
        <v>#REF!</v>
      </c>
      <c r="BP50" s="47" t="e">
        <f>'Model-BS'!U140</f>
        <v>#REF!</v>
      </c>
      <c r="BQ50" s="47" t="e">
        <f>'Model-BS'!AB140</f>
        <v>#REF!</v>
      </c>
      <c r="BR50" s="47" t="e">
        <f>'Model-BS'!AI140</f>
        <v>#REF!</v>
      </c>
      <c r="BS50" s="47" t="e">
        <f>'Model-BS'!AP140</f>
        <v>#REF!</v>
      </c>
      <c r="BT50" s="47" t="e">
        <f>'Model-BS'!AW140</f>
        <v>#REF!</v>
      </c>
      <c r="BU50" s="47" t="e">
        <f>'Model-BS'!BD140</f>
        <v>#REF!</v>
      </c>
      <c r="BV50" s="47" t="e">
        <f>'Model-BS'!BK140</f>
        <v>#REF!</v>
      </c>
      <c r="BW50" s="47" t="e">
        <f>'Model-BS'!BL140</f>
        <v>#REF!</v>
      </c>
      <c r="BX50" s="47" t="e">
        <f>'Model-BS'!BM140</f>
        <v>#REF!</v>
      </c>
      <c r="BY50" s="47" t="e">
        <f>'Model-BS'!BN140</f>
        <v>#REF!</v>
      </c>
      <c r="BZ50" s="47" t="e">
        <f>'Model-BS'!BO140</f>
        <v>#REF!</v>
      </c>
    </row>
    <row r="51" spans="2:78" s="31" customFormat="1" outlineLevel="1">
      <c r="B51" s="53" t="s">
        <v>47</v>
      </c>
      <c r="C51" s="54"/>
      <c r="D51" s="54">
        <f>[70]Model!I142</f>
        <v>0</v>
      </c>
      <c r="E51" s="54" t="e">
        <f>'Model-BS'!#REF!</f>
        <v>#REF!</v>
      </c>
      <c r="F51" s="54" t="e">
        <f>'Model-BS'!#REF!</f>
        <v>#REF!</v>
      </c>
      <c r="G51" s="54" t="e">
        <f>'Model-BS'!#REF!</f>
        <v>#REF!</v>
      </c>
      <c r="H51" s="54" t="e">
        <f>'Model-BS'!#REF!</f>
        <v>#REF!</v>
      </c>
      <c r="I51" s="54" t="e">
        <f>'Model-BS'!#REF!</f>
        <v>#REF!</v>
      </c>
      <c r="J51" s="54" t="e">
        <f>'Model-BS'!#REF!</f>
        <v>#REF!</v>
      </c>
      <c r="K51" s="54" t="e">
        <f>'Model-BS'!#REF!</f>
        <v>#REF!</v>
      </c>
      <c r="L51" s="54" t="e">
        <f>'Model-BS'!#REF!</f>
        <v>#REF!</v>
      </c>
      <c r="M51" s="54" t="e">
        <f>'Model-BS'!#REF!</f>
        <v>#REF!</v>
      </c>
      <c r="N51" s="54" t="e">
        <f>'Model-BS'!#REF!</f>
        <v>#REF!</v>
      </c>
      <c r="O51" s="54" t="e">
        <f>'Model-BS'!#REF!</f>
        <v>#REF!</v>
      </c>
      <c r="P51" s="54" t="e">
        <f>'Model-BS'!#REF!</f>
        <v>#REF!</v>
      </c>
      <c r="Q51" s="54" t="e">
        <f>'Model-BS'!#REF!</f>
        <v>#REF!</v>
      </c>
      <c r="R51" s="54" t="e">
        <f>'Model-BS'!#REF!</f>
        <v>#REF!</v>
      </c>
      <c r="S51" s="54" t="e">
        <f>'Model-BS'!#REF!</f>
        <v>#REF!</v>
      </c>
      <c r="T51" s="54" t="e">
        <f>'Model-BS'!#REF!</f>
        <v>#REF!</v>
      </c>
      <c r="U51" s="54" t="e">
        <f>'Model-BS'!#REF!</f>
        <v>#REF!</v>
      </c>
      <c r="V51" s="54" t="e">
        <f>'Model-BS'!#REF!</f>
        <v>#REF!</v>
      </c>
      <c r="W51" s="54" t="e">
        <f>'Model-BS'!#REF!</f>
        <v>#REF!</v>
      </c>
      <c r="X51" s="54" t="e">
        <f>'Model-BS'!#REF!</f>
        <v>#REF!</v>
      </c>
      <c r="Y51" s="54" t="e">
        <f>'Model-BS'!#REF!</f>
        <v>#REF!</v>
      </c>
      <c r="Z51" s="54" t="e">
        <f>'Model-BS'!#REF!</f>
        <v>#REF!</v>
      </c>
      <c r="AA51" s="54" t="e">
        <f>'Model-BS'!#REF!</f>
        <v>#REF!</v>
      </c>
      <c r="AB51" s="54" t="e">
        <f>'Model-BS'!#REF!</f>
        <v>#REF!</v>
      </c>
      <c r="AC51" s="54" t="e">
        <f>'Model-BS'!#REF!</f>
        <v>#REF!</v>
      </c>
      <c r="AD51" s="54" t="e">
        <f>'Model-BS'!#REF!</f>
        <v>#REF!</v>
      </c>
      <c r="AE51" s="54" t="e">
        <f>'Model-BS'!#REF!</f>
        <v>#REF!</v>
      </c>
      <c r="AF51" s="54" t="e">
        <f>'Model-BS'!#REF!</f>
        <v>#REF!</v>
      </c>
      <c r="AG51" s="54" t="e">
        <f>'Model-BS'!#REF!</f>
        <v>#REF!</v>
      </c>
      <c r="AH51" s="54" t="e">
        <f>'Model-BS'!#REF!</f>
        <v>#REF!</v>
      </c>
      <c r="AI51" s="54" t="e">
        <f>'Model-BS'!#REF!</f>
        <v>#REF!</v>
      </c>
      <c r="AJ51" s="54" t="e">
        <f>'Model-BS'!#REF!</f>
        <v>#REF!</v>
      </c>
      <c r="AK51" s="54" t="e">
        <f>'Model-BS'!#REF!</f>
        <v>#REF!</v>
      </c>
      <c r="AL51" s="54" t="e">
        <f>'Model-BS'!#REF!</f>
        <v>#REF!</v>
      </c>
      <c r="AM51" s="54" t="e">
        <f>'Model-BS'!#REF!</f>
        <v>#REF!</v>
      </c>
      <c r="AN51" s="54" t="e">
        <f>'Model-BS'!#REF!</f>
        <v>#REF!</v>
      </c>
      <c r="AO51" s="54" t="e">
        <f>'Model-BS'!#REF!</f>
        <v>#REF!</v>
      </c>
      <c r="AP51" s="54" t="e">
        <f>'Model-BS'!#REF!</f>
        <v>#REF!</v>
      </c>
      <c r="AQ51" s="54" t="e">
        <f>'Model-BS'!#REF!</f>
        <v>#REF!</v>
      </c>
      <c r="AR51" s="54" t="e">
        <f>'Model-BS'!#REF!</f>
        <v>#REF!</v>
      </c>
      <c r="AS51" s="54" t="e">
        <f>'Model-BS'!#REF!</f>
        <v>#REF!</v>
      </c>
      <c r="AT51" s="54" t="e">
        <f>'Model-BS'!#REF!</f>
        <v>#REF!</v>
      </c>
      <c r="AU51" s="54" t="e">
        <f>'Model-BS'!#REF!</f>
        <v>#REF!</v>
      </c>
      <c r="AV51" s="54" t="e">
        <f>'Model-BS'!#REF!</f>
        <v>#REF!</v>
      </c>
      <c r="AW51" s="54" t="e">
        <f>'Model-BS'!#REF!</f>
        <v>#REF!</v>
      </c>
      <c r="AX51" s="54" t="e">
        <f>'Model-BS'!#REF!</f>
        <v>#REF!</v>
      </c>
      <c r="AY51" s="54" t="e">
        <f>'Model-BS'!#REF!</f>
        <v>#REF!</v>
      </c>
      <c r="AZ51" s="54" t="e">
        <f>'Model-BS'!#REF!</f>
        <v>#REF!</v>
      </c>
      <c r="BA51" s="54" t="e">
        <f>'Model-BS'!#REF!</f>
        <v>#REF!</v>
      </c>
      <c r="BB51" s="54" t="e">
        <f>'Model-BS'!#REF!</f>
        <v>#REF!</v>
      </c>
      <c r="BC51" s="54" t="e">
        <f>'Model-BS'!#REF!</f>
        <v>#REF!</v>
      </c>
      <c r="BD51" s="54" t="e">
        <f>'Model-BS'!#REF!</f>
        <v>#REF!</v>
      </c>
      <c r="BE51" s="54" t="e">
        <f>'Model-BS'!#REF!</f>
        <v>#REF!</v>
      </c>
      <c r="BF51" s="54" t="e">
        <f>'Model-BS'!#REF!</f>
        <v>#REF!</v>
      </c>
      <c r="BG51" s="54" t="e">
        <f>'Model-BS'!#REF!</f>
        <v>#REF!</v>
      </c>
      <c r="BH51" s="54" t="e">
        <f>'Model-BS'!#REF!</f>
        <v>#REF!</v>
      </c>
      <c r="BI51" s="54" t="e">
        <f>'Model-BS'!#REF!</f>
        <v>#REF!</v>
      </c>
      <c r="BJ51" s="54" t="e">
        <f>'Model-BS'!#REF!</f>
        <v>#REF!</v>
      </c>
      <c r="BK51" s="54" t="e">
        <f>'Model-BS'!#REF!</f>
        <v>#REF!</v>
      </c>
      <c r="BL51" s="54" t="e">
        <f>'Model-BS'!#REF!</f>
        <v>#REF!</v>
      </c>
      <c r="BM51" s="54" t="e">
        <f>'Model-BS'!R221</f>
        <v>#REF!</v>
      </c>
      <c r="BN51" s="54" t="e">
        <f>'Model-BS'!S221</f>
        <v>#REF!</v>
      </c>
      <c r="BO51" s="54" t="e">
        <f>'Model-BS'!T221</f>
        <v>#REF!</v>
      </c>
      <c r="BP51" s="54" t="e">
        <f>'Model-BS'!U221</f>
        <v>#REF!</v>
      </c>
      <c r="BQ51" s="54" t="e">
        <f>'Model-BS'!AB221</f>
        <v>#REF!</v>
      </c>
      <c r="BR51" s="54" t="e">
        <f>'Model-BS'!AI221</f>
        <v>#REF!</v>
      </c>
      <c r="BS51" s="54" t="e">
        <f>'Model-BS'!AP221</f>
        <v>#REF!</v>
      </c>
      <c r="BT51" s="54" t="e">
        <f>'Model-BS'!AW221</f>
        <v>#REF!</v>
      </c>
      <c r="BU51" s="54" t="e">
        <f>'Model-BS'!BD221</f>
        <v>#REF!</v>
      </c>
      <c r="BV51" s="54" t="e">
        <f>'Model-BS'!BK221</f>
        <v>#REF!</v>
      </c>
      <c r="BW51" s="54" t="e">
        <f>'Model-BS'!BL221</f>
        <v>#REF!</v>
      </c>
      <c r="BX51" s="54" t="e">
        <f>'Model-BS'!BM221</f>
        <v>#REF!</v>
      </c>
      <c r="BY51" s="54" t="e">
        <f>'Model-BS'!BN221</f>
        <v>#REF!</v>
      </c>
      <c r="BZ51" s="54" t="e">
        <f>'Model-BS'!BO221</f>
        <v>#REF!</v>
      </c>
    </row>
    <row r="52" spans="2:78" s="31" customFormat="1">
      <c r="B52" s="49" t="s">
        <v>48</v>
      </c>
      <c r="C52" s="35"/>
      <c r="D52" s="35">
        <f>D50+D51</f>
        <v>0</v>
      </c>
      <c r="E52" s="35" t="e">
        <f t="shared" ref="E52:BL52" si="24">E50+E51</f>
        <v>#REF!</v>
      </c>
      <c r="F52" s="35" t="e">
        <f t="shared" si="24"/>
        <v>#REF!</v>
      </c>
      <c r="G52" s="35" t="e">
        <f t="shared" si="24"/>
        <v>#REF!</v>
      </c>
      <c r="H52" s="35" t="e">
        <f t="shared" si="24"/>
        <v>#REF!</v>
      </c>
      <c r="I52" s="35" t="e">
        <f t="shared" si="24"/>
        <v>#REF!</v>
      </c>
      <c r="J52" s="35" t="e">
        <f t="shared" si="24"/>
        <v>#REF!</v>
      </c>
      <c r="K52" s="35" t="e">
        <f t="shared" si="24"/>
        <v>#REF!</v>
      </c>
      <c r="L52" s="35" t="e">
        <f t="shared" si="24"/>
        <v>#REF!</v>
      </c>
      <c r="M52" s="35" t="e">
        <f t="shared" si="24"/>
        <v>#REF!</v>
      </c>
      <c r="N52" s="35" t="e">
        <f t="shared" si="24"/>
        <v>#REF!</v>
      </c>
      <c r="O52" s="35" t="e">
        <f t="shared" si="24"/>
        <v>#REF!</v>
      </c>
      <c r="P52" s="35" t="e">
        <f t="shared" si="24"/>
        <v>#REF!</v>
      </c>
      <c r="Q52" s="35" t="e">
        <f t="shared" si="24"/>
        <v>#REF!</v>
      </c>
      <c r="R52" s="35" t="e">
        <f t="shared" si="24"/>
        <v>#REF!</v>
      </c>
      <c r="S52" s="35" t="e">
        <f t="shared" si="24"/>
        <v>#REF!</v>
      </c>
      <c r="T52" s="35" t="e">
        <f t="shared" si="24"/>
        <v>#REF!</v>
      </c>
      <c r="U52" s="35" t="e">
        <f t="shared" si="24"/>
        <v>#REF!</v>
      </c>
      <c r="V52" s="35" t="e">
        <f t="shared" si="24"/>
        <v>#REF!</v>
      </c>
      <c r="W52" s="35" t="e">
        <f t="shared" si="24"/>
        <v>#REF!</v>
      </c>
      <c r="X52" s="35" t="e">
        <f t="shared" si="24"/>
        <v>#REF!</v>
      </c>
      <c r="Y52" s="35" t="e">
        <f t="shared" si="24"/>
        <v>#REF!</v>
      </c>
      <c r="Z52" s="35" t="e">
        <f t="shared" si="24"/>
        <v>#REF!</v>
      </c>
      <c r="AA52" s="35" t="e">
        <f t="shared" si="24"/>
        <v>#REF!</v>
      </c>
      <c r="AB52" s="35" t="e">
        <f t="shared" si="24"/>
        <v>#REF!</v>
      </c>
      <c r="AC52" s="35" t="e">
        <f t="shared" si="24"/>
        <v>#REF!</v>
      </c>
      <c r="AD52" s="35" t="e">
        <f t="shared" si="24"/>
        <v>#REF!</v>
      </c>
      <c r="AE52" s="35" t="e">
        <f t="shared" si="24"/>
        <v>#REF!</v>
      </c>
      <c r="AF52" s="35" t="e">
        <f t="shared" si="24"/>
        <v>#REF!</v>
      </c>
      <c r="AG52" s="35" t="e">
        <f t="shared" si="24"/>
        <v>#REF!</v>
      </c>
      <c r="AH52" s="35" t="e">
        <f t="shared" si="24"/>
        <v>#REF!</v>
      </c>
      <c r="AI52" s="35" t="e">
        <f t="shared" si="24"/>
        <v>#REF!</v>
      </c>
      <c r="AJ52" s="35" t="e">
        <f t="shared" si="24"/>
        <v>#REF!</v>
      </c>
      <c r="AK52" s="35" t="e">
        <f t="shared" si="24"/>
        <v>#REF!</v>
      </c>
      <c r="AL52" s="35" t="e">
        <f t="shared" si="24"/>
        <v>#REF!</v>
      </c>
      <c r="AM52" s="35" t="e">
        <f t="shared" si="24"/>
        <v>#REF!</v>
      </c>
      <c r="AN52" s="35" t="e">
        <f t="shared" si="24"/>
        <v>#REF!</v>
      </c>
      <c r="AO52" s="35" t="e">
        <f t="shared" si="24"/>
        <v>#REF!</v>
      </c>
      <c r="AP52" s="35" t="e">
        <f t="shared" si="24"/>
        <v>#REF!</v>
      </c>
      <c r="AQ52" s="35" t="e">
        <f t="shared" si="24"/>
        <v>#REF!</v>
      </c>
      <c r="AR52" s="35" t="e">
        <f t="shared" si="24"/>
        <v>#REF!</v>
      </c>
      <c r="AS52" s="35" t="e">
        <f t="shared" si="24"/>
        <v>#REF!</v>
      </c>
      <c r="AT52" s="35" t="e">
        <f t="shared" si="24"/>
        <v>#REF!</v>
      </c>
      <c r="AU52" s="35" t="e">
        <f t="shared" si="24"/>
        <v>#REF!</v>
      </c>
      <c r="AV52" s="35" t="e">
        <f t="shared" si="24"/>
        <v>#REF!</v>
      </c>
      <c r="AW52" s="35" t="e">
        <f t="shared" si="24"/>
        <v>#REF!</v>
      </c>
      <c r="AX52" s="35" t="e">
        <f t="shared" si="24"/>
        <v>#REF!</v>
      </c>
      <c r="AY52" s="35" t="e">
        <f t="shared" si="24"/>
        <v>#REF!</v>
      </c>
      <c r="AZ52" s="35" t="e">
        <f t="shared" si="24"/>
        <v>#REF!</v>
      </c>
      <c r="BA52" s="35" t="e">
        <f t="shared" si="24"/>
        <v>#REF!</v>
      </c>
      <c r="BB52" s="35" t="e">
        <f t="shared" si="24"/>
        <v>#REF!</v>
      </c>
      <c r="BC52" s="35" t="e">
        <f t="shared" si="24"/>
        <v>#REF!</v>
      </c>
      <c r="BD52" s="35" t="e">
        <f t="shared" si="24"/>
        <v>#REF!</v>
      </c>
      <c r="BE52" s="35" t="e">
        <f t="shared" si="24"/>
        <v>#REF!</v>
      </c>
      <c r="BF52" s="35" t="e">
        <f t="shared" si="24"/>
        <v>#REF!</v>
      </c>
      <c r="BG52" s="35" t="e">
        <f t="shared" si="24"/>
        <v>#REF!</v>
      </c>
      <c r="BH52" s="35" t="e">
        <f t="shared" si="24"/>
        <v>#REF!</v>
      </c>
      <c r="BI52" s="35" t="e">
        <f t="shared" si="24"/>
        <v>#REF!</v>
      </c>
      <c r="BJ52" s="35" t="e">
        <f t="shared" si="24"/>
        <v>#REF!</v>
      </c>
      <c r="BK52" s="35" t="e">
        <f t="shared" si="24"/>
        <v>#REF!</v>
      </c>
      <c r="BL52" s="35" t="e">
        <f t="shared" si="24"/>
        <v>#REF!</v>
      </c>
      <c r="BM52" s="35" t="e">
        <f>BM50-BM51</f>
        <v>#REF!</v>
      </c>
      <c r="BN52" s="35" t="e">
        <f t="shared" ref="BN52:BX52" si="25">BN50-BN51</f>
        <v>#REF!</v>
      </c>
      <c r="BO52" s="35" t="e">
        <f t="shared" si="25"/>
        <v>#REF!</v>
      </c>
      <c r="BP52" s="35" t="e">
        <f t="shared" si="25"/>
        <v>#REF!</v>
      </c>
      <c r="BQ52" s="35" t="e">
        <f t="shared" si="25"/>
        <v>#REF!</v>
      </c>
      <c r="BR52" s="35" t="e">
        <f t="shared" si="25"/>
        <v>#REF!</v>
      </c>
      <c r="BS52" s="35" t="e">
        <f t="shared" si="25"/>
        <v>#REF!</v>
      </c>
      <c r="BT52" s="35" t="e">
        <f t="shared" si="25"/>
        <v>#REF!</v>
      </c>
      <c r="BU52" s="35" t="e">
        <f t="shared" si="25"/>
        <v>#REF!</v>
      </c>
      <c r="BV52" s="35" t="e">
        <f t="shared" si="25"/>
        <v>#REF!</v>
      </c>
      <c r="BW52" s="35" t="e">
        <f t="shared" si="25"/>
        <v>#REF!</v>
      </c>
      <c r="BX52" s="35" t="e">
        <f t="shared" si="25"/>
        <v>#REF!</v>
      </c>
      <c r="BY52" s="35" t="e">
        <f t="shared" ref="BY52:BZ52" si="26">BY50-BY51</f>
        <v>#REF!</v>
      </c>
      <c r="BZ52" s="35" t="e">
        <f t="shared" si="26"/>
        <v>#REF!</v>
      </c>
    </row>
    <row r="53" spans="2:78" s="31" customFormat="1">
      <c r="B53" s="52" t="s">
        <v>49</v>
      </c>
      <c r="C53" s="47"/>
      <c r="D53" s="47">
        <f>[70]Model!I150</f>
        <v>0</v>
      </c>
      <c r="E53" s="47" t="e">
        <f>'Model-BS'!#REF!</f>
        <v>#REF!</v>
      </c>
      <c r="F53" s="47" t="e">
        <f>'Model-BS'!#REF!</f>
        <v>#REF!</v>
      </c>
      <c r="G53" s="47" t="e">
        <f>'Model-BS'!#REF!</f>
        <v>#REF!</v>
      </c>
      <c r="H53" s="47" t="e">
        <f>'Model-BS'!#REF!</f>
        <v>#REF!</v>
      </c>
      <c r="I53" s="47" t="e">
        <f>'Model-BS'!#REF!</f>
        <v>#REF!</v>
      </c>
      <c r="J53" s="47" t="e">
        <f>'Model-BS'!#REF!</f>
        <v>#REF!</v>
      </c>
      <c r="K53" s="47" t="e">
        <f>'Model-BS'!#REF!</f>
        <v>#REF!</v>
      </c>
      <c r="L53" s="47" t="e">
        <f>'Model-BS'!#REF!</f>
        <v>#REF!</v>
      </c>
      <c r="M53" s="47" t="e">
        <f>'Model-BS'!#REF!</f>
        <v>#REF!</v>
      </c>
      <c r="N53" s="47" t="e">
        <f>'Model-BS'!#REF!</f>
        <v>#REF!</v>
      </c>
      <c r="O53" s="47" t="e">
        <f>'Model-BS'!#REF!</f>
        <v>#REF!</v>
      </c>
      <c r="P53" s="47" t="e">
        <f>'Model-BS'!#REF!</f>
        <v>#REF!</v>
      </c>
      <c r="Q53" s="47" t="e">
        <f>'Model-BS'!#REF!</f>
        <v>#REF!</v>
      </c>
      <c r="R53" s="47" t="e">
        <f>'Model-BS'!#REF!</f>
        <v>#REF!</v>
      </c>
      <c r="S53" s="47" t="e">
        <f>'Model-BS'!#REF!</f>
        <v>#REF!</v>
      </c>
      <c r="T53" s="47" t="e">
        <f>'Model-BS'!#REF!</f>
        <v>#REF!</v>
      </c>
      <c r="U53" s="47" t="e">
        <f>'Model-BS'!#REF!</f>
        <v>#REF!</v>
      </c>
      <c r="V53" s="47" t="e">
        <f>'Model-BS'!#REF!</f>
        <v>#REF!</v>
      </c>
      <c r="W53" s="47" t="e">
        <f>'Model-BS'!#REF!</f>
        <v>#REF!</v>
      </c>
      <c r="X53" s="47" t="e">
        <f>'Model-BS'!#REF!</f>
        <v>#REF!</v>
      </c>
      <c r="Y53" s="47" t="e">
        <f>'Model-BS'!#REF!</f>
        <v>#REF!</v>
      </c>
      <c r="Z53" s="47" t="e">
        <f>'Model-BS'!#REF!</f>
        <v>#REF!</v>
      </c>
      <c r="AA53" s="47" t="e">
        <f>'Model-BS'!#REF!</f>
        <v>#REF!</v>
      </c>
      <c r="AB53" s="47" t="e">
        <f>'Model-BS'!#REF!</f>
        <v>#REF!</v>
      </c>
      <c r="AC53" s="47" t="e">
        <f>'Model-BS'!#REF!</f>
        <v>#REF!</v>
      </c>
      <c r="AD53" s="47" t="e">
        <f>'Model-BS'!#REF!</f>
        <v>#REF!</v>
      </c>
      <c r="AE53" s="47" t="e">
        <f>'Model-BS'!#REF!</f>
        <v>#REF!</v>
      </c>
      <c r="AF53" s="47" t="e">
        <f>'Model-BS'!#REF!</f>
        <v>#REF!</v>
      </c>
      <c r="AG53" s="47" t="e">
        <f>'Model-BS'!#REF!</f>
        <v>#REF!</v>
      </c>
      <c r="AH53" s="47" t="e">
        <f>'Model-BS'!#REF!</f>
        <v>#REF!</v>
      </c>
      <c r="AI53" s="47" t="e">
        <f>'Model-BS'!#REF!</f>
        <v>#REF!</v>
      </c>
      <c r="AJ53" s="47" t="e">
        <f>'Model-BS'!#REF!</f>
        <v>#REF!</v>
      </c>
      <c r="AK53" s="47" t="e">
        <f>'Model-BS'!#REF!</f>
        <v>#REF!</v>
      </c>
      <c r="AL53" s="47" t="e">
        <f>'Model-BS'!#REF!</f>
        <v>#REF!</v>
      </c>
      <c r="AM53" s="47" t="e">
        <f>'Model-BS'!#REF!</f>
        <v>#REF!</v>
      </c>
      <c r="AN53" s="47" t="e">
        <f>'Model-BS'!#REF!</f>
        <v>#REF!</v>
      </c>
      <c r="AO53" s="47" t="e">
        <f>'Model-BS'!#REF!</f>
        <v>#REF!</v>
      </c>
      <c r="AP53" s="47" t="e">
        <f>'Model-BS'!#REF!</f>
        <v>#REF!</v>
      </c>
      <c r="AQ53" s="47" t="e">
        <f>'Model-BS'!#REF!</f>
        <v>#REF!</v>
      </c>
      <c r="AR53" s="47" t="e">
        <f>'Model-BS'!#REF!</f>
        <v>#REF!</v>
      </c>
      <c r="AS53" s="47" t="e">
        <f>'Model-BS'!#REF!</f>
        <v>#REF!</v>
      </c>
      <c r="AT53" s="47" t="e">
        <f>'Model-BS'!#REF!</f>
        <v>#REF!</v>
      </c>
      <c r="AU53" s="47" t="e">
        <f>'Model-BS'!#REF!</f>
        <v>#REF!</v>
      </c>
      <c r="AV53" s="47" t="e">
        <f>'Model-BS'!#REF!</f>
        <v>#REF!</v>
      </c>
      <c r="AW53" s="47" t="e">
        <f>'Model-BS'!#REF!</f>
        <v>#REF!</v>
      </c>
      <c r="AX53" s="47" t="e">
        <f>'Model-BS'!#REF!</f>
        <v>#REF!</v>
      </c>
      <c r="AY53" s="47" t="e">
        <f>'Model-BS'!#REF!</f>
        <v>#REF!</v>
      </c>
      <c r="AZ53" s="47" t="e">
        <f>'Model-BS'!#REF!</f>
        <v>#REF!</v>
      </c>
      <c r="BA53" s="47" t="e">
        <f>'Model-BS'!#REF!</f>
        <v>#REF!</v>
      </c>
      <c r="BB53" s="47" t="e">
        <f>'Model-BS'!#REF!</f>
        <v>#REF!</v>
      </c>
      <c r="BC53" s="47" t="e">
        <f>'Model-BS'!#REF!</f>
        <v>#REF!</v>
      </c>
      <c r="BD53" s="47" t="e">
        <f>'Model-BS'!#REF!</f>
        <v>#REF!</v>
      </c>
      <c r="BE53" s="47" t="e">
        <f>'Model-BS'!#REF!</f>
        <v>#REF!</v>
      </c>
      <c r="BF53" s="47" t="e">
        <f>'Model-BS'!#REF!</f>
        <v>#REF!</v>
      </c>
      <c r="BG53" s="47" t="e">
        <f>'Model-BS'!#REF!</f>
        <v>#REF!</v>
      </c>
      <c r="BH53" s="47" t="e">
        <f>'Model-BS'!#REF!</f>
        <v>#REF!</v>
      </c>
      <c r="BI53" s="47" t="e">
        <f>'Model-BS'!#REF!</f>
        <v>#REF!</v>
      </c>
      <c r="BJ53" s="47" t="e">
        <f>'Model-BS'!#REF!</f>
        <v>#REF!</v>
      </c>
      <c r="BK53" s="47" t="e">
        <f>'Model-BS'!#REF!</f>
        <v>#REF!</v>
      </c>
      <c r="BL53" s="47" t="e">
        <f>'Model-BS'!#REF!</f>
        <v>#REF!</v>
      </c>
      <c r="BM53" s="47" t="e">
        <f>'Model-BS'!R240</f>
        <v>#REF!</v>
      </c>
      <c r="BN53" s="47" t="e">
        <f>'Model-BS'!S240</f>
        <v>#REF!</v>
      </c>
      <c r="BO53" s="47" t="e">
        <f>'Model-BS'!T240</f>
        <v>#REF!</v>
      </c>
      <c r="BP53" s="47" t="e">
        <f>'Model-BS'!U240</f>
        <v>#REF!</v>
      </c>
      <c r="BQ53" s="47" t="e">
        <f>'Model-BS'!AB240</f>
        <v>#REF!</v>
      </c>
      <c r="BR53" s="47" t="e">
        <f>'Model-BS'!AI240</f>
        <v>#REF!</v>
      </c>
      <c r="BS53" s="47" t="e">
        <f>'Model-BS'!AP240</f>
        <v>#REF!</v>
      </c>
      <c r="BT53" s="47" t="e">
        <f>'Model-BS'!AW240</f>
        <v>#REF!</v>
      </c>
      <c r="BU53" s="47" t="e">
        <f>'Model-BS'!BD240</f>
        <v>#REF!</v>
      </c>
      <c r="BV53" s="47" t="e">
        <f>'Model-BS'!BK240</f>
        <v>#REF!</v>
      </c>
      <c r="BW53" s="47" t="e">
        <f>'Model-BS'!BL240</f>
        <v>#REF!</v>
      </c>
      <c r="BX53" s="47" t="e">
        <f>'Model-BS'!BM240</f>
        <v>#REF!</v>
      </c>
      <c r="BY53" s="47" t="e">
        <f>'Model-BS'!BN240</f>
        <v>#REF!</v>
      </c>
      <c r="BZ53" s="47" t="e">
        <f>'Model-BS'!BO240</f>
        <v>#REF!</v>
      </c>
    </row>
    <row r="54" spans="2:78" s="31" customFormat="1">
      <c r="B54" s="53" t="s">
        <v>50</v>
      </c>
      <c r="C54" s="54"/>
      <c r="D54" s="54">
        <f>[70]Model!I151</f>
        <v>0</v>
      </c>
      <c r="E54" s="54" t="e">
        <f>'Model-BS'!#REF!</f>
        <v>#REF!</v>
      </c>
      <c r="F54" s="54" t="e">
        <f>'Model-BS'!#REF!</f>
        <v>#REF!</v>
      </c>
      <c r="G54" s="54" t="e">
        <f>'Model-BS'!#REF!</f>
        <v>#REF!</v>
      </c>
      <c r="H54" s="54" t="e">
        <f>'Model-BS'!#REF!</f>
        <v>#REF!</v>
      </c>
      <c r="I54" s="54" t="e">
        <f>'Model-BS'!#REF!</f>
        <v>#REF!</v>
      </c>
      <c r="J54" s="54" t="e">
        <f>'Model-BS'!#REF!</f>
        <v>#REF!</v>
      </c>
      <c r="K54" s="54" t="e">
        <f>'Model-BS'!#REF!</f>
        <v>#REF!</v>
      </c>
      <c r="L54" s="54" t="e">
        <f>'Model-BS'!#REF!</f>
        <v>#REF!</v>
      </c>
      <c r="M54" s="54" t="e">
        <f>'Model-BS'!#REF!</f>
        <v>#REF!</v>
      </c>
      <c r="N54" s="54" t="e">
        <f>'Model-BS'!#REF!</f>
        <v>#REF!</v>
      </c>
      <c r="O54" s="54" t="e">
        <f>'Model-BS'!#REF!</f>
        <v>#REF!</v>
      </c>
      <c r="P54" s="54" t="e">
        <f>'Model-BS'!#REF!</f>
        <v>#REF!</v>
      </c>
      <c r="Q54" s="54" t="e">
        <f>'Model-BS'!#REF!</f>
        <v>#REF!</v>
      </c>
      <c r="R54" s="54" t="e">
        <f>'Model-BS'!#REF!</f>
        <v>#REF!</v>
      </c>
      <c r="S54" s="54" t="e">
        <f>'Model-BS'!#REF!</f>
        <v>#REF!</v>
      </c>
      <c r="T54" s="54" t="e">
        <f>'Model-BS'!#REF!</f>
        <v>#REF!</v>
      </c>
      <c r="U54" s="54" t="e">
        <f>'Model-BS'!#REF!</f>
        <v>#REF!</v>
      </c>
      <c r="V54" s="54" t="e">
        <f>'Model-BS'!#REF!</f>
        <v>#REF!</v>
      </c>
      <c r="W54" s="54" t="e">
        <f>'Model-BS'!#REF!</f>
        <v>#REF!</v>
      </c>
      <c r="X54" s="54" t="e">
        <f>'Model-BS'!#REF!</f>
        <v>#REF!</v>
      </c>
      <c r="Y54" s="54" t="e">
        <f>'Model-BS'!#REF!</f>
        <v>#REF!</v>
      </c>
      <c r="Z54" s="54" t="e">
        <f>'Model-BS'!#REF!</f>
        <v>#REF!</v>
      </c>
      <c r="AA54" s="54" t="e">
        <f>'Model-BS'!#REF!</f>
        <v>#REF!</v>
      </c>
      <c r="AB54" s="54" t="e">
        <f>'Model-BS'!#REF!</f>
        <v>#REF!</v>
      </c>
      <c r="AC54" s="54" t="e">
        <f>'Model-BS'!#REF!</f>
        <v>#REF!</v>
      </c>
      <c r="AD54" s="54" t="e">
        <f>'Model-BS'!#REF!</f>
        <v>#REF!</v>
      </c>
      <c r="AE54" s="54" t="e">
        <f>'Model-BS'!#REF!</f>
        <v>#REF!</v>
      </c>
      <c r="AF54" s="54" t="e">
        <f>'Model-BS'!#REF!</f>
        <v>#REF!</v>
      </c>
      <c r="AG54" s="54" t="e">
        <f>'Model-BS'!#REF!</f>
        <v>#REF!</v>
      </c>
      <c r="AH54" s="54" t="e">
        <f>'Model-BS'!#REF!</f>
        <v>#REF!</v>
      </c>
      <c r="AI54" s="54" t="e">
        <f>'Model-BS'!#REF!</f>
        <v>#REF!</v>
      </c>
      <c r="AJ54" s="54" t="e">
        <f>'Model-BS'!#REF!</f>
        <v>#REF!</v>
      </c>
      <c r="AK54" s="54" t="e">
        <f>'Model-BS'!#REF!</f>
        <v>#REF!</v>
      </c>
      <c r="AL54" s="54" t="e">
        <f>'Model-BS'!#REF!</f>
        <v>#REF!</v>
      </c>
      <c r="AM54" s="54" t="e">
        <f>'Model-BS'!#REF!</f>
        <v>#REF!</v>
      </c>
      <c r="AN54" s="54" t="e">
        <f>'Model-BS'!#REF!</f>
        <v>#REF!</v>
      </c>
      <c r="AO54" s="54" t="e">
        <f>'Model-BS'!#REF!</f>
        <v>#REF!</v>
      </c>
      <c r="AP54" s="54" t="e">
        <f>'Model-BS'!#REF!</f>
        <v>#REF!</v>
      </c>
      <c r="AQ54" s="54" t="e">
        <f>'Model-BS'!#REF!</f>
        <v>#REF!</v>
      </c>
      <c r="AR54" s="54" t="e">
        <f>'Model-BS'!#REF!</f>
        <v>#REF!</v>
      </c>
      <c r="AS54" s="54" t="e">
        <f>'Model-BS'!#REF!</f>
        <v>#REF!</v>
      </c>
      <c r="AT54" s="54" t="e">
        <f>'Model-BS'!#REF!</f>
        <v>#REF!</v>
      </c>
      <c r="AU54" s="54" t="e">
        <f>'Model-BS'!#REF!</f>
        <v>#REF!</v>
      </c>
      <c r="AV54" s="54" t="e">
        <f>'Model-BS'!#REF!</f>
        <v>#REF!</v>
      </c>
      <c r="AW54" s="54" t="e">
        <f>'Model-BS'!#REF!</f>
        <v>#REF!</v>
      </c>
      <c r="AX54" s="54" t="e">
        <f>'Model-BS'!#REF!</f>
        <v>#REF!</v>
      </c>
      <c r="AY54" s="54" t="e">
        <f>'Model-BS'!#REF!</f>
        <v>#REF!</v>
      </c>
      <c r="AZ54" s="54" t="e">
        <f>'Model-BS'!#REF!</f>
        <v>#REF!</v>
      </c>
      <c r="BA54" s="54" t="e">
        <f>'Model-BS'!#REF!</f>
        <v>#REF!</v>
      </c>
      <c r="BB54" s="54" t="e">
        <f>'Model-BS'!#REF!</f>
        <v>#REF!</v>
      </c>
      <c r="BC54" s="54" t="e">
        <f>'Model-BS'!#REF!</f>
        <v>#REF!</v>
      </c>
      <c r="BD54" s="54" t="e">
        <f>'Model-BS'!#REF!</f>
        <v>#REF!</v>
      </c>
      <c r="BE54" s="54" t="e">
        <f>'Model-BS'!#REF!</f>
        <v>#REF!</v>
      </c>
      <c r="BF54" s="54" t="e">
        <f>'Model-BS'!#REF!</f>
        <v>#REF!</v>
      </c>
      <c r="BG54" s="54" t="e">
        <f>'Model-BS'!#REF!</f>
        <v>#REF!</v>
      </c>
      <c r="BH54" s="54" t="e">
        <f>'Model-BS'!#REF!</f>
        <v>#REF!</v>
      </c>
      <c r="BI54" s="54" t="e">
        <f>'Model-BS'!#REF!</f>
        <v>#REF!</v>
      </c>
      <c r="BJ54" s="54" t="e">
        <f>'Model-BS'!#REF!</f>
        <v>#REF!</v>
      </c>
      <c r="BK54" s="54" t="e">
        <f>'Model-BS'!#REF!</f>
        <v>#REF!</v>
      </c>
      <c r="BL54" s="54" t="e">
        <f>'Model-BS'!#REF!</f>
        <v>#REF!</v>
      </c>
      <c r="BM54" s="54" t="e">
        <f>'Model-BS'!R229</f>
        <v>#REF!</v>
      </c>
      <c r="BN54" s="54" t="e">
        <f>'Model-BS'!S229</f>
        <v>#REF!</v>
      </c>
      <c r="BO54" s="54" t="e">
        <f>'Model-BS'!T229</f>
        <v>#REF!</v>
      </c>
      <c r="BP54" s="54" t="e">
        <f>'Model-BS'!U229</f>
        <v>#REF!</v>
      </c>
      <c r="BQ54" s="54" t="e">
        <f>'Model-BS'!AB229</f>
        <v>#REF!</v>
      </c>
      <c r="BR54" s="54" t="e">
        <f>'Model-BS'!AI229</f>
        <v>#REF!</v>
      </c>
      <c r="BS54" s="54" t="e">
        <f>'Model-BS'!AP229</f>
        <v>#REF!</v>
      </c>
      <c r="BT54" s="54" t="e">
        <f>'Model-BS'!AW229</f>
        <v>#REF!</v>
      </c>
      <c r="BU54" s="54" t="e">
        <f>'Model-BS'!BD229</f>
        <v>#REF!</v>
      </c>
      <c r="BV54" s="54" t="e">
        <f>'Model-BS'!BK229</f>
        <v>#REF!</v>
      </c>
      <c r="BW54" s="54" t="e">
        <f>'Model-BS'!BL229</f>
        <v>#REF!</v>
      </c>
      <c r="BX54" s="54" t="e">
        <f>'Model-BS'!BM229</f>
        <v>#REF!</v>
      </c>
      <c r="BY54" s="54" t="e">
        <f>'Model-BS'!BN229</f>
        <v>#REF!</v>
      </c>
      <c r="BZ54" s="54" t="e">
        <f>'Model-BS'!BO229</f>
        <v>#REF!</v>
      </c>
    </row>
    <row r="55" spans="2:78" s="31" customFormat="1">
      <c r="B55" s="55" t="s">
        <v>51</v>
      </c>
      <c r="C55" s="56"/>
      <c r="D55" s="56">
        <f>[70]Model!I152</f>
        <v>0</v>
      </c>
      <c r="E55" s="56" t="e">
        <f>'Model-BS'!#REF!</f>
        <v>#REF!</v>
      </c>
      <c r="F55" s="56" t="e">
        <f>'Model-BS'!#REF!</f>
        <v>#REF!</v>
      </c>
      <c r="G55" s="56" t="e">
        <f>'Model-BS'!#REF!</f>
        <v>#REF!</v>
      </c>
      <c r="H55" s="56" t="e">
        <f>'Model-BS'!#REF!</f>
        <v>#REF!</v>
      </c>
      <c r="I55" s="56" t="e">
        <f>'Model-BS'!#REF!</f>
        <v>#REF!</v>
      </c>
      <c r="J55" s="56" t="e">
        <f>'Model-BS'!#REF!</f>
        <v>#REF!</v>
      </c>
      <c r="K55" s="56" t="e">
        <f>'Model-BS'!#REF!</f>
        <v>#REF!</v>
      </c>
      <c r="L55" s="56" t="e">
        <f>'Model-BS'!#REF!</f>
        <v>#REF!</v>
      </c>
      <c r="M55" s="56" t="e">
        <f>'Model-BS'!#REF!</f>
        <v>#REF!</v>
      </c>
      <c r="N55" s="56" t="e">
        <f>'Model-BS'!#REF!</f>
        <v>#REF!</v>
      </c>
      <c r="O55" s="56" t="e">
        <f>'Model-BS'!#REF!</f>
        <v>#REF!</v>
      </c>
      <c r="P55" s="56" t="e">
        <f>'Model-BS'!#REF!</f>
        <v>#REF!</v>
      </c>
      <c r="Q55" s="56" t="e">
        <f>'Model-BS'!#REF!</f>
        <v>#REF!</v>
      </c>
      <c r="R55" s="56" t="e">
        <f>'Model-BS'!#REF!</f>
        <v>#REF!</v>
      </c>
      <c r="S55" s="56" t="e">
        <f>'Model-BS'!#REF!</f>
        <v>#REF!</v>
      </c>
      <c r="T55" s="56" t="e">
        <f>'Model-BS'!#REF!</f>
        <v>#REF!</v>
      </c>
      <c r="U55" s="56" t="e">
        <f>'Model-BS'!#REF!</f>
        <v>#REF!</v>
      </c>
      <c r="V55" s="56" t="e">
        <f>'Model-BS'!#REF!</f>
        <v>#REF!</v>
      </c>
      <c r="W55" s="56" t="e">
        <f>'Model-BS'!#REF!</f>
        <v>#REF!</v>
      </c>
      <c r="X55" s="56" t="e">
        <f>'Model-BS'!#REF!</f>
        <v>#REF!</v>
      </c>
      <c r="Y55" s="56" t="e">
        <f>'Model-BS'!#REF!</f>
        <v>#REF!</v>
      </c>
      <c r="Z55" s="56" t="e">
        <f>'Model-BS'!#REF!</f>
        <v>#REF!</v>
      </c>
      <c r="AA55" s="56" t="e">
        <f>'Model-BS'!#REF!</f>
        <v>#REF!</v>
      </c>
      <c r="AB55" s="56" t="e">
        <f>'Model-BS'!#REF!</f>
        <v>#REF!</v>
      </c>
      <c r="AC55" s="56" t="e">
        <f>'Model-BS'!#REF!</f>
        <v>#REF!</v>
      </c>
      <c r="AD55" s="56" t="e">
        <f>'Model-BS'!#REF!</f>
        <v>#REF!</v>
      </c>
      <c r="AE55" s="56" t="e">
        <f>'Model-BS'!#REF!</f>
        <v>#REF!</v>
      </c>
      <c r="AF55" s="56" t="e">
        <f>'Model-BS'!#REF!</f>
        <v>#REF!</v>
      </c>
      <c r="AG55" s="56" t="e">
        <f>'Model-BS'!#REF!</f>
        <v>#REF!</v>
      </c>
      <c r="AH55" s="56" t="e">
        <f>'Model-BS'!#REF!</f>
        <v>#REF!</v>
      </c>
      <c r="AI55" s="56" t="e">
        <f>'Model-BS'!#REF!</f>
        <v>#REF!</v>
      </c>
      <c r="AJ55" s="56" t="e">
        <f>'Model-BS'!#REF!</f>
        <v>#REF!</v>
      </c>
      <c r="AK55" s="56" t="e">
        <f>'Model-BS'!#REF!</f>
        <v>#REF!</v>
      </c>
      <c r="AL55" s="56" t="e">
        <f>'Model-BS'!#REF!</f>
        <v>#REF!</v>
      </c>
      <c r="AM55" s="56" t="e">
        <f>'Model-BS'!#REF!</f>
        <v>#REF!</v>
      </c>
      <c r="AN55" s="56" t="e">
        <f>'Model-BS'!#REF!</f>
        <v>#REF!</v>
      </c>
      <c r="AO55" s="56" t="e">
        <f>'Model-BS'!#REF!</f>
        <v>#REF!</v>
      </c>
      <c r="AP55" s="56" t="e">
        <f>'Model-BS'!#REF!</f>
        <v>#REF!</v>
      </c>
      <c r="AQ55" s="56" t="e">
        <f>'Model-BS'!#REF!</f>
        <v>#REF!</v>
      </c>
      <c r="AR55" s="56" t="e">
        <f>'Model-BS'!#REF!</f>
        <v>#REF!</v>
      </c>
      <c r="AS55" s="56" t="e">
        <f>'Model-BS'!#REF!</f>
        <v>#REF!</v>
      </c>
      <c r="AT55" s="56" t="e">
        <f>'Model-BS'!#REF!</f>
        <v>#REF!</v>
      </c>
      <c r="AU55" s="56" t="e">
        <f>'Model-BS'!#REF!</f>
        <v>#REF!</v>
      </c>
      <c r="AV55" s="56" t="e">
        <f>'Model-BS'!#REF!</f>
        <v>#REF!</v>
      </c>
      <c r="AW55" s="56" t="e">
        <f>'Model-BS'!#REF!</f>
        <v>#REF!</v>
      </c>
      <c r="AX55" s="56" t="e">
        <f>'Model-BS'!#REF!</f>
        <v>#REF!</v>
      </c>
      <c r="AY55" s="56" t="e">
        <f>'Model-BS'!#REF!</f>
        <v>#REF!</v>
      </c>
      <c r="AZ55" s="56" t="e">
        <f>'Model-BS'!#REF!</f>
        <v>#REF!</v>
      </c>
      <c r="BA55" s="56" t="e">
        <f>'Model-BS'!#REF!</f>
        <v>#REF!</v>
      </c>
      <c r="BB55" s="56" t="e">
        <f>'Model-BS'!#REF!</f>
        <v>#REF!</v>
      </c>
      <c r="BC55" s="56" t="e">
        <f>'Model-BS'!#REF!</f>
        <v>#REF!</v>
      </c>
      <c r="BD55" s="56" t="e">
        <f>'Model-BS'!#REF!</f>
        <v>#REF!</v>
      </c>
      <c r="BE55" s="56" t="e">
        <f>'Model-BS'!#REF!</f>
        <v>#REF!</v>
      </c>
      <c r="BF55" s="56" t="e">
        <f>'Model-BS'!#REF!</f>
        <v>#REF!</v>
      </c>
      <c r="BG55" s="56" t="e">
        <f>'Model-BS'!#REF!</f>
        <v>#REF!</v>
      </c>
      <c r="BH55" s="56" t="e">
        <f>'Model-BS'!#REF!</f>
        <v>#REF!</v>
      </c>
      <c r="BI55" s="56" t="e">
        <f>'Model-BS'!#REF!</f>
        <v>#REF!</v>
      </c>
      <c r="BJ55" s="56" t="e">
        <f>'Model-BS'!#REF!</f>
        <v>#REF!</v>
      </c>
      <c r="BK55" s="56" t="e">
        <f>'Model-BS'!#REF!</f>
        <v>#REF!</v>
      </c>
      <c r="BL55" s="56" t="e">
        <f>'Model-BS'!#REF!</f>
        <v>#REF!</v>
      </c>
      <c r="BM55" s="56" t="e">
        <f>'Model-BS'!R130</f>
        <v>#REF!</v>
      </c>
      <c r="BN55" s="56" t="e">
        <f>'Model-BS'!S130</f>
        <v>#REF!</v>
      </c>
      <c r="BO55" s="56" t="e">
        <f>'Model-BS'!T130</f>
        <v>#REF!</v>
      </c>
      <c r="BP55" s="56" t="e">
        <f>'Model-BS'!U130</f>
        <v>#REF!</v>
      </c>
      <c r="BQ55" s="56" t="e">
        <f>'Model-BS'!AB130</f>
        <v>#REF!</v>
      </c>
      <c r="BR55" s="56" t="e">
        <f>'Model-BS'!AI130</f>
        <v>#REF!</v>
      </c>
      <c r="BS55" s="56" t="e">
        <f>'Model-BS'!AP130</f>
        <v>#REF!</v>
      </c>
      <c r="BT55" s="56" t="e">
        <f>'Model-BS'!AW130</f>
        <v>#REF!</v>
      </c>
      <c r="BU55" s="56" t="e">
        <f>'Model-BS'!BD130</f>
        <v>#REF!</v>
      </c>
      <c r="BV55" s="56" t="e">
        <f>'Model-BS'!BK130</f>
        <v>#REF!</v>
      </c>
      <c r="BW55" s="56" t="e">
        <f>'Model-BS'!BL130</f>
        <v>#REF!</v>
      </c>
      <c r="BX55" s="56" t="e">
        <f>'Model-BS'!BM130</f>
        <v>#REF!</v>
      </c>
      <c r="BY55" s="56" t="e">
        <f>'Model-BS'!BN130</f>
        <v>#REF!</v>
      </c>
      <c r="BZ55" s="56" t="e">
        <f>'Model-BS'!BO130</f>
        <v>#REF!</v>
      </c>
    </row>
    <row r="56" spans="2:78" s="31" customFormat="1" ht="4.5" customHeight="1">
      <c r="B56" s="49"/>
      <c r="C56" s="35"/>
      <c r="D56" s="35"/>
      <c r="E56" s="35"/>
      <c r="F56" s="35"/>
      <c r="G56" s="35"/>
      <c r="H56" s="35"/>
      <c r="I56" s="35"/>
      <c r="J56" s="35"/>
      <c r="K56" s="35"/>
      <c r="L56" s="35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35"/>
      <c r="X56" s="35"/>
      <c r="Y56" s="35"/>
      <c r="Z56" s="35"/>
      <c r="AA56" s="35"/>
      <c r="AB56" s="35"/>
      <c r="AC56" s="35"/>
      <c r="AD56" s="35"/>
      <c r="AE56" s="35"/>
      <c r="AF56" s="35"/>
      <c r="AG56" s="35"/>
      <c r="AH56" s="35"/>
      <c r="AI56" s="35"/>
      <c r="AJ56" s="35"/>
      <c r="AK56" s="35"/>
      <c r="AL56" s="35"/>
      <c r="AM56" s="35"/>
      <c r="AN56" s="35"/>
      <c r="AO56" s="35"/>
      <c r="AP56" s="35"/>
      <c r="AQ56" s="35"/>
      <c r="AR56" s="35"/>
      <c r="AS56" s="35"/>
      <c r="AT56" s="35"/>
      <c r="AU56" s="35"/>
      <c r="AV56" s="35"/>
      <c r="AW56" s="35"/>
      <c r="AX56" s="35"/>
      <c r="AY56" s="35"/>
      <c r="AZ56" s="35"/>
      <c r="BA56" s="35"/>
      <c r="BB56" s="35"/>
      <c r="BC56" s="35"/>
      <c r="BD56" s="35"/>
      <c r="BE56" s="35"/>
      <c r="BF56" s="35"/>
      <c r="BG56" s="35"/>
      <c r="BH56" s="35"/>
      <c r="BI56" s="35"/>
      <c r="BJ56" s="35"/>
      <c r="BK56" s="35"/>
      <c r="BL56" s="35"/>
      <c r="BM56" s="35"/>
      <c r="BN56" s="35"/>
      <c r="BO56" s="35"/>
      <c r="BP56" s="35"/>
      <c r="BQ56" s="35"/>
      <c r="BR56" s="35"/>
      <c r="BS56" s="35"/>
      <c r="BT56" s="35"/>
      <c r="BU56" s="35"/>
      <c r="BV56" s="35"/>
      <c r="BW56" s="35"/>
      <c r="BX56" s="35"/>
      <c r="BY56" s="35"/>
      <c r="BZ56" s="35"/>
    </row>
    <row r="57" spans="2:78" s="31" customFormat="1" ht="6" customHeight="1">
      <c r="B57" s="32"/>
      <c r="C57" s="35"/>
      <c r="D57" s="35"/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58"/>
      <c r="W57" s="58"/>
      <c r="X57" s="58"/>
      <c r="Y57" s="58"/>
      <c r="Z57" s="58"/>
      <c r="AA57" s="58"/>
      <c r="AB57" s="58"/>
      <c r="AC57" s="58"/>
      <c r="AD57" s="58"/>
      <c r="AE57" s="58"/>
      <c r="AF57" s="58"/>
      <c r="AG57" s="58"/>
      <c r="AH57" s="58"/>
      <c r="AI57" s="58"/>
      <c r="AJ57" s="58"/>
      <c r="AK57" s="58"/>
      <c r="AL57" s="58"/>
      <c r="AM57" s="58"/>
      <c r="AN57" s="58"/>
      <c r="AO57" s="58"/>
      <c r="AP57" s="58"/>
      <c r="AQ57" s="58"/>
      <c r="AR57" s="58"/>
      <c r="AS57" s="58"/>
      <c r="AT57" s="58"/>
      <c r="AU57" s="58"/>
      <c r="AV57" s="58"/>
      <c r="AW57" s="58"/>
      <c r="AX57" s="58"/>
      <c r="AY57" s="58"/>
      <c r="AZ57" s="58"/>
      <c r="BA57" s="58"/>
      <c r="BB57" s="58"/>
      <c r="BC57" s="58"/>
      <c r="BD57" s="58"/>
      <c r="BE57" s="58"/>
      <c r="BF57" s="58"/>
      <c r="BG57" s="58"/>
      <c r="BH57" s="58"/>
      <c r="BI57" s="58"/>
      <c r="BJ57" s="58"/>
      <c r="BK57" s="58"/>
      <c r="BL57" s="58"/>
      <c r="BM57" s="58"/>
      <c r="BN57" s="58"/>
      <c r="BO57" s="58"/>
      <c r="BP57" s="58"/>
      <c r="BQ57" s="58"/>
      <c r="BR57" s="58"/>
      <c r="BS57" s="58"/>
      <c r="BT57" s="58"/>
      <c r="BU57" s="58"/>
      <c r="BV57" s="58"/>
      <c r="BW57" s="58"/>
      <c r="BX57" s="58"/>
      <c r="BY57" s="58"/>
      <c r="BZ57" s="58"/>
    </row>
    <row r="58" spans="2:78" s="31" customFormat="1">
      <c r="B58" s="59" t="s">
        <v>52</v>
      </c>
      <c r="C58" s="54"/>
      <c r="D58" s="25">
        <v>2002</v>
      </c>
      <c r="E58" s="26">
        <f t="shared" ref="E58:AJ58" si="27">E43</f>
        <v>2003</v>
      </c>
      <c r="F58" s="26">
        <f t="shared" si="27"/>
        <v>2004</v>
      </c>
      <c r="G58" s="26">
        <f t="shared" si="27"/>
        <v>2005</v>
      </c>
      <c r="H58" s="26">
        <f t="shared" si="27"/>
        <v>2006</v>
      </c>
      <c r="I58" s="26">
        <f t="shared" si="27"/>
        <v>2009.5833333333301</v>
      </c>
      <c r="J58" s="26">
        <f t="shared" si="27"/>
        <v>2009.6666666666699</v>
      </c>
      <c r="K58" s="26">
        <f t="shared" si="27"/>
        <v>2009.75</v>
      </c>
      <c r="L58" s="26">
        <f t="shared" si="27"/>
        <v>2009.8333333333301</v>
      </c>
      <c r="M58" s="26">
        <f t="shared" si="27"/>
        <v>2009.9166666666699</v>
      </c>
      <c r="N58" s="26">
        <f t="shared" si="27"/>
        <v>2010</v>
      </c>
      <c r="O58" s="26">
        <f t="shared" si="27"/>
        <v>2007</v>
      </c>
      <c r="P58" s="26">
        <f t="shared" si="27"/>
        <v>2010.1666666666699</v>
      </c>
      <c r="Q58" s="26">
        <f t="shared" si="27"/>
        <v>2010.25</v>
      </c>
      <c r="R58" s="26">
        <f t="shared" si="27"/>
        <v>2010.3333333333301</v>
      </c>
      <c r="S58" s="26">
        <f t="shared" si="27"/>
        <v>2010.4166666666699</v>
      </c>
      <c r="T58" s="26">
        <f t="shared" si="27"/>
        <v>2010.5</v>
      </c>
      <c r="U58" s="26">
        <f t="shared" si="27"/>
        <v>2010.5833333333301</v>
      </c>
      <c r="V58" s="26">
        <f t="shared" si="27"/>
        <v>2008</v>
      </c>
      <c r="W58" s="26">
        <f t="shared" si="27"/>
        <v>2010.75</v>
      </c>
      <c r="X58" s="26">
        <f t="shared" si="27"/>
        <v>2010.8333333333301</v>
      </c>
      <c r="Y58" s="26">
        <f t="shared" si="27"/>
        <v>2010.9166666666699</v>
      </c>
      <c r="Z58" s="26">
        <f t="shared" si="27"/>
        <v>2011</v>
      </c>
      <c r="AA58" s="26">
        <f t="shared" si="27"/>
        <v>2011.0833333333301</v>
      </c>
      <c r="AB58" s="26">
        <f t="shared" si="27"/>
        <v>2011.1666666666699</v>
      </c>
      <c r="AC58" s="26">
        <f t="shared" si="27"/>
        <v>2009</v>
      </c>
      <c r="AD58" s="26">
        <f t="shared" si="27"/>
        <v>2011.3333333333301</v>
      </c>
      <c r="AE58" s="26">
        <f t="shared" si="27"/>
        <v>2011.4166666666699</v>
      </c>
      <c r="AF58" s="26">
        <f t="shared" si="27"/>
        <v>2011.5</v>
      </c>
      <c r="AG58" s="26">
        <f t="shared" si="27"/>
        <v>2011.5833333333301</v>
      </c>
      <c r="AH58" s="26">
        <f t="shared" si="27"/>
        <v>2011.6666666666699</v>
      </c>
      <c r="AI58" s="26">
        <f t="shared" si="27"/>
        <v>2011.75</v>
      </c>
      <c r="AJ58" s="26">
        <f t="shared" si="27"/>
        <v>2010</v>
      </c>
      <c r="AK58" s="26">
        <f t="shared" ref="AK58:BP58" si="28">AK43</f>
        <v>2011.9166666666699</v>
      </c>
      <c r="AL58" s="26">
        <f t="shared" si="28"/>
        <v>2012</v>
      </c>
      <c r="AM58" s="26">
        <f t="shared" si="28"/>
        <v>2012.0833333333301</v>
      </c>
      <c r="AN58" s="26">
        <f t="shared" si="28"/>
        <v>2012.1666666666699</v>
      </c>
      <c r="AO58" s="26">
        <f t="shared" si="28"/>
        <v>2012.25</v>
      </c>
      <c r="AP58" s="26">
        <f t="shared" si="28"/>
        <v>2012.3333333333301</v>
      </c>
      <c r="AQ58" s="26">
        <f t="shared" si="28"/>
        <v>2011</v>
      </c>
      <c r="AR58" s="26">
        <f t="shared" si="28"/>
        <v>2012.5</v>
      </c>
      <c r="AS58" s="26">
        <f t="shared" si="28"/>
        <v>2012.5833333333301</v>
      </c>
      <c r="AT58" s="26">
        <f t="shared" si="28"/>
        <v>2012.6666666666699</v>
      </c>
      <c r="AU58" s="26">
        <f t="shared" si="28"/>
        <v>2012.75</v>
      </c>
      <c r="AV58" s="26">
        <f t="shared" si="28"/>
        <v>2012.8333333333301</v>
      </c>
      <c r="AW58" s="26">
        <f t="shared" si="28"/>
        <v>2012.9166666666699</v>
      </c>
      <c r="AX58" s="26">
        <f t="shared" si="28"/>
        <v>2012</v>
      </c>
      <c r="AY58" s="26">
        <f t="shared" si="28"/>
        <v>2013.0833333333301</v>
      </c>
      <c r="AZ58" s="26">
        <f t="shared" si="28"/>
        <v>2013.1666666666699</v>
      </c>
      <c r="BA58" s="26">
        <f t="shared" si="28"/>
        <v>2013.25</v>
      </c>
      <c r="BB58" s="26">
        <f t="shared" si="28"/>
        <v>2013.3333333333301</v>
      </c>
      <c r="BC58" s="26">
        <f t="shared" si="28"/>
        <v>2013.4166666666699</v>
      </c>
      <c r="BD58" s="26">
        <f t="shared" si="28"/>
        <v>2013.5</v>
      </c>
      <c r="BE58" s="26">
        <f t="shared" si="28"/>
        <v>2013</v>
      </c>
      <c r="BF58" s="26">
        <f t="shared" si="28"/>
        <v>2014</v>
      </c>
      <c r="BG58" s="26">
        <f t="shared" si="28"/>
        <v>2014</v>
      </c>
      <c r="BH58" s="26">
        <f t="shared" si="28"/>
        <v>2014</v>
      </c>
      <c r="BI58" s="26">
        <f t="shared" si="28"/>
        <v>2014</v>
      </c>
      <c r="BJ58" s="26">
        <f t="shared" si="28"/>
        <v>2014</v>
      </c>
      <c r="BK58" s="26">
        <f t="shared" si="28"/>
        <v>2014</v>
      </c>
      <c r="BL58" s="26">
        <f t="shared" si="28"/>
        <v>2014</v>
      </c>
      <c r="BM58" s="26">
        <f t="shared" si="28"/>
        <v>2015</v>
      </c>
      <c r="BN58" s="26">
        <f t="shared" si="28"/>
        <v>2016</v>
      </c>
      <c r="BO58" s="26">
        <f t="shared" si="28"/>
        <v>2017</v>
      </c>
      <c r="BP58" s="26">
        <f t="shared" si="28"/>
        <v>2018</v>
      </c>
      <c r="BQ58" s="26">
        <f t="shared" ref="BQ58:BX58" si="29">BQ43</f>
        <v>2019</v>
      </c>
      <c r="BR58" s="26">
        <f t="shared" si="29"/>
        <v>2020</v>
      </c>
      <c r="BS58" s="26">
        <f t="shared" si="29"/>
        <v>2021</v>
      </c>
      <c r="BT58" s="26">
        <f t="shared" si="29"/>
        <v>2022</v>
      </c>
      <c r="BU58" s="26">
        <f t="shared" si="29"/>
        <v>2023</v>
      </c>
      <c r="BV58" s="26">
        <f t="shared" si="29"/>
        <v>2024</v>
      </c>
      <c r="BW58" s="26">
        <f t="shared" si="29"/>
        <v>2025</v>
      </c>
      <c r="BX58" s="26" t="str">
        <f t="shared" si="29"/>
        <v>2026E</v>
      </c>
      <c r="BY58" s="26" t="str">
        <f t="shared" ref="BY58:BZ58" si="30">BY43</f>
        <v>2027E</v>
      </c>
      <c r="BZ58" s="26" t="str">
        <f t="shared" si="30"/>
        <v>2028E</v>
      </c>
    </row>
    <row r="59" spans="2:78" s="31" customFormat="1">
      <c r="B59" s="60" t="s">
        <v>53</v>
      </c>
      <c r="C59" s="60"/>
      <c r="D59" s="60">
        <f>[70]Model!I176</f>
        <v>0</v>
      </c>
      <c r="E59" s="60" t="e">
        <f>'Model-BS'!F275</f>
        <v>#REF!</v>
      </c>
      <c r="F59" s="60" t="e">
        <f>'Model-BS'!G275</f>
        <v>#REF!</v>
      </c>
      <c r="G59" s="60" t="e">
        <f>'Model-BS'!H275</f>
        <v>#REF!</v>
      </c>
      <c r="H59" s="60" t="e">
        <f>'Model-BS'!I275</f>
        <v>#REF!</v>
      </c>
      <c r="I59" s="60" t="e">
        <f>'Model-BS'!#REF!</f>
        <v>#REF!</v>
      </c>
      <c r="J59" s="60" t="e">
        <f>'Model-BS'!#REF!</f>
        <v>#REF!</v>
      </c>
      <c r="K59" s="60" t="e">
        <f>'Model-BS'!#REF!</f>
        <v>#REF!</v>
      </c>
      <c r="L59" s="60" t="e">
        <f>'Model-BS'!#REF!</f>
        <v>#REF!</v>
      </c>
      <c r="M59" s="60" t="e">
        <f>'Model-BS'!#REF!</f>
        <v>#REF!</v>
      </c>
      <c r="N59" s="60" t="e">
        <f>'Model-BS'!#REF!</f>
        <v>#REF!</v>
      </c>
      <c r="O59" s="60" t="e">
        <f>'Model-BS'!J275</f>
        <v>#REF!</v>
      </c>
      <c r="P59" s="60" t="e">
        <f>'Model-BS'!#REF!</f>
        <v>#REF!</v>
      </c>
      <c r="Q59" s="60" t="e">
        <f>'Model-BS'!#REF!</f>
        <v>#REF!</v>
      </c>
      <c r="R59" s="60" t="e">
        <f>'Model-BS'!#REF!</f>
        <v>#REF!</v>
      </c>
      <c r="S59" s="60" t="e">
        <f>'Model-BS'!#REF!</f>
        <v>#REF!</v>
      </c>
      <c r="T59" s="60" t="e">
        <f>'Model-BS'!#REF!</f>
        <v>#REF!</v>
      </c>
      <c r="U59" s="60" t="e">
        <f>'Model-BS'!#REF!</f>
        <v>#REF!</v>
      </c>
      <c r="V59" s="60" t="e">
        <f>'Model-BS'!K275</f>
        <v>#REF!</v>
      </c>
      <c r="W59" s="60" t="e">
        <f>'Model-BS'!#REF!</f>
        <v>#REF!</v>
      </c>
      <c r="X59" s="60" t="e">
        <f>'Model-BS'!#REF!</f>
        <v>#REF!</v>
      </c>
      <c r="Y59" s="60" t="e">
        <f>'Model-BS'!#REF!</f>
        <v>#REF!</v>
      </c>
      <c r="Z59" s="60" t="e">
        <f>'Model-BS'!#REF!</f>
        <v>#REF!</v>
      </c>
      <c r="AA59" s="60" t="e">
        <f>'Model-BS'!#REF!</f>
        <v>#REF!</v>
      </c>
      <c r="AB59" s="60" t="e">
        <f>'Model-BS'!#REF!</f>
        <v>#REF!</v>
      </c>
      <c r="AC59" s="60" t="e">
        <f>'Model-BS'!L275</f>
        <v>#REF!</v>
      </c>
      <c r="AD59" s="60" t="e">
        <f>'Model-BS'!#REF!</f>
        <v>#REF!</v>
      </c>
      <c r="AE59" s="60" t="e">
        <f>'Model-BS'!#REF!</f>
        <v>#REF!</v>
      </c>
      <c r="AF59" s="60" t="e">
        <f>'Model-BS'!#REF!</f>
        <v>#REF!</v>
      </c>
      <c r="AG59" s="60" t="e">
        <f>'Model-BS'!#REF!</f>
        <v>#REF!</v>
      </c>
      <c r="AH59" s="60" t="e">
        <f>'Model-BS'!#REF!</f>
        <v>#REF!</v>
      </c>
      <c r="AI59" s="60" t="e">
        <f>'Model-BS'!#REF!</f>
        <v>#REF!</v>
      </c>
      <c r="AJ59" s="60" t="e">
        <f>'Model-BS'!M275</f>
        <v>#REF!</v>
      </c>
      <c r="AK59" s="60" t="e">
        <f>'Model-BS'!#REF!</f>
        <v>#REF!</v>
      </c>
      <c r="AL59" s="60" t="e">
        <f>'Model-BS'!#REF!</f>
        <v>#REF!</v>
      </c>
      <c r="AM59" s="60" t="e">
        <f>'Model-BS'!#REF!</f>
        <v>#REF!</v>
      </c>
      <c r="AN59" s="60" t="e">
        <f>'Model-BS'!#REF!</f>
        <v>#REF!</v>
      </c>
      <c r="AO59" s="60" t="e">
        <f>'Model-BS'!#REF!</f>
        <v>#REF!</v>
      </c>
      <c r="AP59" s="60" t="e">
        <f>'Model-BS'!#REF!</f>
        <v>#REF!</v>
      </c>
      <c r="AQ59" s="60" t="e">
        <f>'Model-BS'!N275</f>
        <v>#REF!</v>
      </c>
      <c r="AR59" s="60" t="e">
        <f>'Model-BS'!#REF!</f>
        <v>#REF!</v>
      </c>
      <c r="AS59" s="60" t="e">
        <f>'Model-BS'!#REF!</f>
        <v>#REF!</v>
      </c>
      <c r="AT59" s="60" t="e">
        <f>'Model-BS'!#REF!</f>
        <v>#REF!</v>
      </c>
      <c r="AU59" s="60" t="e">
        <f>'Model-BS'!#REF!</f>
        <v>#REF!</v>
      </c>
      <c r="AV59" s="60" t="e">
        <f>'Model-BS'!#REF!</f>
        <v>#REF!</v>
      </c>
      <c r="AW59" s="60" t="e">
        <f>'Model-BS'!#REF!</f>
        <v>#REF!</v>
      </c>
      <c r="AX59" s="60" t="e">
        <f>'Model-BS'!O275</f>
        <v>#REF!</v>
      </c>
      <c r="AY59" s="60" t="e">
        <f>'Model-BS'!#REF!</f>
        <v>#REF!</v>
      </c>
      <c r="AZ59" s="60" t="e">
        <f>'Model-BS'!#REF!</f>
        <v>#REF!</v>
      </c>
      <c r="BA59" s="60" t="e">
        <f>'Model-BS'!#REF!</f>
        <v>#REF!</v>
      </c>
      <c r="BB59" s="60" t="e">
        <f>'Model-BS'!#REF!</f>
        <v>#REF!</v>
      </c>
      <c r="BC59" s="60" t="e">
        <f>'Model-BS'!#REF!</f>
        <v>#REF!</v>
      </c>
      <c r="BD59" s="60" t="e">
        <f>'Model-BS'!#REF!</f>
        <v>#REF!</v>
      </c>
      <c r="BE59" s="60" t="e">
        <f>'Model-BS'!P275</f>
        <v>#REF!</v>
      </c>
      <c r="BF59" s="60" t="e">
        <f>'Model-BS'!#REF!</f>
        <v>#REF!</v>
      </c>
      <c r="BG59" s="60" t="e">
        <f>'Model-BS'!#REF!</f>
        <v>#REF!</v>
      </c>
      <c r="BH59" s="60" t="e">
        <f>'Model-BS'!#REF!</f>
        <v>#REF!</v>
      </c>
      <c r="BI59" s="60" t="e">
        <f>'Model-BS'!#REF!</f>
        <v>#REF!</v>
      </c>
      <c r="BJ59" s="60" t="e">
        <f>'Model-BS'!#REF!</f>
        <v>#REF!</v>
      </c>
      <c r="BK59" s="60" t="e">
        <f>'Model-BS'!#REF!</f>
        <v>#REF!</v>
      </c>
      <c r="BL59" s="60" t="e">
        <f>'Model-BS'!Q275</f>
        <v>#REF!</v>
      </c>
      <c r="BM59" s="60" t="e">
        <f>'Model-BS'!R275</f>
        <v>#REF!</v>
      </c>
      <c r="BN59" s="60" t="e">
        <f>'Model-BS'!S275</f>
        <v>#REF!</v>
      </c>
      <c r="BO59" s="60" t="e">
        <f>'Model-BS'!T275</f>
        <v>#REF!</v>
      </c>
      <c r="BP59" s="60" t="e">
        <f>'Model-BS'!U275</f>
        <v>#REF!</v>
      </c>
      <c r="BQ59" s="60" t="e">
        <f>'Model-BS'!AB275</f>
        <v>#REF!</v>
      </c>
      <c r="BR59" s="60" t="e">
        <f>'Model-BS'!AI275</f>
        <v>#REF!</v>
      </c>
      <c r="BS59" s="60" t="e">
        <f>'Model-BS'!AP275</f>
        <v>#REF!</v>
      </c>
      <c r="BT59" s="60" t="e">
        <f>'Model-BS'!AW275</f>
        <v>#REF!</v>
      </c>
      <c r="BU59" s="60" t="e">
        <f>'Model-BS'!BD275</f>
        <v>#REF!</v>
      </c>
      <c r="BV59" s="60" t="e">
        <f>'Model-BS'!BK275</f>
        <v>#REF!</v>
      </c>
      <c r="BW59" s="60" t="e">
        <f>'Model-BS'!BL275</f>
        <v>#REF!</v>
      </c>
      <c r="BX59" s="60" t="e">
        <f>'Model-BS'!BM275</f>
        <v>#REF!</v>
      </c>
      <c r="BY59" s="60" t="e">
        <f>'Model-BS'!BN275</f>
        <v>#REF!</v>
      </c>
      <c r="BZ59" s="60" t="e">
        <f>'Model-BS'!BO275</f>
        <v>#REF!</v>
      </c>
    </row>
    <row r="60" spans="2:78" s="31" customFormat="1">
      <c r="B60" s="35" t="s">
        <v>54</v>
      </c>
      <c r="C60" s="35"/>
      <c r="D60" s="35">
        <f>[70]Model!H179</f>
        <v>0</v>
      </c>
      <c r="E60" s="35" t="e">
        <f>'Model-BS'!F277</f>
        <v>#REF!</v>
      </c>
      <c r="F60" s="35" t="e">
        <f>'Model-BS'!G277</f>
        <v>#REF!</v>
      </c>
      <c r="G60" s="35" t="e">
        <f>'Model-BS'!H277</f>
        <v>#REF!</v>
      </c>
      <c r="H60" s="35" t="e">
        <f>'Model-BS'!I277</f>
        <v>#REF!</v>
      </c>
      <c r="I60" s="35" t="e">
        <f>'Model-BS'!#REF!</f>
        <v>#REF!</v>
      </c>
      <c r="J60" s="35" t="e">
        <f>'Model-BS'!#REF!</f>
        <v>#REF!</v>
      </c>
      <c r="K60" s="35" t="e">
        <f>'Model-BS'!#REF!</f>
        <v>#REF!</v>
      </c>
      <c r="L60" s="35" t="e">
        <f>'Model-BS'!#REF!</f>
        <v>#REF!</v>
      </c>
      <c r="M60" s="35" t="e">
        <f>'Model-BS'!#REF!</f>
        <v>#REF!</v>
      </c>
      <c r="N60" s="35" t="e">
        <f>'Model-BS'!#REF!</f>
        <v>#REF!</v>
      </c>
      <c r="O60" s="35" t="e">
        <f>'Model-BS'!J277</f>
        <v>#REF!</v>
      </c>
      <c r="P60" s="35" t="e">
        <f>'Model-BS'!#REF!</f>
        <v>#REF!</v>
      </c>
      <c r="Q60" s="35" t="e">
        <f>'Model-BS'!#REF!</f>
        <v>#REF!</v>
      </c>
      <c r="R60" s="35" t="e">
        <f>'Model-BS'!#REF!</f>
        <v>#REF!</v>
      </c>
      <c r="S60" s="35" t="e">
        <f>'Model-BS'!#REF!</f>
        <v>#REF!</v>
      </c>
      <c r="T60" s="35" t="e">
        <f>'Model-BS'!#REF!</f>
        <v>#REF!</v>
      </c>
      <c r="U60" s="35" t="e">
        <f>'Model-BS'!#REF!</f>
        <v>#REF!</v>
      </c>
      <c r="V60" s="35" t="e">
        <f>'Model-BS'!K277</f>
        <v>#REF!</v>
      </c>
      <c r="W60" s="35" t="e">
        <f>'Model-BS'!#REF!</f>
        <v>#REF!</v>
      </c>
      <c r="X60" s="35" t="e">
        <f>'Model-BS'!#REF!</f>
        <v>#REF!</v>
      </c>
      <c r="Y60" s="35" t="e">
        <f>'Model-BS'!#REF!</f>
        <v>#REF!</v>
      </c>
      <c r="Z60" s="35" t="e">
        <f>'Model-BS'!#REF!</f>
        <v>#REF!</v>
      </c>
      <c r="AA60" s="35" t="e">
        <f>'Model-BS'!#REF!</f>
        <v>#REF!</v>
      </c>
      <c r="AB60" s="35" t="e">
        <f>'Model-BS'!#REF!</f>
        <v>#REF!</v>
      </c>
      <c r="AC60" s="35" t="e">
        <f>'Model-BS'!L277</f>
        <v>#REF!</v>
      </c>
      <c r="AD60" s="35" t="e">
        <f>'Model-BS'!#REF!</f>
        <v>#REF!</v>
      </c>
      <c r="AE60" s="35" t="e">
        <f>'Model-BS'!#REF!</f>
        <v>#REF!</v>
      </c>
      <c r="AF60" s="35" t="e">
        <f>'Model-BS'!#REF!</f>
        <v>#REF!</v>
      </c>
      <c r="AG60" s="35" t="e">
        <f>'Model-BS'!#REF!</f>
        <v>#REF!</v>
      </c>
      <c r="AH60" s="35" t="e">
        <f>'Model-BS'!#REF!</f>
        <v>#REF!</v>
      </c>
      <c r="AI60" s="35" t="e">
        <f>'Model-BS'!#REF!</f>
        <v>#REF!</v>
      </c>
      <c r="AJ60" s="35" t="e">
        <f>'Model-BS'!M277</f>
        <v>#REF!</v>
      </c>
      <c r="AK60" s="35" t="e">
        <f>'Model-BS'!#REF!</f>
        <v>#REF!</v>
      </c>
      <c r="AL60" s="35" t="e">
        <f>'Model-BS'!#REF!</f>
        <v>#REF!</v>
      </c>
      <c r="AM60" s="35" t="e">
        <f>'Model-BS'!#REF!</f>
        <v>#REF!</v>
      </c>
      <c r="AN60" s="35" t="e">
        <f>'Model-BS'!#REF!</f>
        <v>#REF!</v>
      </c>
      <c r="AO60" s="35" t="e">
        <f>'Model-BS'!#REF!</f>
        <v>#REF!</v>
      </c>
      <c r="AP60" s="35" t="e">
        <f>'Model-BS'!#REF!</f>
        <v>#REF!</v>
      </c>
      <c r="AQ60" s="35" t="e">
        <f>'Model-BS'!N277</f>
        <v>#REF!</v>
      </c>
      <c r="AR60" s="35" t="e">
        <f>'Model-BS'!#REF!</f>
        <v>#REF!</v>
      </c>
      <c r="AS60" s="35" t="e">
        <f>'Model-BS'!#REF!</f>
        <v>#REF!</v>
      </c>
      <c r="AT60" s="35" t="e">
        <f>'Model-BS'!#REF!</f>
        <v>#REF!</v>
      </c>
      <c r="AU60" s="35" t="e">
        <f>'Model-BS'!#REF!</f>
        <v>#REF!</v>
      </c>
      <c r="AV60" s="35" t="e">
        <f>'Model-BS'!#REF!</f>
        <v>#REF!</v>
      </c>
      <c r="AW60" s="35" t="e">
        <f>'Model-BS'!#REF!</f>
        <v>#REF!</v>
      </c>
      <c r="AX60" s="35" t="e">
        <f>'Model-BS'!O277</f>
        <v>#REF!</v>
      </c>
      <c r="AY60" s="35" t="e">
        <f>'Model-BS'!#REF!</f>
        <v>#REF!</v>
      </c>
      <c r="AZ60" s="35" t="e">
        <f>'Model-BS'!#REF!</f>
        <v>#REF!</v>
      </c>
      <c r="BA60" s="35" t="e">
        <f>'Model-BS'!#REF!</f>
        <v>#REF!</v>
      </c>
      <c r="BB60" s="35" t="e">
        <f>'Model-BS'!#REF!</f>
        <v>#REF!</v>
      </c>
      <c r="BC60" s="35" t="e">
        <f>'Model-BS'!#REF!</f>
        <v>#REF!</v>
      </c>
      <c r="BD60" s="35" t="e">
        <f>'Model-BS'!#REF!</f>
        <v>#REF!</v>
      </c>
      <c r="BE60" s="35" t="e">
        <f>'Model-BS'!P277</f>
        <v>#REF!</v>
      </c>
      <c r="BF60" s="35" t="e">
        <f>'Model-BS'!#REF!</f>
        <v>#REF!</v>
      </c>
      <c r="BG60" s="35" t="e">
        <f>'Model-BS'!#REF!</f>
        <v>#REF!</v>
      </c>
      <c r="BH60" s="35" t="e">
        <f>'Model-BS'!#REF!</f>
        <v>#REF!</v>
      </c>
      <c r="BI60" s="35" t="e">
        <f>'Model-BS'!#REF!</f>
        <v>#REF!</v>
      </c>
      <c r="BJ60" s="35" t="e">
        <f>'Model-BS'!#REF!</f>
        <v>#REF!</v>
      </c>
      <c r="BK60" s="35" t="e">
        <f>'Model-BS'!#REF!</f>
        <v>#REF!</v>
      </c>
      <c r="BL60" s="35" t="e">
        <f>'Model-BS'!Q277</f>
        <v>#REF!</v>
      </c>
      <c r="BM60" s="35" t="e">
        <f>'Model-BS'!R277</f>
        <v>#REF!</v>
      </c>
      <c r="BN60" s="35" t="e">
        <f>'Model-BS'!S277</f>
        <v>#REF!</v>
      </c>
      <c r="BO60" s="35" t="e">
        <f>'Model-BS'!T277</f>
        <v>#REF!</v>
      </c>
      <c r="BP60" s="35" t="e">
        <f>'Model-BS'!U277</f>
        <v>#REF!</v>
      </c>
      <c r="BQ60" s="35" t="e">
        <f>'Model-BS'!AB277</f>
        <v>#REF!</v>
      </c>
      <c r="BR60" s="35" t="e">
        <f>'Model-BS'!AI277</f>
        <v>#REF!</v>
      </c>
      <c r="BS60" s="35" t="e">
        <f>'Model-BS'!AP277</f>
        <v>#REF!</v>
      </c>
      <c r="BT60" s="35" t="e">
        <f>'Model-BS'!AW277</f>
        <v>#REF!</v>
      </c>
      <c r="BU60" s="35" t="e">
        <f>'Model-BS'!BD277</f>
        <v>#REF!</v>
      </c>
      <c r="BV60" s="35" t="e">
        <f>'Model-BS'!BK277</f>
        <v>#REF!</v>
      </c>
      <c r="BW60" s="35" t="e">
        <f>'Model-BS'!BL277</f>
        <v>#REF!</v>
      </c>
      <c r="BX60" s="35" t="e">
        <f>'Model-BS'!BM277</f>
        <v>#REF!</v>
      </c>
      <c r="BY60" s="35" t="e">
        <f>'Model-BS'!BN277</f>
        <v>#REF!</v>
      </c>
      <c r="BZ60" s="35" t="e">
        <f>'Model-BS'!BO277</f>
        <v>#REF!</v>
      </c>
    </row>
    <row r="61" spans="2:78" s="31" customFormat="1">
      <c r="B61" s="54" t="s">
        <v>55</v>
      </c>
      <c r="C61" s="54"/>
      <c r="D61" s="54">
        <f>[70]Model!H181</f>
        <v>0</v>
      </c>
      <c r="E61" s="54" t="e">
        <f>'Model-BS'!F278</f>
        <v>#REF!</v>
      </c>
      <c r="F61" s="54" t="e">
        <f>'Model-BS'!G278</f>
        <v>#REF!</v>
      </c>
      <c r="G61" s="54" t="e">
        <f>'Model-BS'!H278</f>
        <v>#REF!</v>
      </c>
      <c r="H61" s="54" t="e">
        <f>'Model-BS'!I278</f>
        <v>#REF!</v>
      </c>
      <c r="I61" s="54" t="e">
        <f>'Model-BS'!#REF!</f>
        <v>#REF!</v>
      </c>
      <c r="J61" s="54" t="e">
        <f>'Model-BS'!#REF!</f>
        <v>#REF!</v>
      </c>
      <c r="K61" s="54" t="e">
        <f>'Model-BS'!#REF!</f>
        <v>#REF!</v>
      </c>
      <c r="L61" s="54" t="e">
        <f>'Model-BS'!#REF!</f>
        <v>#REF!</v>
      </c>
      <c r="M61" s="54" t="e">
        <f>'Model-BS'!#REF!</f>
        <v>#REF!</v>
      </c>
      <c r="N61" s="54" t="e">
        <f>'Model-BS'!#REF!</f>
        <v>#REF!</v>
      </c>
      <c r="O61" s="54" t="e">
        <f>'Model-BS'!J278</f>
        <v>#REF!</v>
      </c>
      <c r="P61" s="54" t="e">
        <f>'Model-BS'!#REF!</f>
        <v>#REF!</v>
      </c>
      <c r="Q61" s="54" t="e">
        <f>'Model-BS'!#REF!</f>
        <v>#REF!</v>
      </c>
      <c r="R61" s="54" t="e">
        <f>'Model-BS'!#REF!</f>
        <v>#REF!</v>
      </c>
      <c r="S61" s="54" t="e">
        <f>'Model-BS'!#REF!</f>
        <v>#REF!</v>
      </c>
      <c r="T61" s="54" t="e">
        <f>'Model-BS'!#REF!</f>
        <v>#REF!</v>
      </c>
      <c r="U61" s="54" t="e">
        <f>'Model-BS'!#REF!</f>
        <v>#REF!</v>
      </c>
      <c r="V61" s="54" t="e">
        <f>'Model-BS'!K278</f>
        <v>#REF!</v>
      </c>
      <c r="W61" s="54" t="e">
        <f>'Model-BS'!#REF!</f>
        <v>#REF!</v>
      </c>
      <c r="X61" s="54" t="e">
        <f>'Model-BS'!#REF!</f>
        <v>#REF!</v>
      </c>
      <c r="Y61" s="54" t="e">
        <f>'Model-BS'!#REF!</f>
        <v>#REF!</v>
      </c>
      <c r="Z61" s="54" t="e">
        <f>'Model-BS'!#REF!</f>
        <v>#REF!</v>
      </c>
      <c r="AA61" s="54" t="e">
        <f>'Model-BS'!#REF!</f>
        <v>#REF!</v>
      </c>
      <c r="AB61" s="54" t="e">
        <f>'Model-BS'!#REF!</f>
        <v>#REF!</v>
      </c>
      <c r="AC61" s="54" t="e">
        <f>'Model-BS'!L278</f>
        <v>#REF!</v>
      </c>
      <c r="AD61" s="54" t="e">
        <f>'Model-BS'!#REF!</f>
        <v>#REF!</v>
      </c>
      <c r="AE61" s="54" t="e">
        <f>'Model-BS'!#REF!</f>
        <v>#REF!</v>
      </c>
      <c r="AF61" s="54" t="e">
        <f>'Model-BS'!#REF!</f>
        <v>#REF!</v>
      </c>
      <c r="AG61" s="54" t="e">
        <f>'Model-BS'!#REF!</f>
        <v>#REF!</v>
      </c>
      <c r="AH61" s="54" t="e">
        <f>'Model-BS'!#REF!</f>
        <v>#REF!</v>
      </c>
      <c r="AI61" s="54" t="e">
        <f>'Model-BS'!#REF!</f>
        <v>#REF!</v>
      </c>
      <c r="AJ61" s="54" t="e">
        <f>'Model-BS'!M278</f>
        <v>#REF!</v>
      </c>
      <c r="AK61" s="54" t="e">
        <f>'Model-BS'!#REF!</f>
        <v>#REF!</v>
      </c>
      <c r="AL61" s="54" t="e">
        <f>'Model-BS'!#REF!</f>
        <v>#REF!</v>
      </c>
      <c r="AM61" s="54" t="e">
        <f>'Model-BS'!#REF!</f>
        <v>#REF!</v>
      </c>
      <c r="AN61" s="54" t="e">
        <f>'Model-BS'!#REF!</f>
        <v>#REF!</v>
      </c>
      <c r="AO61" s="54" t="e">
        <f>'Model-BS'!#REF!</f>
        <v>#REF!</v>
      </c>
      <c r="AP61" s="54" t="e">
        <f>'Model-BS'!#REF!</f>
        <v>#REF!</v>
      </c>
      <c r="AQ61" s="54" t="e">
        <f>'Model-BS'!N278</f>
        <v>#REF!</v>
      </c>
      <c r="AR61" s="54" t="e">
        <f>'Model-BS'!#REF!</f>
        <v>#REF!</v>
      </c>
      <c r="AS61" s="54" t="e">
        <f>'Model-BS'!#REF!</f>
        <v>#REF!</v>
      </c>
      <c r="AT61" s="54" t="e">
        <f>'Model-BS'!#REF!</f>
        <v>#REF!</v>
      </c>
      <c r="AU61" s="54" t="e">
        <f>'Model-BS'!#REF!</f>
        <v>#REF!</v>
      </c>
      <c r="AV61" s="54" t="e">
        <f>'Model-BS'!#REF!</f>
        <v>#REF!</v>
      </c>
      <c r="AW61" s="54" t="e">
        <f>'Model-BS'!#REF!</f>
        <v>#REF!</v>
      </c>
      <c r="AX61" s="54" t="e">
        <f>'Model-BS'!O278</f>
        <v>#REF!</v>
      </c>
      <c r="AY61" s="54" t="e">
        <f>'Model-BS'!#REF!</f>
        <v>#REF!</v>
      </c>
      <c r="AZ61" s="54" t="e">
        <f>'Model-BS'!#REF!</f>
        <v>#REF!</v>
      </c>
      <c r="BA61" s="54" t="e">
        <f>'Model-BS'!#REF!</f>
        <v>#REF!</v>
      </c>
      <c r="BB61" s="54" t="e">
        <f>'Model-BS'!#REF!</f>
        <v>#REF!</v>
      </c>
      <c r="BC61" s="54" t="e">
        <f>'Model-BS'!#REF!</f>
        <v>#REF!</v>
      </c>
      <c r="BD61" s="54" t="e">
        <f>'Model-BS'!#REF!</f>
        <v>#REF!</v>
      </c>
      <c r="BE61" s="54" t="e">
        <f>'Model-BS'!P278</f>
        <v>#REF!</v>
      </c>
      <c r="BF61" s="54" t="e">
        <f>'Model-BS'!#REF!</f>
        <v>#REF!</v>
      </c>
      <c r="BG61" s="54" t="e">
        <f>'Model-BS'!#REF!</f>
        <v>#REF!</v>
      </c>
      <c r="BH61" s="54" t="e">
        <f>'Model-BS'!#REF!</f>
        <v>#REF!</v>
      </c>
      <c r="BI61" s="54" t="e">
        <f>'Model-BS'!#REF!</f>
        <v>#REF!</v>
      </c>
      <c r="BJ61" s="54" t="e">
        <f>'Model-BS'!#REF!</f>
        <v>#REF!</v>
      </c>
      <c r="BK61" s="54" t="e">
        <f>'Model-BS'!#REF!</f>
        <v>#REF!</v>
      </c>
      <c r="BL61" s="54" t="e">
        <f>'Model-BS'!Q278</f>
        <v>#REF!</v>
      </c>
      <c r="BM61" s="54" t="e">
        <f>'Model-BS'!R278</f>
        <v>#REF!</v>
      </c>
      <c r="BN61" s="54" t="e">
        <f>'Model-BS'!S278</f>
        <v>#REF!</v>
      </c>
      <c r="BO61" s="54" t="e">
        <f>'Model-BS'!T278</f>
        <v>#REF!</v>
      </c>
      <c r="BP61" s="54" t="e">
        <f>'Model-BS'!U278</f>
        <v>#REF!</v>
      </c>
      <c r="BQ61" s="54" t="e">
        <f>'Model-BS'!AB278</f>
        <v>#REF!</v>
      </c>
      <c r="BR61" s="54" t="e">
        <f>'Model-BS'!AI278</f>
        <v>#REF!</v>
      </c>
      <c r="BS61" s="54" t="e">
        <f>'Model-BS'!AP278</f>
        <v>#REF!</v>
      </c>
      <c r="BT61" s="54" t="e">
        <f>'Model-BS'!AW278</f>
        <v>#REF!</v>
      </c>
      <c r="BU61" s="54" t="e">
        <f>'Model-BS'!BD278</f>
        <v>#REF!</v>
      </c>
      <c r="BV61" s="54" t="e">
        <f>'Model-BS'!BK278</f>
        <v>#REF!</v>
      </c>
      <c r="BW61" s="54">
        <f>'Model-BS'!BL278</f>
        <v>0</v>
      </c>
      <c r="BX61" s="54">
        <f>'Model-BS'!BM278</f>
        <v>0</v>
      </c>
      <c r="BY61" s="54">
        <f>'Model-BS'!BN278</f>
        <v>0</v>
      </c>
      <c r="BZ61" s="54">
        <f>'Model-BS'!BO278</f>
        <v>0</v>
      </c>
    </row>
    <row r="62" spans="2:78" s="31" customFormat="1">
      <c r="B62" s="32" t="s">
        <v>56</v>
      </c>
      <c r="C62" s="32"/>
      <c r="D62" s="32">
        <f>[70]Model!I183</f>
        <v>0</v>
      </c>
      <c r="E62" s="32" t="e">
        <f>'Model-BS'!F284</f>
        <v>#REF!</v>
      </c>
      <c r="F62" s="32" t="e">
        <f>'Model-BS'!G284</f>
        <v>#REF!</v>
      </c>
      <c r="G62" s="32" t="e">
        <f>'Model-BS'!H284</f>
        <v>#REF!</v>
      </c>
      <c r="H62" s="32" t="e">
        <f>'Model-BS'!I284</f>
        <v>#REF!</v>
      </c>
      <c r="I62" s="32" t="e">
        <f>'Model-BS'!#REF!</f>
        <v>#REF!</v>
      </c>
      <c r="J62" s="32" t="e">
        <f>'Model-BS'!#REF!</f>
        <v>#REF!</v>
      </c>
      <c r="K62" s="32" t="e">
        <f>'Model-BS'!#REF!</f>
        <v>#REF!</v>
      </c>
      <c r="L62" s="32" t="e">
        <f>'Model-BS'!#REF!</f>
        <v>#REF!</v>
      </c>
      <c r="M62" s="32" t="e">
        <f>'Model-BS'!#REF!</f>
        <v>#REF!</v>
      </c>
      <c r="N62" s="32" t="e">
        <f>'Model-BS'!#REF!</f>
        <v>#REF!</v>
      </c>
      <c r="O62" s="32" t="e">
        <f>'Model-BS'!J284</f>
        <v>#REF!</v>
      </c>
      <c r="P62" s="32" t="e">
        <f>'Model-BS'!#REF!</f>
        <v>#REF!</v>
      </c>
      <c r="Q62" s="32" t="e">
        <f>'Model-BS'!#REF!</f>
        <v>#REF!</v>
      </c>
      <c r="R62" s="32" t="e">
        <f>'Model-BS'!#REF!</f>
        <v>#REF!</v>
      </c>
      <c r="S62" s="32" t="e">
        <f>'Model-BS'!#REF!</f>
        <v>#REF!</v>
      </c>
      <c r="T62" s="32" t="e">
        <f>'Model-BS'!#REF!</f>
        <v>#REF!</v>
      </c>
      <c r="U62" s="32" t="e">
        <f>'Model-BS'!#REF!</f>
        <v>#REF!</v>
      </c>
      <c r="V62" s="32" t="e">
        <f>'Model-BS'!K284</f>
        <v>#REF!</v>
      </c>
      <c r="W62" s="32" t="e">
        <f>'Model-BS'!#REF!</f>
        <v>#REF!</v>
      </c>
      <c r="X62" s="32" t="e">
        <f>'Model-BS'!#REF!</f>
        <v>#REF!</v>
      </c>
      <c r="Y62" s="32" t="e">
        <f>'Model-BS'!#REF!</f>
        <v>#REF!</v>
      </c>
      <c r="Z62" s="32" t="e">
        <f>'Model-BS'!#REF!</f>
        <v>#REF!</v>
      </c>
      <c r="AA62" s="32" t="e">
        <f>'Model-BS'!#REF!</f>
        <v>#REF!</v>
      </c>
      <c r="AB62" s="32" t="e">
        <f>'Model-BS'!#REF!</f>
        <v>#REF!</v>
      </c>
      <c r="AC62" s="32" t="e">
        <f>'Model-BS'!L284</f>
        <v>#REF!</v>
      </c>
      <c r="AD62" s="32" t="e">
        <f>'Model-BS'!#REF!</f>
        <v>#REF!</v>
      </c>
      <c r="AE62" s="32" t="e">
        <f>'Model-BS'!#REF!</f>
        <v>#REF!</v>
      </c>
      <c r="AF62" s="32" t="e">
        <f>'Model-BS'!#REF!</f>
        <v>#REF!</v>
      </c>
      <c r="AG62" s="32" t="e">
        <f>'Model-BS'!#REF!</f>
        <v>#REF!</v>
      </c>
      <c r="AH62" s="32" t="e">
        <f>'Model-BS'!#REF!</f>
        <v>#REF!</v>
      </c>
      <c r="AI62" s="32" t="e">
        <f>'Model-BS'!#REF!</f>
        <v>#REF!</v>
      </c>
      <c r="AJ62" s="32" t="e">
        <f>'Model-BS'!M284</f>
        <v>#REF!</v>
      </c>
      <c r="AK62" s="32" t="e">
        <f>'Model-BS'!#REF!</f>
        <v>#REF!</v>
      </c>
      <c r="AL62" s="32" t="e">
        <f>'Model-BS'!#REF!</f>
        <v>#REF!</v>
      </c>
      <c r="AM62" s="32" t="e">
        <f>'Model-BS'!#REF!</f>
        <v>#REF!</v>
      </c>
      <c r="AN62" s="32" t="e">
        <f>'Model-BS'!#REF!</f>
        <v>#REF!</v>
      </c>
      <c r="AO62" s="32" t="e">
        <f>'Model-BS'!#REF!</f>
        <v>#REF!</v>
      </c>
      <c r="AP62" s="32" t="e">
        <f>'Model-BS'!#REF!</f>
        <v>#REF!</v>
      </c>
      <c r="AQ62" s="32" t="e">
        <f>'Model-BS'!N284</f>
        <v>#REF!</v>
      </c>
      <c r="AR62" s="32" t="e">
        <f>'Model-BS'!#REF!</f>
        <v>#REF!</v>
      </c>
      <c r="AS62" s="32" t="e">
        <f>'Model-BS'!#REF!</f>
        <v>#REF!</v>
      </c>
      <c r="AT62" s="32" t="e">
        <f>'Model-BS'!#REF!</f>
        <v>#REF!</v>
      </c>
      <c r="AU62" s="32" t="e">
        <f>'Model-BS'!#REF!</f>
        <v>#REF!</v>
      </c>
      <c r="AV62" s="32" t="e">
        <f>'Model-BS'!#REF!</f>
        <v>#REF!</v>
      </c>
      <c r="AW62" s="32" t="e">
        <f>'Model-BS'!#REF!</f>
        <v>#REF!</v>
      </c>
      <c r="AX62" s="32" t="e">
        <f>'Model-BS'!O284</f>
        <v>#REF!</v>
      </c>
      <c r="AY62" s="32" t="e">
        <f>'Model-BS'!#REF!</f>
        <v>#REF!</v>
      </c>
      <c r="AZ62" s="32" t="e">
        <f>'Model-BS'!#REF!</f>
        <v>#REF!</v>
      </c>
      <c r="BA62" s="32" t="e">
        <f>'Model-BS'!#REF!</f>
        <v>#REF!</v>
      </c>
      <c r="BB62" s="32" t="e">
        <f>'Model-BS'!#REF!</f>
        <v>#REF!</v>
      </c>
      <c r="BC62" s="32" t="e">
        <f>'Model-BS'!#REF!</f>
        <v>#REF!</v>
      </c>
      <c r="BD62" s="32" t="e">
        <f>'Model-BS'!#REF!</f>
        <v>#REF!</v>
      </c>
      <c r="BE62" s="32" t="e">
        <f>'Model-BS'!P284</f>
        <v>#REF!</v>
      </c>
      <c r="BF62" s="32" t="e">
        <f>'Model-BS'!#REF!</f>
        <v>#REF!</v>
      </c>
      <c r="BG62" s="32" t="e">
        <f>'Model-BS'!#REF!</f>
        <v>#REF!</v>
      </c>
      <c r="BH62" s="32" t="e">
        <f>'Model-BS'!#REF!</f>
        <v>#REF!</v>
      </c>
      <c r="BI62" s="32" t="e">
        <f>'Model-BS'!#REF!</f>
        <v>#REF!</v>
      </c>
      <c r="BJ62" s="32" t="e">
        <f>'Model-BS'!#REF!</f>
        <v>#REF!</v>
      </c>
      <c r="BK62" s="32" t="e">
        <f>'Model-BS'!#REF!</f>
        <v>#REF!</v>
      </c>
      <c r="BL62" s="32" t="e">
        <f>'Model-BS'!Q284</f>
        <v>#REF!</v>
      </c>
      <c r="BM62" s="32" t="e">
        <f>'Model-BS'!R284</f>
        <v>#REF!</v>
      </c>
      <c r="BN62" s="32" t="e">
        <f>'Model-BS'!S284</f>
        <v>#REF!</v>
      </c>
      <c r="BO62" s="32" t="e">
        <f>'Model-BS'!T284</f>
        <v>#REF!</v>
      </c>
      <c r="BP62" s="32" t="e">
        <f>'Model-BS'!U284</f>
        <v>#REF!</v>
      </c>
      <c r="BQ62" s="32" t="e">
        <f>'Model-BS'!AB284</f>
        <v>#REF!</v>
      </c>
      <c r="BR62" s="32" t="e">
        <f>'Model-BS'!AI284</f>
        <v>#REF!</v>
      </c>
      <c r="BS62" s="32" t="e">
        <f>'Model-BS'!AP284</f>
        <v>#REF!</v>
      </c>
      <c r="BT62" s="32" t="e">
        <f>'Model-BS'!AW284</f>
        <v>#REF!</v>
      </c>
      <c r="BU62" s="32" t="e">
        <f>'Model-BS'!BD284</f>
        <v>#REF!</v>
      </c>
      <c r="BV62" s="32" t="e">
        <f>'Model-BS'!BK284</f>
        <v>#REF!</v>
      </c>
      <c r="BW62" s="32" t="e">
        <f>'Model-BS'!BL284</f>
        <v>#REF!</v>
      </c>
      <c r="BX62" s="32" t="e">
        <f>'Model-BS'!BM284</f>
        <v>#REF!</v>
      </c>
      <c r="BY62" s="32" t="e">
        <f>'Model-BS'!BN284</f>
        <v>#REF!</v>
      </c>
      <c r="BZ62" s="32" t="e">
        <f>'Model-BS'!BO284</f>
        <v>#REF!</v>
      </c>
    </row>
    <row r="63" spans="2:78" s="31" customFormat="1">
      <c r="B63" s="54" t="s">
        <v>57</v>
      </c>
      <c r="C63" s="54"/>
      <c r="D63" s="54">
        <f>[70]Model!I187</f>
        <v>0</v>
      </c>
      <c r="E63" s="54" t="e">
        <f>'Model-BS'!F287</f>
        <v>#REF!</v>
      </c>
      <c r="F63" s="54" t="e">
        <f>'Model-BS'!G287</f>
        <v>#REF!</v>
      </c>
      <c r="G63" s="54" t="e">
        <f>'Model-BS'!H287</f>
        <v>#REF!</v>
      </c>
      <c r="H63" s="54" t="e">
        <f>'Model-BS'!I287</f>
        <v>#REF!</v>
      </c>
      <c r="I63" s="54" t="e">
        <f>'Model-BS'!#REF!</f>
        <v>#REF!</v>
      </c>
      <c r="J63" s="54" t="e">
        <f>'Model-BS'!#REF!</f>
        <v>#REF!</v>
      </c>
      <c r="K63" s="54" t="e">
        <f>'Model-BS'!#REF!</f>
        <v>#REF!</v>
      </c>
      <c r="L63" s="54" t="e">
        <f>'Model-BS'!#REF!</f>
        <v>#REF!</v>
      </c>
      <c r="M63" s="54" t="e">
        <f>'Model-BS'!#REF!</f>
        <v>#REF!</v>
      </c>
      <c r="N63" s="54" t="e">
        <f>'Model-BS'!#REF!</f>
        <v>#REF!</v>
      </c>
      <c r="O63" s="54" t="e">
        <f>'Model-BS'!J287</f>
        <v>#REF!</v>
      </c>
      <c r="P63" s="54" t="e">
        <f>'Model-BS'!#REF!</f>
        <v>#REF!</v>
      </c>
      <c r="Q63" s="54" t="e">
        <f>'Model-BS'!#REF!</f>
        <v>#REF!</v>
      </c>
      <c r="R63" s="54" t="e">
        <f>'Model-BS'!#REF!</f>
        <v>#REF!</v>
      </c>
      <c r="S63" s="54" t="e">
        <f>'Model-BS'!#REF!</f>
        <v>#REF!</v>
      </c>
      <c r="T63" s="54" t="e">
        <f>'Model-BS'!#REF!</f>
        <v>#REF!</v>
      </c>
      <c r="U63" s="54" t="e">
        <f>'Model-BS'!#REF!</f>
        <v>#REF!</v>
      </c>
      <c r="V63" s="54" t="e">
        <f>'Model-BS'!K287</f>
        <v>#REF!</v>
      </c>
      <c r="W63" s="54" t="e">
        <f>'Model-BS'!#REF!</f>
        <v>#REF!</v>
      </c>
      <c r="X63" s="54" t="e">
        <f>'Model-BS'!#REF!</f>
        <v>#REF!</v>
      </c>
      <c r="Y63" s="54" t="e">
        <f>'Model-BS'!#REF!</f>
        <v>#REF!</v>
      </c>
      <c r="Z63" s="54" t="e">
        <f>'Model-BS'!#REF!</f>
        <v>#REF!</v>
      </c>
      <c r="AA63" s="54" t="e">
        <f>'Model-BS'!#REF!</f>
        <v>#REF!</v>
      </c>
      <c r="AB63" s="54" t="e">
        <f>'Model-BS'!#REF!</f>
        <v>#REF!</v>
      </c>
      <c r="AC63" s="54" t="e">
        <f>'Model-BS'!L287</f>
        <v>#REF!</v>
      </c>
      <c r="AD63" s="54" t="e">
        <f>'Model-BS'!#REF!</f>
        <v>#REF!</v>
      </c>
      <c r="AE63" s="54" t="e">
        <f>'Model-BS'!#REF!</f>
        <v>#REF!</v>
      </c>
      <c r="AF63" s="54" t="e">
        <f>'Model-BS'!#REF!</f>
        <v>#REF!</v>
      </c>
      <c r="AG63" s="54" t="e">
        <f>'Model-BS'!#REF!</f>
        <v>#REF!</v>
      </c>
      <c r="AH63" s="54" t="e">
        <f>'Model-BS'!#REF!</f>
        <v>#REF!</v>
      </c>
      <c r="AI63" s="54" t="e">
        <f>'Model-BS'!#REF!</f>
        <v>#REF!</v>
      </c>
      <c r="AJ63" s="54" t="e">
        <f>'Model-BS'!M287</f>
        <v>#REF!</v>
      </c>
      <c r="AK63" s="54" t="e">
        <f>'Model-BS'!#REF!</f>
        <v>#REF!</v>
      </c>
      <c r="AL63" s="54" t="e">
        <f>'Model-BS'!#REF!</f>
        <v>#REF!</v>
      </c>
      <c r="AM63" s="54" t="e">
        <f>'Model-BS'!#REF!</f>
        <v>#REF!</v>
      </c>
      <c r="AN63" s="54" t="e">
        <f>'Model-BS'!#REF!</f>
        <v>#REF!</v>
      </c>
      <c r="AO63" s="54" t="e">
        <f>'Model-BS'!#REF!</f>
        <v>#REF!</v>
      </c>
      <c r="AP63" s="54" t="e">
        <f>'Model-BS'!#REF!</f>
        <v>#REF!</v>
      </c>
      <c r="AQ63" s="54" t="e">
        <f>'Model-BS'!N287</f>
        <v>#REF!</v>
      </c>
      <c r="AR63" s="54" t="e">
        <f>'Model-BS'!#REF!</f>
        <v>#REF!</v>
      </c>
      <c r="AS63" s="54" t="e">
        <f>'Model-BS'!#REF!</f>
        <v>#REF!</v>
      </c>
      <c r="AT63" s="54" t="e">
        <f>'Model-BS'!#REF!</f>
        <v>#REF!</v>
      </c>
      <c r="AU63" s="54" t="e">
        <f>'Model-BS'!#REF!</f>
        <v>#REF!</v>
      </c>
      <c r="AV63" s="54" t="e">
        <f>'Model-BS'!#REF!</f>
        <v>#REF!</v>
      </c>
      <c r="AW63" s="54" t="e">
        <f>'Model-BS'!#REF!</f>
        <v>#REF!</v>
      </c>
      <c r="AX63" s="54" t="e">
        <f>'Model-BS'!O287</f>
        <v>#REF!</v>
      </c>
      <c r="AY63" s="54" t="e">
        <f>'Model-BS'!#REF!</f>
        <v>#REF!</v>
      </c>
      <c r="AZ63" s="54" t="e">
        <f>'Model-BS'!#REF!</f>
        <v>#REF!</v>
      </c>
      <c r="BA63" s="54" t="e">
        <f>'Model-BS'!#REF!</f>
        <v>#REF!</v>
      </c>
      <c r="BB63" s="54" t="e">
        <f>'Model-BS'!#REF!</f>
        <v>#REF!</v>
      </c>
      <c r="BC63" s="54" t="e">
        <f>'Model-BS'!#REF!</f>
        <v>#REF!</v>
      </c>
      <c r="BD63" s="54" t="e">
        <f>'Model-BS'!#REF!</f>
        <v>#REF!</v>
      </c>
      <c r="BE63" s="54" t="e">
        <f>'Model-BS'!P287</f>
        <v>#REF!</v>
      </c>
      <c r="BF63" s="54" t="e">
        <f>'Model-BS'!#REF!</f>
        <v>#REF!</v>
      </c>
      <c r="BG63" s="54" t="e">
        <f>'Model-BS'!#REF!</f>
        <v>#REF!</v>
      </c>
      <c r="BH63" s="54" t="e">
        <f>'Model-BS'!#REF!</f>
        <v>#REF!</v>
      </c>
      <c r="BI63" s="54" t="e">
        <f>'Model-BS'!#REF!</f>
        <v>#REF!</v>
      </c>
      <c r="BJ63" s="54" t="e">
        <f>'Model-BS'!#REF!</f>
        <v>#REF!</v>
      </c>
      <c r="BK63" s="54" t="e">
        <f>'Model-BS'!#REF!</f>
        <v>#REF!</v>
      </c>
      <c r="BL63" s="54" t="e">
        <f>'Model-BS'!Q287</f>
        <v>#REF!</v>
      </c>
      <c r="BM63" s="54" t="e">
        <f>'Model-BS'!R287</f>
        <v>#REF!</v>
      </c>
      <c r="BN63" s="54" t="e">
        <f>'Model-BS'!S287</f>
        <v>#REF!</v>
      </c>
      <c r="BO63" s="54" t="e">
        <f>'Model-BS'!T287</f>
        <v>#REF!</v>
      </c>
      <c r="BP63" s="54" t="e">
        <f>'Model-BS'!U287</f>
        <v>#REF!</v>
      </c>
      <c r="BQ63" s="54" t="e">
        <f>'Model-BS'!AB287</f>
        <v>#REF!</v>
      </c>
      <c r="BR63" s="54" t="e">
        <f>'Model-BS'!AI287</f>
        <v>#REF!</v>
      </c>
      <c r="BS63" s="54" t="e">
        <f>'Model-BS'!AP287</f>
        <v>#REF!</v>
      </c>
      <c r="BT63" s="54" t="e">
        <f>'Model-BS'!AW287</f>
        <v>#REF!</v>
      </c>
      <c r="BU63" s="54" t="e">
        <f>'Model-BS'!BD287</f>
        <v>#REF!</v>
      </c>
      <c r="BV63" s="54" t="e">
        <f>'Model-BS'!BK287</f>
        <v>#REF!</v>
      </c>
      <c r="BW63" s="54">
        <f>'Model-BS'!BL287</f>
        <v>0</v>
      </c>
      <c r="BX63" s="54">
        <f>'Model-BS'!BM287</f>
        <v>0</v>
      </c>
      <c r="BY63" s="54">
        <f>'Model-BS'!BN287</f>
        <v>0</v>
      </c>
      <c r="BZ63" s="54">
        <f>'Model-BS'!BO287</f>
        <v>0</v>
      </c>
    </row>
    <row r="64" spans="2:78" s="31" customFormat="1">
      <c r="B64" s="32" t="s">
        <v>58</v>
      </c>
      <c r="C64" s="32"/>
      <c r="D64" s="32">
        <f>[70]Model!I193</f>
        <v>0</v>
      </c>
      <c r="E64" s="32" t="e">
        <f>'Model-BS'!F299</f>
        <v>#REF!</v>
      </c>
      <c r="F64" s="32" t="e">
        <f>'Model-BS'!G299</f>
        <v>#REF!</v>
      </c>
      <c r="G64" s="32" t="e">
        <f>'Model-BS'!H299</f>
        <v>#REF!</v>
      </c>
      <c r="H64" s="32" t="e">
        <f>'Model-BS'!I299</f>
        <v>#REF!</v>
      </c>
      <c r="I64" s="32" t="e">
        <f>'Model-BS'!#REF!</f>
        <v>#REF!</v>
      </c>
      <c r="J64" s="32" t="e">
        <f>'Model-BS'!#REF!</f>
        <v>#REF!</v>
      </c>
      <c r="K64" s="32" t="e">
        <f>'Model-BS'!#REF!</f>
        <v>#REF!</v>
      </c>
      <c r="L64" s="32" t="e">
        <f>'Model-BS'!#REF!</f>
        <v>#REF!</v>
      </c>
      <c r="M64" s="32" t="e">
        <f>'Model-BS'!#REF!</f>
        <v>#REF!</v>
      </c>
      <c r="N64" s="32" t="e">
        <f>'Model-BS'!#REF!</f>
        <v>#REF!</v>
      </c>
      <c r="O64" s="32" t="e">
        <f>'Model-BS'!J299</f>
        <v>#REF!</v>
      </c>
      <c r="P64" s="32" t="e">
        <f>'Model-BS'!#REF!</f>
        <v>#REF!</v>
      </c>
      <c r="Q64" s="32" t="e">
        <f>'Model-BS'!#REF!</f>
        <v>#REF!</v>
      </c>
      <c r="R64" s="32" t="e">
        <f>'Model-BS'!#REF!</f>
        <v>#REF!</v>
      </c>
      <c r="S64" s="32" t="e">
        <f>'Model-BS'!#REF!</f>
        <v>#REF!</v>
      </c>
      <c r="T64" s="32" t="e">
        <f>'Model-BS'!#REF!</f>
        <v>#REF!</v>
      </c>
      <c r="U64" s="32" t="e">
        <f>'Model-BS'!#REF!</f>
        <v>#REF!</v>
      </c>
      <c r="V64" s="32" t="e">
        <f>'Model-BS'!K299</f>
        <v>#REF!</v>
      </c>
      <c r="W64" s="32" t="e">
        <f>'Model-BS'!#REF!</f>
        <v>#REF!</v>
      </c>
      <c r="X64" s="32" t="e">
        <f>'Model-BS'!#REF!</f>
        <v>#REF!</v>
      </c>
      <c r="Y64" s="32" t="e">
        <f>'Model-BS'!#REF!</f>
        <v>#REF!</v>
      </c>
      <c r="Z64" s="32" t="e">
        <f>'Model-BS'!#REF!</f>
        <v>#REF!</v>
      </c>
      <c r="AA64" s="32" t="e">
        <f>'Model-BS'!#REF!</f>
        <v>#REF!</v>
      </c>
      <c r="AB64" s="32" t="e">
        <f>'Model-BS'!#REF!</f>
        <v>#REF!</v>
      </c>
      <c r="AC64" s="32" t="e">
        <f>'Model-BS'!L299</f>
        <v>#REF!</v>
      </c>
      <c r="AD64" s="32" t="e">
        <f>'Model-BS'!#REF!</f>
        <v>#REF!</v>
      </c>
      <c r="AE64" s="32" t="e">
        <f>'Model-BS'!#REF!</f>
        <v>#REF!</v>
      </c>
      <c r="AF64" s="32" t="e">
        <f>'Model-BS'!#REF!</f>
        <v>#REF!</v>
      </c>
      <c r="AG64" s="32" t="e">
        <f>'Model-BS'!#REF!</f>
        <v>#REF!</v>
      </c>
      <c r="AH64" s="32" t="e">
        <f>'Model-BS'!#REF!</f>
        <v>#REF!</v>
      </c>
      <c r="AI64" s="32" t="e">
        <f>'Model-BS'!#REF!</f>
        <v>#REF!</v>
      </c>
      <c r="AJ64" s="32" t="e">
        <f>'Model-BS'!M299</f>
        <v>#REF!</v>
      </c>
      <c r="AK64" s="32" t="e">
        <f>'Model-BS'!#REF!</f>
        <v>#REF!</v>
      </c>
      <c r="AL64" s="32" t="e">
        <f>'Model-BS'!#REF!</f>
        <v>#REF!</v>
      </c>
      <c r="AM64" s="32" t="e">
        <f>'Model-BS'!#REF!</f>
        <v>#REF!</v>
      </c>
      <c r="AN64" s="32" t="e">
        <f>'Model-BS'!#REF!</f>
        <v>#REF!</v>
      </c>
      <c r="AO64" s="32" t="e">
        <f>'Model-BS'!#REF!</f>
        <v>#REF!</v>
      </c>
      <c r="AP64" s="32" t="e">
        <f>'Model-BS'!#REF!</f>
        <v>#REF!</v>
      </c>
      <c r="AQ64" s="32" t="e">
        <f>'Model-BS'!N299</f>
        <v>#REF!</v>
      </c>
      <c r="AR64" s="32" t="e">
        <f>'Model-BS'!#REF!</f>
        <v>#REF!</v>
      </c>
      <c r="AS64" s="32" t="e">
        <f>'Model-BS'!#REF!</f>
        <v>#REF!</v>
      </c>
      <c r="AT64" s="32" t="e">
        <f>'Model-BS'!#REF!</f>
        <v>#REF!</v>
      </c>
      <c r="AU64" s="32" t="e">
        <f>'Model-BS'!#REF!</f>
        <v>#REF!</v>
      </c>
      <c r="AV64" s="32" t="e">
        <f>'Model-BS'!#REF!</f>
        <v>#REF!</v>
      </c>
      <c r="AW64" s="32" t="e">
        <f>'Model-BS'!#REF!</f>
        <v>#REF!</v>
      </c>
      <c r="AX64" s="32" t="e">
        <f>'Model-BS'!O299</f>
        <v>#REF!</v>
      </c>
      <c r="AY64" s="32" t="e">
        <f>'Model-BS'!#REF!</f>
        <v>#REF!</v>
      </c>
      <c r="AZ64" s="32" t="e">
        <f>'Model-BS'!#REF!</f>
        <v>#REF!</v>
      </c>
      <c r="BA64" s="32" t="e">
        <f>'Model-BS'!#REF!</f>
        <v>#REF!</v>
      </c>
      <c r="BB64" s="32" t="e">
        <f>'Model-BS'!#REF!</f>
        <v>#REF!</v>
      </c>
      <c r="BC64" s="32" t="e">
        <f>'Model-BS'!#REF!</f>
        <v>#REF!</v>
      </c>
      <c r="BD64" s="32" t="e">
        <f>'Model-BS'!#REF!</f>
        <v>#REF!</v>
      </c>
      <c r="BE64" s="32" t="e">
        <f>'Model-BS'!P299</f>
        <v>#REF!</v>
      </c>
      <c r="BF64" s="32" t="e">
        <f>'Model-BS'!#REF!</f>
        <v>#REF!</v>
      </c>
      <c r="BG64" s="32" t="e">
        <f>'Model-BS'!#REF!</f>
        <v>#REF!</v>
      </c>
      <c r="BH64" s="32" t="e">
        <f>'Model-BS'!#REF!</f>
        <v>#REF!</v>
      </c>
      <c r="BI64" s="32" t="e">
        <f>'Model-BS'!#REF!</f>
        <v>#REF!</v>
      </c>
      <c r="BJ64" s="32" t="e">
        <f>'Model-BS'!#REF!</f>
        <v>#REF!</v>
      </c>
      <c r="BK64" s="32" t="e">
        <f>'Model-BS'!#REF!</f>
        <v>#REF!</v>
      </c>
      <c r="BL64" s="32" t="e">
        <f>'Model-BS'!Q299</f>
        <v>#REF!</v>
      </c>
      <c r="BM64" s="32" t="e">
        <f>'Model-BS'!R299</f>
        <v>#REF!</v>
      </c>
      <c r="BN64" s="32" t="e">
        <f>'Model-BS'!S299</f>
        <v>#REF!</v>
      </c>
      <c r="BO64" s="32" t="e">
        <f>'Model-BS'!T299</f>
        <v>#REF!</v>
      </c>
      <c r="BP64" s="32" t="e">
        <f>'Model-BS'!U299</f>
        <v>#REF!</v>
      </c>
      <c r="BQ64" s="32" t="e">
        <f>'Model-BS'!AB299</f>
        <v>#REF!</v>
      </c>
      <c r="BR64" s="32" t="e">
        <f>'Model-BS'!AI299</f>
        <v>#REF!</v>
      </c>
      <c r="BS64" s="32" t="e">
        <f>'Model-BS'!AP299</f>
        <v>#REF!</v>
      </c>
      <c r="BT64" s="32" t="e">
        <f>'Model-BS'!AW299</f>
        <v>#REF!</v>
      </c>
      <c r="BU64" s="32" t="e">
        <f>'Model-BS'!BD299</f>
        <v>#REF!</v>
      </c>
      <c r="BV64" s="32" t="e">
        <f>'Model-BS'!BK299</f>
        <v>#REF!</v>
      </c>
      <c r="BW64" s="32" t="e">
        <f>'Model-BS'!BL299</f>
        <v>#REF!</v>
      </c>
      <c r="BX64" s="32" t="e">
        <f>'Model-BS'!BM299</f>
        <v>#REF!</v>
      </c>
      <c r="BY64" s="32" t="e">
        <f>'Model-BS'!BN299</f>
        <v>#REF!</v>
      </c>
      <c r="BZ64" s="32" t="e">
        <f>'Model-BS'!BO299</f>
        <v>#REF!</v>
      </c>
    </row>
    <row r="65" spans="2:78" s="31" customFormat="1" outlineLevel="1">
      <c r="B65" s="35" t="s">
        <v>59</v>
      </c>
      <c r="C65" s="35"/>
      <c r="D65" s="35" t="e">
        <f>'Model-BS'!E291</f>
        <v>#REF!</v>
      </c>
      <c r="E65" s="35" t="e">
        <f>'Model-BS'!F291</f>
        <v>#REF!</v>
      </c>
      <c r="F65" s="35" t="e">
        <f>'Model-BS'!G291</f>
        <v>#REF!</v>
      </c>
      <c r="G65" s="35" t="e">
        <f>'Model-BS'!H291</f>
        <v>#REF!</v>
      </c>
      <c r="H65" s="35" t="e">
        <f>'Model-BS'!I291</f>
        <v>#REF!</v>
      </c>
      <c r="I65" s="35" t="e">
        <f>'Model-BS'!#REF!</f>
        <v>#REF!</v>
      </c>
      <c r="J65" s="35" t="e">
        <f>'Model-BS'!#REF!</f>
        <v>#REF!</v>
      </c>
      <c r="K65" s="35" t="e">
        <f>'Model-BS'!#REF!</f>
        <v>#REF!</v>
      </c>
      <c r="L65" s="35" t="e">
        <f>'Model-BS'!#REF!</f>
        <v>#REF!</v>
      </c>
      <c r="M65" s="35" t="e">
        <f>'Model-BS'!#REF!</f>
        <v>#REF!</v>
      </c>
      <c r="N65" s="35" t="e">
        <f>'Model-BS'!#REF!</f>
        <v>#REF!</v>
      </c>
      <c r="O65" s="35" t="e">
        <f>'Model-BS'!J291</f>
        <v>#REF!</v>
      </c>
      <c r="P65" s="35" t="e">
        <f>'Model-BS'!#REF!</f>
        <v>#REF!</v>
      </c>
      <c r="Q65" s="35" t="e">
        <f>'Model-BS'!#REF!</f>
        <v>#REF!</v>
      </c>
      <c r="R65" s="35" t="e">
        <f>'Model-BS'!#REF!</f>
        <v>#REF!</v>
      </c>
      <c r="S65" s="35" t="e">
        <f>'Model-BS'!#REF!</f>
        <v>#REF!</v>
      </c>
      <c r="T65" s="35" t="e">
        <f>'Model-BS'!#REF!</f>
        <v>#REF!</v>
      </c>
      <c r="U65" s="35" t="e">
        <f>'Model-BS'!#REF!</f>
        <v>#REF!</v>
      </c>
      <c r="V65" s="35" t="e">
        <f>'Model-BS'!K291</f>
        <v>#REF!</v>
      </c>
      <c r="W65" s="35" t="e">
        <f>'Model-BS'!#REF!</f>
        <v>#REF!</v>
      </c>
      <c r="X65" s="35" t="e">
        <f>'Model-BS'!#REF!</f>
        <v>#REF!</v>
      </c>
      <c r="Y65" s="35" t="e">
        <f>'Model-BS'!#REF!</f>
        <v>#REF!</v>
      </c>
      <c r="Z65" s="35" t="e">
        <f>'Model-BS'!#REF!</f>
        <v>#REF!</v>
      </c>
      <c r="AA65" s="35" t="e">
        <f>'Model-BS'!#REF!</f>
        <v>#REF!</v>
      </c>
      <c r="AB65" s="35" t="e">
        <f>'Model-BS'!#REF!</f>
        <v>#REF!</v>
      </c>
      <c r="AC65" s="35" t="e">
        <f>'Model-BS'!L291</f>
        <v>#REF!</v>
      </c>
      <c r="AD65" s="35" t="e">
        <f>'Model-BS'!#REF!</f>
        <v>#REF!</v>
      </c>
      <c r="AE65" s="35" t="e">
        <f>'Model-BS'!#REF!</f>
        <v>#REF!</v>
      </c>
      <c r="AF65" s="35" t="e">
        <f>'Model-BS'!#REF!</f>
        <v>#REF!</v>
      </c>
      <c r="AG65" s="35" t="e">
        <f>'Model-BS'!#REF!</f>
        <v>#REF!</v>
      </c>
      <c r="AH65" s="35" t="e">
        <f>'Model-BS'!#REF!</f>
        <v>#REF!</v>
      </c>
      <c r="AI65" s="35" t="e">
        <f>'Model-BS'!#REF!</f>
        <v>#REF!</v>
      </c>
      <c r="AJ65" s="35" t="e">
        <f>'Model-BS'!M291</f>
        <v>#REF!</v>
      </c>
      <c r="AK65" s="35" t="e">
        <f>'Model-BS'!#REF!</f>
        <v>#REF!</v>
      </c>
      <c r="AL65" s="35" t="e">
        <f>'Model-BS'!#REF!</f>
        <v>#REF!</v>
      </c>
      <c r="AM65" s="35" t="e">
        <f>'Model-BS'!#REF!</f>
        <v>#REF!</v>
      </c>
      <c r="AN65" s="35" t="e">
        <f>'Model-BS'!#REF!</f>
        <v>#REF!</v>
      </c>
      <c r="AO65" s="35" t="e">
        <f>'Model-BS'!#REF!</f>
        <v>#REF!</v>
      </c>
      <c r="AP65" s="35" t="e">
        <f>'Model-BS'!#REF!</f>
        <v>#REF!</v>
      </c>
      <c r="AQ65" s="35" t="e">
        <f>'Model-BS'!N291</f>
        <v>#REF!</v>
      </c>
      <c r="AR65" s="35" t="e">
        <f>'Model-BS'!#REF!</f>
        <v>#REF!</v>
      </c>
      <c r="AS65" s="35" t="e">
        <f>'Model-BS'!#REF!</f>
        <v>#REF!</v>
      </c>
      <c r="AT65" s="35" t="e">
        <f>'Model-BS'!#REF!</f>
        <v>#REF!</v>
      </c>
      <c r="AU65" s="35" t="e">
        <f>'Model-BS'!#REF!</f>
        <v>#REF!</v>
      </c>
      <c r="AV65" s="35" t="e">
        <f>'Model-BS'!#REF!</f>
        <v>#REF!</v>
      </c>
      <c r="AW65" s="35" t="e">
        <f>'Model-BS'!#REF!</f>
        <v>#REF!</v>
      </c>
      <c r="AX65" s="35" t="e">
        <f>'Model-BS'!O291</f>
        <v>#REF!</v>
      </c>
      <c r="AY65" s="35" t="e">
        <f>'Model-BS'!#REF!</f>
        <v>#REF!</v>
      </c>
      <c r="AZ65" s="35" t="e">
        <f>'Model-BS'!#REF!</f>
        <v>#REF!</v>
      </c>
      <c r="BA65" s="35" t="e">
        <f>'Model-BS'!#REF!</f>
        <v>#REF!</v>
      </c>
      <c r="BB65" s="35" t="e">
        <f>'Model-BS'!#REF!</f>
        <v>#REF!</v>
      </c>
      <c r="BC65" s="35" t="e">
        <f>'Model-BS'!#REF!</f>
        <v>#REF!</v>
      </c>
      <c r="BD65" s="35" t="e">
        <f>'Model-BS'!#REF!</f>
        <v>#REF!</v>
      </c>
      <c r="BE65" s="35" t="e">
        <f>'Model-BS'!P291</f>
        <v>#REF!</v>
      </c>
      <c r="BF65" s="35" t="e">
        <f>'Model-BS'!#REF!</f>
        <v>#REF!</v>
      </c>
      <c r="BG65" s="35" t="e">
        <f>'Model-BS'!#REF!</f>
        <v>#REF!</v>
      </c>
      <c r="BH65" s="35" t="e">
        <f>'Model-BS'!#REF!</f>
        <v>#REF!</v>
      </c>
      <c r="BI65" s="35" t="e">
        <f>'Model-BS'!#REF!</f>
        <v>#REF!</v>
      </c>
      <c r="BJ65" s="35" t="e">
        <f>'Model-BS'!#REF!</f>
        <v>#REF!</v>
      </c>
      <c r="BK65" s="35" t="e">
        <f>'Model-BS'!#REF!</f>
        <v>#REF!</v>
      </c>
      <c r="BL65" s="35" t="e">
        <f>'Model-BS'!Q291</f>
        <v>#REF!</v>
      </c>
      <c r="BM65" s="35" t="e">
        <f>'Model-BS'!R291</f>
        <v>#REF!</v>
      </c>
      <c r="BN65" s="35" t="e">
        <f>'Model-BS'!S291</f>
        <v>#REF!</v>
      </c>
      <c r="BO65" s="35" t="e">
        <f>'Model-BS'!T291</f>
        <v>#REF!</v>
      </c>
      <c r="BP65" s="35" t="e">
        <f>'Model-BS'!U291</f>
        <v>#REF!</v>
      </c>
      <c r="BQ65" s="35" t="e">
        <f>'Model-BS'!AB291</f>
        <v>#REF!</v>
      </c>
      <c r="BR65" s="35" t="e">
        <f>'Model-BS'!AI291</f>
        <v>#REF!</v>
      </c>
      <c r="BS65" s="35" t="e">
        <f>'Model-BS'!AP291</f>
        <v>#REF!</v>
      </c>
      <c r="BT65" s="35" t="e">
        <f>'Model-BS'!AW291</f>
        <v>#REF!</v>
      </c>
      <c r="BU65" s="35" t="e">
        <f>'Model-BS'!BD291</f>
        <v>#REF!</v>
      </c>
      <c r="BV65" s="35" t="e">
        <f>'Model-BS'!BK291</f>
        <v>#REF!</v>
      </c>
      <c r="BW65" s="35">
        <f>'Model-BS'!BL291</f>
        <v>0</v>
      </c>
      <c r="BX65" s="35">
        <f>'Model-BS'!BM291</f>
        <v>0</v>
      </c>
      <c r="BY65" s="35">
        <f>'Model-BS'!BN291</f>
        <v>0</v>
      </c>
      <c r="BZ65" s="35">
        <f>'Model-BS'!BO291</f>
        <v>0</v>
      </c>
    </row>
    <row r="66" spans="2:78" s="31" customFormat="1" outlineLevel="1">
      <c r="B66" s="54" t="s">
        <v>60</v>
      </c>
      <c r="C66" s="54"/>
      <c r="D66" s="54" t="e">
        <f>'Model-BS'!E303</f>
        <v>#REF!</v>
      </c>
      <c r="E66" s="54" t="e">
        <f>'Model-BS'!F303</f>
        <v>#REF!</v>
      </c>
      <c r="F66" s="54" t="e">
        <f>'Model-BS'!G303</f>
        <v>#REF!</v>
      </c>
      <c r="G66" s="54" t="e">
        <f>'Model-BS'!H303</f>
        <v>#REF!</v>
      </c>
      <c r="H66" s="54" t="e">
        <f>'Model-BS'!I303</f>
        <v>#REF!</v>
      </c>
      <c r="I66" s="54" t="e">
        <f>'Model-BS'!#REF!</f>
        <v>#REF!</v>
      </c>
      <c r="J66" s="54" t="e">
        <f>'Model-BS'!#REF!</f>
        <v>#REF!</v>
      </c>
      <c r="K66" s="54" t="e">
        <f>'Model-BS'!#REF!</f>
        <v>#REF!</v>
      </c>
      <c r="L66" s="54" t="e">
        <f>'Model-BS'!#REF!</f>
        <v>#REF!</v>
      </c>
      <c r="M66" s="54" t="e">
        <f>'Model-BS'!#REF!</f>
        <v>#REF!</v>
      </c>
      <c r="N66" s="54" t="e">
        <f>'Model-BS'!#REF!</f>
        <v>#REF!</v>
      </c>
      <c r="O66" s="54" t="e">
        <f>'Model-BS'!J303</f>
        <v>#REF!</v>
      </c>
      <c r="P66" s="54" t="e">
        <f>'Model-BS'!#REF!</f>
        <v>#REF!</v>
      </c>
      <c r="Q66" s="54" t="e">
        <f>'Model-BS'!#REF!</f>
        <v>#REF!</v>
      </c>
      <c r="R66" s="54" t="e">
        <f>'Model-BS'!#REF!</f>
        <v>#REF!</v>
      </c>
      <c r="S66" s="54" t="e">
        <f>'Model-BS'!#REF!</f>
        <v>#REF!</v>
      </c>
      <c r="T66" s="54" t="e">
        <f>'Model-BS'!#REF!</f>
        <v>#REF!</v>
      </c>
      <c r="U66" s="54" t="e">
        <f>'Model-BS'!#REF!</f>
        <v>#REF!</v>
      </c>
      <c r="V66" s="54" t="e">
        <f>'Model-BS'!K303</f>
        <v>#REF!</v>
      </c>
      <c r="W66" s="54" t="e">
        <f>'Model-BS'!#REF!</f>
        <v>#REF!</v>
      </c>
      <c r="X66" s="54" t="e">
        <f>'Model-BS'!#REF!</f>
        <v>#REF!</v>
      </c>
      <c r="Y66" s="54" t="e">
        <f>'Model-BS'!#REF!</f>
        <v>#REF!</v>
      </c>
      <c r="Z66" s="54" t="e">
        <f>'Model-BS'!#REF!</f>
        <v>#REF!</v>
      </c>
      <c r="AA66" s="54" t="e">
        <f>'Model-BS'!#REF!</f>
        <v>#REF!</v>
      </c>
      <c r="AB66" s="54" t="e">
        <f>'Model-BS'!#REF!</f>
        <v>#REF!</v>
      </c>
      <c r="AC66" s="54" t="e">
        <f>'Model-BS'!L303</f>
        <v>#REF!</v>
      </c>
      <c r="AD66" s="54" t="e">
        <f>'Model-BS'!#REF!</f>
        <v>#REF!</v>
      </c>
      <c r="AE66" s="54" t="e">
        <f>'Model-BS'!#REF!</f>
        <v>#REF!</v>
      </c>
      <c r="AF66" s="54" t="e">
        <f>'Model-BS'!#REF!</f>
        <v>#REF!</v>
      </c>
      <c r="AG66" s="54" t="e">
        <f>'Model-BS'!#REF!</f>
        <v>#REF!</v>
      </c>
      <c r="AH66" s="54" t="e">
        <f>'Model-BS'!#REF!</f>
        <v>#REF!</v>
      </c>
      <c r="AI66" s="54" t="e">
        <f>'Model-BS'!#REF!</f>
        <v>#REF!</v>
      </c>
      <c r="AJ66" s="54" t="e">
        <f>'Model-BS'!M303</f>
        <v>#REF!</v>
      </c>
      <c r="AK66" s="54" t="e">
        <f>'Model-BS'!#REF!</f>
        <v>#REF!</v>
      </c>
      <c r="AL66" s="54" t="e">
        <f>'Model-BS'!#REF!</f>
        <v>#REF!</v>
      </c>
      <c r="AM66" s="54" t="e">
        <f>'Model-BS'!#REF!</f>
        <v>#REF!</v>
      </c>
      <c r="AN66" s="54" t="e">
        <f>'Model-BS'!#REF!</f>
        <v>#REF!</v>
      </c>
      <c r="AO66" s="54" t="e">
        <f>'Model-BS'!#REF!</f>
        <v>#REF!</v>
      </c>
      <c r="AP66" s="54" t="e">
        <f>'Model-BS'!#REF!</f>
        <v>#REF!</v>
      </c>
      <c r="AQ66" s="54" t="e">
        <f>'Model-BS'!N303</f>
        <v>#REF!</v>
      </c>
      <c r="AR66" s="54" t="e">
        <f>'Model-BS'!#REF!</f>
        <v>#REF!</v>
      </c>
      <c r="AS66" s="54" t="e">
        <f>'Model-BS'!#REF!</f>
        <v>#REF!</v>
      </c>
      <c r="AT66" s="54" t="e">
        <f>'Model-BS'!#REF!</f>
        <v>#REF!</v>
      </c>
      <c r="AU66" s="54" t="e">
        <f>'Model-BS'!#REF!</f>
        <v>#REF!</v>
      </c>
      <c r="AV66" s="54" t="e">
        <f>'Model-BS'!#REF!</f>
        <v>#REF!</v>
      </c>
      <c r="AW66" s="54" t="e">
        <f>'Model-BS'!#REF!</f>
        <v>#REF!</v>
      </c>
      <c r="AX66" s="54" t="e">
        <f>'Model-BS'!O303</f>
        <v>#REF!</v>
      </c>
      <c r="AY66" s="54" t="e">
        <f>'Model-BS'!#REF!</f>
        <v>#REF!</v>
      </c>
      <c r="AZ66" s="54" t="e">
        <f>'Model-BS'!#REF!</f>
        <v>#REF!</v>
      </c>
      <c r="BA66" s="54" t="e">
        <f>'Model-BS'!#REF!</f>
        <v>#REF!</v>
      </c>
      <c r="BB66" s="54" t="e">
        <f>'Model-BS'!#REF!</f>
        <v>#REF!</v>
      </c>
      <c r="BC66" s="54" t="e">
        <f>'Model-BS'!#REF!</f>
        <v>#REF!</v>
      </c>
      <c r="BD66" s="54" t="e">
        <f>'Model-BS'!#REF!</f>
        <v>#REF!</v>
      </c>
      <c r="BE66" s="54" t="e">
        <f>'Model-BS'!P303</f>
        <v>#REF!</v>
      </c>
      <c r="BF66" s="54" t="e">
        <f>'Model-BS'!#REF!</f>
        <v>#REF!</v>
      </c>
      <c r="BG66" s="54" t="e">
        <f>'Model-BS'!#REF!</f>
        <v>#REF!</v>
      </c>
      <c r="BH66" s="54" t="e">
        <f>'Model-BS'!#REF!</f>
        <v>#REF!</v>
      </c>
      <c r="BI66" s="54" t="e">
        <f>'Model-BS'!#REF!</f>
        <v>#REF!</v>
      </c>
      <c r="BJ66" s="54" t="e">
        <f>'Model-BS'!#REF!</f>
        <v>#REF!</v>
      </c>
      <c r="BK66" s="54" t="e">
        <f>'Model-BS'!#REF!</f>
        <v>#REF!</v>
      </c>
      <c r="BL66" s="54" t="e">
        <f>'Model-BS'!Q303</f>
        <v>#REF!</v>
      </c>
      <c r="BM66" s="54" t="e">
        <f>'Model-BS'!R303</f>
        <v>#REF!</v>
      </c>
      <c r="BN66" s="54" t="e">
        <f>'Model-BS'!S303</f>
        <v>#REF!</v>
      </c>
      <c r="BO66" s="54" t="e">
        <f>'Model-BS'!T303</f>
        <v>#REF!</v>
      </c>
      <c r="BP66" s="54" t="e">
        <f>'Model-BS'!U303</f>
        <v>#REF!</v>
      </c>
      <c r="BQ66" s="54" t="e">
        <f>'Model-BS'!AB303</f>
        <v>#REF!</v>
      </c>
      <c r="BR66" s="54" t="e">
        <f>'Model-BS'!AI303</f>
        <v>#REF!</v>
      </c>
      <c r="BS66" s="54" t="e">
        <f>'Model-BS'!AP303</f>
        <v>#REF!</v>
      </c>
      <c r="BT66" s="54" t="e">
        <f>'Model-BS'!AW303</f>
        <v>#REF!</v>
      </c>
      <c r="BU66" s="54" t="e">
        <f>'Model-BS'!BD303</f>
        <v>#REF!</v>
      </c>
      <c r="BV66" s="54" t="e">
        <f>'Model-BS'!BK303</f>
        <v>#REF!</v>
      </c>
      <c r="BW66" s="54" t="e">
        <f>'Model-BS'!BL303</f>
        <v>#REF!</v>
      </c>
      <c r="BX66" s="54" t="e">
        <f>'Model-BS'!BM303</f>
        <v>#REF!</v>
      </c>
      <c r="BY66" s="54" t="e">
        <f>'Model-BS'!BN303</f>
        <v>#REF!</v>
      </c>
      <c r="BZ66" s="54" t="e">
        <f>'Model-BS'!BO303</f>
        <v>#REF!</v>
      </c>
    </row>
    <row r="67" spans="2:78" s="31" customFormat="1">
      <c r="B67" s="35" t="s">
        <v>61</v>
      </c>
      <c r="C67" s="35"/>
      <c r="D67" s="35" t="e">
        <f>D65+D66</f>
        <v>#REF!</v>
      </c>
      <c r="E67" s="35" t="e">
        <f t="shared" ref="E67:BL67" si="31">E65+E66</f>
        <v>#REF!</v>
      </c>
      <c r="F67" s="35" t="e">
        <f t="shared" si="31"/>
        <v>#REF!</v>
      </c>
      <c r="G67" s="35" t="e">
        <f t="shared" si="31"/>
        <v>#REF!</v>
      </c>
      <c r="H67" s="35" t="e">
        <f t="shared" si="31"/>
        <v>#REF!</v>
      </c>
      <c r="I67" s="35" t="e">
        <f t="shared" si="31"/>
        <v>#REF!</v>
      </c>
      <c r="J67" s="35" t="e">
        <f t="shared" si="31"/>
        <v>#REF!</v>
      </c>
      <c r="K67" s="35" t="e">
        <f t="shared" si="31"/>
        <v>#REF!</v>
      </c>
      <c r="L67" s="35" t="e">
        <f t="shared" si="31"/>
        <v>#REF!</v>
      </c>
      <c r="M67" s="35" t="e">
        <f t="shared" si="31"/>
        <v>#REF!</v>
      </c>
      <c r="N67" s="35" t="e">
        <f t="shared" si="31"/>
        <v>#REF!</v>
      </c>
      <c r="O67" s="35" t="e">
        <f t="shared" si="31"/>
        <v>#REF!</v>
      </c>
      <c r="P67" s="35" t="e">
        <f t="shared" si="31"/>
        <v>#REF!</v>
      </c>
      <c r="Q67" s="35" t="e">
        <f t="shared" si="31"/>
        <v>#REF!</v>
      </c>
      <c r="R67" s="35" t="e">
        <f t="shared" si="31"/>
        <v>#REF!</v>
      </c>
      <c r="S67" s="35" t="e">
        <f t="shared" si="31"/>
        <v>#REF!</v>
      </c>
      <c r="T67" s="35" t="e">
        <f t="shared" si="31"/>
        <v>#REF!</v>
      </c>
      <c r="U67" s="35" t="e">
        <f t="shared" si="31"/>
        <v>#REF!</v>
      </c>
      <c r="V67" s="35" t="e">
        <f t="shared" si="31"/>
        <v>#REF!</v>
      </c>
      <c r="W67" s="35" t="e">
        <f t="shared" si="31"/>
        <v>#REF!</v>
      </c>
      <c r="X67" s="35" t="e">
        <f t="shared" si="31"/>
        <v>#REF!</v>
      </c>
      <c r="Y67" s="35" t="e">
        <f t="shared" si="31"/>
        <v>#REF!</v>
      </c>
      <c r="Z67" s="35" t="e">
        <f t="shared" si="31"/>
        <v>#REF!</v>
      </c>
      <c r="AA67" s="35" t="e">
        <f t="shared" si="31"/>
        <v>#REF!</v>
      </c>
      <c r="AB67" s="35" t="e">
        <f t="shared" si="31"/>
        <v>#REF!</v>
      </c>
      <c r="AC67" s="35" t="e">
        <f t="shared" si="31"/>
        <v>#REF!</v>
      </c>
      <c r="AD67" s="35" t="e">
        <f t="shared" si="31"/>
        <v>#REF!</v>
      </c>
      <c r="AE67" s="35" t="e">
        <f t="shared" si="31"/>
        <v>#REF!</v>
      </c>
      <c r="AF67" s="35" t="e">
        <f t="shared" si="31"/>
        <v>#REF!</v>
      </c>
      <c r="AG67" s="35" t="e">
        <f t="shared" si="31"/>
        <v>#REF!</v>
      </c>
      <c r="AH67" s="35" t="e">
        <f t="shared" si="31"/>
        <v>#REF!</v>
      </c>
      <c r="AI67" s="35" t="e">
        <f t="shared" si="31"/>
        <v>#REF!</v>
      </c>
      <c r="AJ67" s="35" t="e">
        <f t="shared" si="31"/>
        <v>#REF!</v>
      </c>
      <c r="AK67" s="35" t="e">
        <f t="shared" si="31"/>
        <v>#REF!</v>
      </c>
      <c r="AL67" s="35" t="e">
        <f t="shared" si="31"/>
        <v>#REF!</v>
      </c>
      <c r="AM67" s="35" t="e">
        <f t="shared" si="31"/>
        <v>#REF!</v>
      </c>
      <c r="AN67" s="35" t="e">
        <f t="shared" si="31"/>
        <v>#REF!</v>
      </c>
      <c r="AO67" s="35" t="e">
        <f t="shared" si="31"/>
        <v>#REF!</v>
      </c>
      <c r="AP67" s="35" t="e">
        <f t="shared" si="31"/>
        <v>#REF!</v>
      </c>
      <c r="AQ67" s="35" t="e">
        <f t="shared" si="31"/>
        <v>#REF!</v>
      </c>
      <c r="AR67" s="35" t="e">
        <f t="shared" si="31"/>
        <v>#REF!</v>
      </c>
      <c r="AS67" s="35" t="e">
        <f t="shared" si="31"/>
        <v>#REF!</v>
      </c>
      <c r="AT67" s="35" t="e">
        <f t="shared" si="31"/>
        <v>#REF!</v>
      </c>
      <c r="AU67" s="35" t="e">
        <f t="shared" si="31"/>
        <v>#REF!</v>
      </c>
      <c r="AV67" s="35" t="e">
        <f t="shared" si="31"/>
        <v>#REF!</v>
      </c>
      <c r="AW67" s="35" t="e">
        <f t="shared" si="31"/>
        <v>#REF!</v>
      </c>
      <c r="AX67" s="35" t="e">
        <f t="shared" si="31"/>
        <v>#REF!</v>
      </c>
      <c r="AY67" s="35" t="e">
        <f t="shared" si="31"/>
        <v>#REF!</v>
      </c>
      <c r="AZ67" s="35" t="e">
        <f t="shared" si="31"/>
        <v>#REF!</v>
      </c>
      <c r="BA67" s="35" t="e">
        <f t="shared" si="31"/>
        <v>#REF!</v>
      </c>
      <c r="BB67" s="35" t="e">
        <f t="shared" si="31"/>
        <v>#REF!</v>
      </c>
      <c r="BC67" s="35" t="e">
        <f t="shared" si="31"/>
        <v>#REF!</v>
      </c>
      <c r="BD67" s="35" t="e">
        <f t="shared" si="31"/>
        <v>#REF!</v>
      </c>
      <c r="BE67" s="35" t="e">
        <f t="shared" si="31"/>
        <v>#REF!</v>
      </c>
      <c r="BF67" s="35" t="e">
        <f t="shared" si="31"/>
        <v>#REF!</v>
      </c>
      <c r="BG67" s="35" t="e">
        <f t="shared" si="31"/>
        <v>#REF!</v>
      </c>
      <c r="BH67" s="35" t="e">
        <f t="shared" si="31"/>
        <v>#REF!</v>
      </c>
      <c r="BI67" s="35" t="e">
        <f t="shared" si="31"/>
        <v>#REF!</v>
      </c>
      <c r="BJ67" s="35" t="e">
        <f t="shared" si="31"/>
        <v>#REF!</v>
      </c>
      <c r="BK67" s="35" t="e">
        <f t="shared" si="31"/>
        <v>#REF!</v>
      </c>
      <c r="BL67" s="35" t="e">
        <f t="shared" si="31"/>
        <v>#REF!</v>
      </c>
      <c r="BM67" s="35" t="e">
        <f t="shared" ref="BM67:BW67" si="32">BM65+BM66</f>
        <v>#REF!</v>
      </c>
      <c r="BN67" s="35" t="e">
        <f t="shared" si="32"/>
        <v>#REF!</v>
      </c>
      <c r="BO67" s="35" t="e">
        <f t="shared" si="32"/>
        <v>#REF!</v>
      </c>
      <c r="BP67" s="35" t="e">
        <f t="shared" si="32"/>
        <v>#REF!</v>
      </c>
      <c r="BQ67" s="35" t="e">
        <f t="shared" si="32"/>
        <v>#REF!</v>
      </c>
      <c r="BR67" s="35" t="e">
        <f t="shared" si="32"/>
        <v>#REF!</v>
      </c>
      <c r="BS67" s="35" t="e">
        <f t="shared" si="32"/>
        <v>#REF!</v>
      </c>
      <c r="BT67" s="35" t="e">
        <f t="shared" si="32"/>
        <v>#REF!</v>
      </c>
      <c r="BU67" s="35" t="e">
        <f t="shared" si="32"/>
        <v>#REF!</v>
      </c>
      <c r="BV67" s="35" t="e">
        <f t="shared" si="32"/>
        <v>#REF!</v>
      </c>
      <c r="BW67" s="35" t="e">
        <f t="shared" si="32"/>
        <v>#REF!</v>
      </c>
      <c r="BX67" s="35" t="e">
        <f>BX65+BX66</f>
        <v>#REF!</v>
      </c>
      <c r="BY67" s="35" t="e">
        <f t="shared" ref="BY67:BZ67" si="33">BY65+BY66</f>
        <v>#REF!</v>
      </c>
      <c r="BZ67" s="35" t="e">
        <f t="shared" si="33"/>
        <v>#REF!</v>
      </c>
    </row>
    <row r="68" spans="2:78" s="31" customFormat="1" ht="4.5" customHeight="1">
      <c r="B68" s="35"/>
      <c r="C68" s="35"/>
      <c r="D68" s="35"/>
      <c r="E68" s="35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5"/>
      <c r="AA68" s="35"/>
      <c r="AB68" s="35"/>
      <c r="AC68" s="35"/>
      <c r="AD68" s="35"/>
      <c r="AE68" s="35"/>
      <c r="AF68" s="35"/>
      <c r="AG68" s="35"/>
      <c r="AH68" s="35"/>
      <c r="AI68" s="35"/>
      <c r="AJ68" s="35"/>
      <c r="AK68" s="35"/>
      <c r="AL68" s="35"/>
      <c r="AM68" s="35"/>
      <c r="AN68" s="35"/>
      <c r="AO68" s="35"/>
      <c r="AP68" s="35"/>
      <c r="AQ68" s="35"/>
      <c r="AR68" s="35"/>
      <c r="AS68" s="35"/>
      <c r="AT68" s="35"/>
      <c r="AU68" s="35"/>
      <c r="AV68" s="35"/>
      <c r="AW68" s="35"/>
      <c r="AX68" s="35"/>
      <c r="AY68" s="35"/>
      <c r="AZ68" s="35"/>
      <c r="BA68" s="35"/>
      <c r="BB68" s="35"/>
      <c r="BC68" s="35"/>
      <c r="BD68" s="35"/>
      <c r="BE68" s="35"/>
      <c r="BF68" s="35"/>
      <c r="BG68" s="35"/>
      <c r="BH68" s="35"/>
      <c r="BI68" s="35"/>
      <c r="BJ68" s="35"/>
      <c r="BK68" s="35"/>
      <c r="BL68" s="35"/>
      <c r="BM68" s="35"/>
      <c r="BN68" s="35"/>
      <c r="BO68" s="35"/>
      <c r="BP68" s="35"/>
      <c r="BQ68" s="35"/>
      <c r="BR68" s="35"/>
      <c r="BS68" s="35"/>
      <c r="BT68" s="35"/>
      <c r="BU68" s="35"/>
      <c r="BV68" s="35"/>
      <c r="BW68" s="35"/>
      <c r="BX68" s="35"/>
      <c r="BY68" s="35"/>
      <c r="BZ68" s="35"/>
    </row>
    <row r="69" spans="2:78" s="31" customFormat="1">
      <c r="B69" s="56" t="s">
        <v>62</v>
      </c>
      <c r="C69" s="56"/>
      <c r="D69" s="56" t="e">
        <f>[70]Model!I201</f>
        <v>#DIV/0!</v>
      </c>
      <c r="E69" s="56" t="e">
        <f>'Model-BS'!#REF!</f>
        <v>#REF!</v>
      </c>
      <c r="F69" s="56" t="e">
        <f>'Model-BS'!#REF!</f>
        <v>#REF!</v>
      </c>
      <c r="G69" s="56" t="e">
        <f>'Model-BS'!#REF!</f>
        <v>#REF!</v>
      </c>
      <c r="H69" s="56" t="e">
        <f>'Model-BS'!#REF!</f>
        <v>#REF!</v>
      </c>
      <c r="I69" s="56" t="e">
        <f>'Model-BS'!#REF!</f>
        <v>#REF!</v>
      </c>
      <c r="J69" s="56" t="e">
        <f>'Model-BS'!#REF!</f>
        <v>#REF!</v>
      </c>
      <c r="K69" s="56" t="e">
        <f>'Model-BS'!#REF!</f>
        <v>#REF!</v>
      </c>
      <c r="L69" s="56" t="e">
        <f>'Model-BS'!#REF!</f>
        <v>#REF!</v>
      </c>
      <c r="M69" s="56" t="e">
        <f>'Model-BS'!#REF!</f>
        <v>#REF!</v>
      </c>
      <c r="N69" s="56" t="e">
        <f>'Model-BS'!#REF!</f>
        <v>#REF!</v>
      </c>
      <c r="O69" s="56" t="e">
        <f>'Model-BS'!#REF!</f>
        <v>#REF!</v>
      </c>
      <c r="P69" s="56" t="e">
        <f>'Model-BS'!#REF!</f>
        <v>#REF!</v>
      </c>
      <c r="Q69" s="56" t="e">
        <f>'Model-BS'!#REF!</f>
        <v>#REF!</v>
      </c>
      <c r="R69" s="56" t="e">
        <f>'Model-BS'!#REF!</f>
        <v>#REF!</v>
      </c>
      <c r="S69" s="56" t="e">
        <f>'Model-BS'!#REF!</f>
        <v>#REF!</v>
      </c>
      <c r="T69" s="56" t="e">
        <f>'Model-BS'!#REF!</f>
        <v>#REF!</v>
      </c>
      <c r="U69" s="56" t="e">
        <f>'Model-BS'!#REF!</f>
        <v>#REF!</v>
      </c>
      <c r="V69" s="56" t="e">
        <f>'Model-BS'!#REF!</f>
        <v>#REF!</v>
      </c>
      <c r="W69" s="56" t="e">
        <f>'Model-BS'!#REF!</f>
        <v>#REF!</v>
      </c>
      <c r="X69" s="56" t="e">
        <f>'Model-BS'!#REF!</f>
        <v>#REF!</v>
      </c>
      <c r="Y69" s="56" t="e">
        <f>'Model-BS'!#REF!</f>
        <v>#REF!</v>
      </c>
      <c r="Z69" s="56" t="e">
        <f>'Model-BS'!#REF!</f>
        <v>#REF!</v>
      </c>
      <c r="AA69" s="56" t="e">
        <f>'Model-BS'!#REF!</f>
        <v>#REF!</v>
      </c>
      <c r="AB69" s="56" t="e">
        <f>'Model-BS'!#REF!</f>
        <v>#REF!</v>
      </c>
      <c r="AC69" s="56" t="e">
        <f>'Model-BS'!#REF!</f>
        <v>#REF!</v>
      </c>
      <c r="AD69" s="56" t="e">
        <f>'Model-BS'!#REF!</f>
        <v>#REF!</v>
      </c>
      <c r="AE69" s="56" t="e">
        <f>'Model-BS'!#REF!</f>
        <v>#REF!</v>
      </c>
      <c r="AF69" s="56" t="e">
        <f>'Model-BS'!#REF!</f>
        <v>#REF!</v>
      </c>
      <c r="AG69" s="56" t="e">
        <f>'Model-BS'!#REF!</f>
        <v>#REF!</v>
      </c>
      <c r="AH69" s="56" t="e">
        <f>'Model-BS'!#REF!</f>
        <v>#REF!</v>
      </c>
      <c r="AI69" s="56" t="e">
        <f>'Model-BS'!#REF!</f>
        <v>#REF!</v>
      </c>
      <c r="AJ69" s="56" t="e">
        <f>'Model-BS'!#REF!</f>
        <v>#REF!</v>
      </c>
      <c r="AK69" s="56" t="e">
        <f>'Model-BS'!#REF!</f>
        <v>#REF!</v>
      </c>
      <c r="AL69" s="56" t="e">
        <f>'Model-BS'!#REF!</f>
        <v>#REF!</v>
      </c>
      <c r="AM69" s="56" t="e">
        <f>'Model-BS'!#REF!</f>
        <v>#REF!</v>
      </c>
      <c r="AN69" s="56" t="e">
        <f>'Model-BS'!#REF!</f>
        <v>#REF!</v>
      </c>
      <c r="AO69" s="56" t="e">
        <f>'Model-BS'!#REF!</f>
        <v>#REF!</v>
      </c>
      <c r="AP69" s="56" t="e">
        <f>'Model-BS'!#REF!</f>
        <v>#REF!</v>
      </c>
      <c r="AQ69" s="56" t="e">
        <f>'Model-BS'!#REF!</f>
        <v>#REF!</v>
      </c>
      <c r="AR69" s="56" t="e">
        <f>'Model-BS'!#REF!</f>
        <v>#REF!</v>
      </c>
      <c r="AS69" s="56" t="e">
        <f>'Model-BS'!#REF!</f>
        <v>#REF!</v>
      </c>
      <c r="AT69" s="56" t="e">
        <f>'Model-BS'!#REF!</f>
        <v>#REF!</v>
      </c>
      <c r="AU69" s="56" t="e">
        <f>'Model-BS'!#REF!</f>
        <v>#REF!</v>
      </c>
      <c r="AV69" s="56" t="e">
        <f>'Model-BS'!#REF!</f>
        <v>#REF!</v>
      </c>
      <c r="AW69" s="56" t="e">
        <f>'Model-BS'!#REF!</f>
        <v>#REF!</v>
      </c>
      <c r="AX69" s="56" t="e">
        <f>'Model-BS'!#REF!</f>
        <v>#REF!</v>
      </c>
      <c r="AY69" s="56" t="e">
        <f>'Model-BS'!#REF!</f>
        <v>#REF!</v>
      </c>
      <c r="AZ69" s="56" t="e">
        <f>'Model-BS'!#REF!</f>
        <v>#REF!</v>
      </c>
      <c r="BA69" s="56" t="e">
        <f>'Model-BS'!#REF!</f>
        <v>#REF!</v>
      </c>
      <c r="BB69" s="56" t="e">
        <f>'Model-BS'!#REF!</f>
        <v>#REF!</v>
      </c>
      <c r="BC69" s="56" t="e">
        <f>'Model-BS'!#REF!</f>
        <v>#REF!</v>
      </c>
      <c r="BD69" s="56" t="e">
        <f>'Model-BS'!#REF!</f>
        <v>#REF!</v>
      </c>
      <c r="BE69" s="56" t="e">
        <f>'Model-BS'!#REF!</f>
        <v>#REF!</v>
      </c>
      <c r="BF69" s="56" t="e">
        <f>'Model-BS'!#REF!</f>
        <v>#REF!</v>
      </c>
      <c r="BG69" s="56" t="e">
        <f>'Model-BS'!#REF!</f>
        <v>#REF!</v>
      </c>
      <c r="BH69" s="56" t="e">
        <f>'Model-BS'!#REF!</f>
        <v>#REF!</v>
      </c>
      <c r="BI69" s="56" t="e">
        <f>'Model-BS'!#REF!</f>
        <v>#REF!</v>
      </c>
      <c r="BJ69" s="56" t="e">
        <f>'Model-BS'!#REF!</f>
        <v>#REF!</v>
      </c>
      <c r="BK69" s="56" t="e">
        <f>'Model-BS'!#REF!</f>
        <v>#REF!</v>
      </c>
      <c r="BL69" s="56" t="e">
        <f>'Model-BS'!#REF!</f>
        <v>#REF!</v>
      </c>
      <c r="BM69" s="56" t="e">
        <f>'Model-BS'!R355</f>
        <v>#REF!</v>
      </c>
      <c r="BN69" s="56" t="e">
        <f>'Model-BS'!S355</f>
        <v>#REF!</v>
      </c>
      <c r="BO69" s="56" t="e">
        <f>'Model-BS'!T355</f>
        <v>#REF!</v>
      </c>
      <c r="BP69" s="56" t="e">
        <f>'Model-BS'!U355</f>
        <v>#REF!</v>
      </c>
      <c r="BQ69" s="56" t="e">
        <f>'Model-BS'!AB355</f>
        <v>#REF!</v>
      </c>
      <c r="BR69" s="56" t="e">
        <f>'Model-BS'!AI355</f>
        <v>#REF!</v>
      </c>
      <c r="BS69" s="56" t="e">
        <f>'Model-BS'!AP355</f>
        <v>#REF!</v>
      </c>
      <c r="BT69" s="56" t="e">
        <f>'Model-BS'!AW355</f>
        <v>#REF!</v>
      </c>
      <c r="BU69" s="56" t="e">
        <f>'Model-BS'!BD355</f>
        <v>#REF!</v>
      </c>
      <c r="BV69" s="56" t="e">
        <f>'Model-BS'!BK355</f>
        <v>#REF!</v>
      </c>
      <c r="BW69" s="56" t="e">
        <f>'Model-BS'!BL355</f>
        <v>#REF!</v>
      </c>
      <c r="BX69" s="56" t="e">
        <f>'Model-BS'!BM355</f>
        <v>#REF!</v>
      </c>
      <c r="BY69" s="56" t="e">
        <f>'Model-BS'!BN355</f>
        <v>#REF!</v>
      </c>
      <c r="BZ69" s="56" t="e">
        <f>'Model-BS'!BO355</f>
        <v>#REF!</v>
      </c>
    </row>
    <row r="70" spans="2:78" ht="4.5" customHeight="1">
      <c r="B70" s="41"/>
      <c r="C70" s="61"/>
      <c r="D70" s="61"/>
      <c r="E70" s="62"/>
      <c r="F70" s="62"/>
      <c r="G70" s="62"/>
      <c r="H70" s="62"/>
      <c r="I70" s="62"/>
      <c r="J70" s="62"/>
      <c r="K70" s="62"/>
      <c r="L70" s="62"/>
      <c r="M70" s="62"/>
      <c r="N70" s="62"/>
      <c r="O70" s="62"/>
      <c r="P70" s="62"/>
      <c r="Q70" s="62"/>
      <c r="R70" s="62"/>
      <c r="S70" s="62"/>
      <c r="T70" s="62"/>
      <c r="U70" s="62"/>
      <c r="V70" s="62"/>
      <c r="W70" s="62"/>
      <c r="X70" s="62"/>
      <c r="Y70" s="62"/>
      <c r="Z70" s="62"/>
      <c r="AA70" s="62"/>
      <c r="AB70" s="62"/>
      <c r="AC70" s="62"/>
      <c r="AD70" s="62"/>
      <c r="AE70" s="62"/>
      <c r="AF70" s="62"/>
      <c r="AG70" s="62"/>
      <c r="AH70" s="62"/>
      <c r="AI70" s="62"/>
      <c r="AJ70" s="62"/>
      <c r="AK70" s="62"/>
      <c r="AL70" s="62"/>
      <c r="AM70" s="62"/>
      <c r="AN70" s="62"/>
      <c r="AO70" s="62"/>
      <c r="AP70" s="62"/>
      <c r="AQ70" s="62"/>
      <c r="AR70" s="62"/>
      <c r="AS70" s="62"/>
      <c r="AT70" s="62"/>
      <c r="AU70" s="62"/>
      <c r="AV70" s="62"/>
      <c r="AW70" s="62"/>
      <c r="AX70" s="62"/>
      <c r="AY70" s="62"/>
      <c r="AZ70" s="62"/>
      <c r="BA70" s="62"/>
      <c r="BB70" s="62"/>
      <c r="BC70" s="62"/>
      <c r="BD70" s="62"/>
      <c r="BE70" s="62"/>
      <c r="BF70" s="62"/>
      <c r="BG70" s="62"/>
      <c r="BH70" s="62"/>
      <c r="BI70" s="62"/>
      <c r="BJ70" s="62"/>
      <c r="BK70" s="62"/>
      <c r="BL70" s="62"/>
      <c r="BM70" s="62"/>
      <c r="BN70" s="62"/>
      <c r="BO70" s="62"/>
      <c r="BP70" s="62"/>
      <c r="BQ70" s="62"/>
      <c r="BR70" s="62"/>
      <c r="BS70" s="62"/>
      <c r="BT70" s="62"/>
      <c r="BU70" s="62"/>
      <c r="BV70" s="62"/>
      <c r="BW70" s="62"/>
      <c r="BX70" s="62"/>
      <c r="BY70" s="62"/>
      <c r="BZ70" s="62"/>
    </row>
    <row r="71" spans="2:78" s="31" customFormat="1">
      <c r="B71" s="59" t="s">
        <v>63</v>
      </c>
      <c r="C71" s="54"/>
      <c r="D71" s="30">
        <v>2002</v>
      </c>
      <c r="E71" s="26">
        <f t="shared" ref="E71:AJ71" si="34">E58</f>
        <v>2003</v>
      </c>
      <c r="F71" s="26">
        <f t="shared" si="34"/>
        <v>2004</v>
      </c>
      <c r="G71" s="26">
        <f t="shared" si="34"/>
        <v>2005</v>
      </c>
      <c r="H71" s="26">
        <f t="shared" si="34"/>
        <v>2006</v>
      </c>
      <c r="I71" s="26">
        <f t="shared" si="34"/>
        <v>2009.5833333333301</v>
      </c>
      <c r="J71" s="26">
        <f t="shared" si="34"/>
        <v>2009.6666666666699</v>
      </c>
      <c r="K71" s="26">
        <f t="shared" si="34"/>
        <v>2009.75</v>
      </c>
      <c r="L71" s="26">
        <f t="shared" si="34"/>
        <v>2009.8333333333301</v>
      </c>
      <c r="M71" s="26">
        <f t="shared" si="34"/>
        <v>2009.9166666666699</v>
      </c>
      <c r="N71" s="26">
        <f t="shared" si="34"/>
        <v>2010</v>
      </c>
      <c r="O71" s="26">
        <f t="shared" si="34"/>
        <v>2007</v>
      </c>
      <c r="P71" s="26">
        <f t="shared" si="34"/>
        <v>2010.1666666666699</v>
      </c>
      <c r="Q71" s="26">
        <f t="shared" si="34"/>
        <v>2010.25</v>
      </c>
      <c r="R71" s="26">
        <f t="shared" si="34"/>
        <v>2010.3333333333301</v>
      </c>
      <c r="S71" s="26">
        <f t="shared" si="34"/>
        <v>2010.4166666666699</v>
      </c>
      <c r="T71" s="26">
        <f t="shared" si="34"/>
        <v>2010.5</v>
      </c>
      <c r="U71" s="26">
        <f t="shared" si="34"/>
        <v>2010.5833333333301</v>
      </c>
      <c r="V71" s="26">
        <f t="shared" si="34"/>
        <v>2008</v>
      </c>
      <c r="W71" s="26">
        <f t="shared" si="34"/>
        <v>2010.75</v>
      </c>
      <c r="X71" s="26">
        <f t="shared" si="34"/>
        <v>2010.8333333333301</v>
      </c>
      <c r="Y71" s="26">
        <f t="shared" si="34"/>
        <v>2010.9166666666699</v>
      </c>
      <c r="Z71" s="26">
        <f t="shared" si="34"/>
        <v>2011</v>
      </c>
      <c r="AA71" s="26">
        <f t="shared" si="34"/>
        <v>2011.0833333333301</v>
      </c>
      <c r="AB71" s="26">
        <f t="shared" si="34"/>
        <v>2011.1666666666699</v>
      </c>
      <c r="AC71" s="26">
        <f t="shared" si="34"/>
        <v>2009</v>
      </c>
      <c r="AD71" s="26">
        <f t="shared" si="34"/>
        <v>2011.3333333333301</v>
      </c>
      <c r="AE71" s="26">
        <f t="shared" si="34"/>
        <v>2011.4166666666699</v>
      </c>
      <c r="AF71" s="26">
        <f t="shared" si="34"/>
        <v>2011.5</v>
      </c>
      <c r="AG71" s="26">
        <f t="shared" si="34"/>
        <v>2011.5833333333301</v>
      </c>
      <c r="AH71" s="26">
        <f t="shared" si="34"/>
        <v>2011.6666666666699</v>
      </c>
      <c r="AI71" s="26">
        <f t="shared" si="34"/>
        <v>2011.75</v>
      </c>
      <c r="AJ71" s="26">
        <f t="shared" si="34"/>
        <v>2010</v>
      </c>
      <c r="AK71" s="26">
        <f t="shared" ref="AK71:BD71" si="35">AK58</f>
        <v>2011.9166666666699</v>
      </c>
      <c r="AL71" s="26">
        <f t="shared" si="35"/>
        <v>2012</v>
      </c>
      <c r="AM71" s="26">
        <f t="shared" si="35"/>
        <v>2012.0833333333301</v>
      </c>
      <c r="AN71" s="26">
        <f t="shared" si="35"/>
        <v>2012.1666666666699</v>
      </c>
      <c r="AO71" s="26">
        <f t="shared" si="35"/>
        <v>2012.25</v>
      </c>
      <c r="AP71" s="26">
        <f t="shared" si="35"/>
        <v>2012.3333333333301</v>
      </c>
      <c r="AQ71" s="26">
        <f t="shared" si="35"/>
        <v>2011</v>
      </c>
      <c r="AR71" s="26">
        <f t="shared" si="35"/>
        <v>2012.5</v>
      </c>
      <c r="AS71" s="26">
        <f t="shared" si="35"/>
        <v>2012.5833333333301</v>
      </c>
      <c r="AT71" s="26">
        <f t="shared" si="35"/>
        <v>2012.6666666666699</v>
      </c>
      <c r="AU71" s="26">
        <f t="shared" si="35"/>
        <v>2012.75</v>
      </c>
      <c r="AV71" s="26">
        <f t="shared" si="35"/>
        <v>2012.8333333333301</v>
      </c>
      <c r="AW71" s="26">
        <f t="shared" si="35"/>
        <v>2012.9166666666699</v>
      </c>
      <c r="AX71" s="26">
        <f t="shared" si="35"/>
        <v>2012</v>
      </c>
      <c r="AY71" s="26">
        <f t="shared" si="35"/>
        <v>2013.0833333333301</v>
      </c>
      <c r="AZ71" s="26">
        <f t="shared" si="35"/>
        <v>2013.1666666666699</v>
      </c>
      <c r="BA71" s="26">
        <f t="shared" si="35"/>
        <v>2013.25</v>
      </c>
      <c r="BB71" s="26">
        <f t="shared" si="35"/>
        <v>2013.3333333333301</v>
      </c>
      <c r="BC71" s="26">
        <f t="shared" si="35"/>
        <v>2013.4166666666699</v>
      </c>
      <c r="BD71" s="26">
        <f t="shared" si="35"/>
        <v>2013.5</v>
      </c>
      <c r="BE71" s="63">
        <v>41639</v>
      </c>
      <c r="BF71" s="26">
        <v>2014</v>
      </c>
      <c r="BG71" s="26">
        <v>2014</v>
      </c>
      <c r="BH71" s="26">
        <v>2014</v>
      </c>
      <c r="BI71" s="26">
        <v>2014</v>
      </c>
      <c r="BJ71" s="26">
        <v>2014</v>
      </c>
      <c r="BK71" s="26">
        <v>2014</v>
      </c>
      <c r="BL71" s="63">
        <v>42004</v>
      </c>
      <c r="BM71" s="26">
        <v>2015</v>
      </c>
      <c r="BN71" s="26">
        <v>2016</v>
      </c>
      <c r="BO71" s="26">
        <v>2017</v>
      </c>
      <c r="BP71" s="26">
        <v>2018</v>
      </c>
      <c r="BQ71" s="26">
        <v>2019</v>
      </c>
      <c r="BR71" s="26">
        <v>2020</v>
      </c>
      <c r="BS71" s="26">
        <v>2021</v>
      </c>
      <c r="BT71" s="26">
        <v>2022</v>
      </c>
      <c r="BU71" s="26" t="s">
        <v>9</v>
      </c>
      <c r="BV71" s="26" t="s">
        <v>10</v>
      </c>
      <c r="BW71" s="26" t="s">
        <v>11</v>
      </c>
      <c r="BX71" s="26" t="s">
        <v>373</v>
      </c>
      <c r="BY71" s="26" t="s">
        <v>477</v>
      </c>
      <c r="BZ71" s="26" t="s">
        <v>478</v>
      </c>
    </row>
    <row r="72" spans="2:78">
      <c r="B72" s="7" t="s">
        <v>64</v>
      </c>
      <c r="D72" s="64">
        <f>[70]Model!I81</f>
        <v>0</v>
      </c>
      <c r="E72" s="64">
        <f>'Model-BS'!F64</f>
        <v>0</v>
      </c>
      <c r="F72" s="64">
        <f>'Model-BS'!G64</f>
        <v>0</v>
      </c>
      <c r="G72" s="64">
        <f>'Model-BS'!H64</f>
        <v>0</v>
      </c>
      <c r="H72" s="64">
        <f>'Model-BS'!I64</f>
        <v>0</v>
      </c>
      <c r="I72" s="64" t="e">
        <f>'Model-BS'!#REF!</f>
        <v>#REF!</v>
      </c>
      <c r="J72" s="64" t="e">
        <f>'Model-BS'!#REF!</f>
        <v>#REF!</v>
      </c>
      <c r="K72" s="64" t="e">
        <f>'Model-BS'!#REF!</f>
        <v>#REF!</v>
      </c>
      <c r="L72" s="64" t="e">
        <f>'Model-BS'!#REF!</f>
        <v>#REF!</v>
      </c>
      <c r="M72" s="64" t="e">
        <f>'Model-BS'!#REF!</f>
        <v>#REF!</v>
      </c>
      <c r="N72" s="64" t="e">
        <f>'Model-BS'!#REF!</f>
        <v>#REF!</v>
      </c>
      <c r="O72" s="64">
        <f>'Model-BS'!J64</f>
        <v>0</v>
      </c>
      <c r="P72" s="64" t="e">
        <f>'Model-BS'!#REF!</f>
        <v>#REF!</v>
      </c>
      <c r="Q72" s="64" t="e">
        <f>'Model-BS'!#REF!</f>
        <v>#REF!</v>
      </c>
      <c r="R72" s="64" t="e">
        <f>'Model-BS'!#REF!</f>
        <v>#REF!</v>
      </c>
      <c r="S72" s="64" t="e">
        <f>'Model-BS'!#REF!</f>
        <v>#REF!</v>
      </c>
      <c r="T72" s="64" t="e">
        <f>'Model-BS'!#REF!</f>
        <v>#REF!</v>
      </c>
      <c r="U72" s="64" t="e">
        <f>'Model-BS'!#REF!</f>
        <v>#REF!</v>
      </c>
      <c r="V72" s="64">
        <f>'Model-BS'!K64</f>
        <v>0</v>
      </c>
      <c r="W72" s="64" t="e">
        <f>'Model-BS'!#REF!</f>
        <v>#REF!</v>
      </c>
      <c r="X72" s="64" t="e">
        <f>'Model-BS'!#REF!</f>
        <v>#REF!</v>
      </c>
      <c r="Y72" s="64" t="e">
        <f>'Model-BS'!#REF!</f>
        <v>#REF!</v>
      </c>
      <c r="Z72" s="64" t="e">
        <f>'Model-BS'!#REF!</f>
        <v>#REF!</v>
      </c>
      <c r="AA72" s="64" t="e">
        <f>'Model-BS'!#REF!</f>
        <v>#REF!</v>
      </c>
      <c r="AB72" s="64" t="e">
        <f>'Model-BS'!#REF!</f>
        <v>#REF!</v>
      </c>
      <c r="AC72" s="64">
        <f>'Model-BS'!L64</f>
        <v>0</v>
      </c>
      <c r="AD72" s="64" t="e">
        <f>'Model-BS'!#REF!</f>
        <v>#REF!</v>
      </c>
      <c r="AE72" s="64" t="e">
        <f>'Model-BS'!#REF!</f>
        <v>#REF!</v>
      </c>
      <c r="AF72" s="64" t="e">
        <f>'Model-BS'!#REF!</f>
        <v>#REF!</v>
      </c>
      <c r="AG72" s="64" t="e">
        <f>'Model-BS'!#REF!</f>
        <v>#REF!</v>
      </c>
      <c r="AH72" s="64" t="e">
        <f>'Model-BS'!#REF!</f>
        <v>#REF!</v>
      </c>
      <c r="AI72" s="64" t="e">
        <f>'Model-BS'!#REF!</f>
        <v>#REF!</v>
      </c>
      <c r="AJ72" s="64">
        <f>'Model-BS'!M64</f>
        <v>0</v>
      </c>
      <c r="AK72" s="64" t="e">
        <f>'Model-BS'!#REF!</f>
        <v>#REF!</v>
      </c>
      <c r="AL72" s="64" t="e">
        <f>'Model-BS'!#REF!</f>
        <v>#REF!</v>
      </c>
      <c r="AM72" s="64" t="e">
        <f>'Model-BS'!#REF!</f>
        <v>#REF!</v>
      </c>
      <c r="AN72" s="64" t="e">
        <f>'Model-BS'!#REF!</f>
        <v>#REF!</v>
      </c>
      <c r="AO72" s="64" t="e">
        <f>'Model-BS'!#REF!</f>
        <v>#REF!</v>
      </c>
      <c r="AP72" s="64" t="e">
        <f>'Model-BS'!#REF!</f>
        <v>#REF!</v>
      </c>
      <c r="AQ72" s="64">
        <f>'Model-BS'!N64</f>
        <v>0</v>
      </c>
      <c r="AR72" s="64" t="e">
        <f>'Model-BS'!#REF!</f>
        <v>#REF!</v>
      </c>
      <c r="AS72" s="64" t="e">
        <f>'Model-BS'!#REF!</f>
        <v>#REF!</v>
      </c>
      <c r="AT72" s="64" t="e">
        <f>'Model-BS'!#REF!</f>
        <v>#REF!</v>
      </c>
      <c r="AU72" s="64" t="e">
        <f>'Model-BS'!#REF!</f>
        <v>#REF!</v>
      </c>
      <c r="AV72" s="64" t="e">
        <f>'Model-BS'!#REF!</f>
        <v>#REF!</v>
      </c>
      <c r="AW72" s="64" t="e">
        <f>'Model-BS'!#REF!</f>
        <v>#REF!</v>
      </c>
      <c r="AX72" s="64">
        <f>'Model-BS'!O64</f>
        <v>0</v>
      </c>
      <c r="AY72" s="64" t="e">
        <f>'Model-BS'!#REF!</f>
        <v>#REF!</v>
      </c>
      <c r="AZ72" s="64" t="e">
        <f>'Model-BS'!#REF!</f>
        <v>#REF!</v>
      </c>
      <c r="BA72" s="64" t="e">
        <f>'Model-BS'!#REF!</f>
        <v>#REF!</v>
      </c>
      <c r="BB72" s="64" t="e">
        <f>'Model-BS'!#REF!</f>
        <v>#REF!</v>
      </c>
      <c r="BC72" s="64" t="e">
        <f>'Model-BS'!#REF!</f>
        <v>#REF!</v>
      </c>
      <c r="BD72" s="64" t="e">
        <f>'Model-BS'!#REF!</f>
        <v>#REF!</v>
      </c>
      <c r="BE72" s="64">
        <f>'Model-BS'!P64</f>
        <v>0</v>
      </c>
      <c r="BF72" s="64" t="e">
        <f>'Model-BS'!#REF!</f>
        <v>#REF!</v>
      </c>
      <c r="BG72" s="64" t="e">
        <f>'Model-BS'!#REF!</f>
        <v>#REF!</v>
      </c>
      <c r="BH72" s="64" t="e">
        <f>'Model-BS'!#REF!</f>
        <v>#REF!</v>
      </c>
      <c r="BI72" s="64" t="e">
        <f>'Model-BS'!#REF!</f>
        <v>#REF!</v>
      </c>
      <c r="BJ72" s="64" t="e">
        <f>'Model-BS'!#REF!</f>
        <v>#REF!</v>
      </c>
      <c r="BK72" s="64" t="e">
        <f>'Model-BS'!#REF!</f>
        <v>#REF!</v>
      </c>
      <c r="BL72" s="64">
        <f>'Model-BS'!Q64</f>
        <v>0</v>
      </c>
      <c r="BM72" s="64">
        <f>'Model-BS'!R64</f>
        <v>0</v>
      </c>
      <c r="BN72" s="64">
        <f>'Model-BS'!S64</f>
        <v>0</v>
      </c>
      <c r="BO72" s="64">
        <f>'Model-BS'!T64</f>
        <v>0</v>
      </c>
      <c r="BP72" s="64">
        <f>'Model-BS'!U64</f>
        <v>0</v>
      </c>
      <c r="BQ72" s="64">
        <f>'Model-BS'!AB64</f>
        <v>0</v>
      </c>
      <c r="BR72" s="64">
        <f>'Model-BS'!AI64</f>
        <v>0</v>
      </c>
      <c r="BS72" s="64">
        <f>'Model-BS'!AP64</f>
        <v>0</v>
      </c>
      <c r="BT72" s="64">
        <f>'Model-BS'!AW64</f>
        <v>0</v>
      </c>
      <c r="BU72" s="64">
        <f>'Model-BS'!BD64</f>
        <v>0</v>
      </c>
      <c r="BV72" s="64">
        <f>'Model-BS'!BK64</f>
        <v>0</v>
      </c>
      <c r="BW72" s="64">
        <f>'Model-BS'!BL64</f>
        <v>0</v>
      </c>
      <c r="BX72" s="64">
        <f>'Model-BS'!BM64</f>
        <v>0</v>
      </c>
      <c r="BY72" s="64">
        <f>'Model-BS'!BN64</f>
        <v>0</v>
      </c>
      <c r="BZ72" s="64">
        <f>'Model-BS'!BO64</f>
        <v>0</v>
      </c>
    </row>
    <row r="73" spans="2:78">
      <c r="B73" s="65" t="s">
        <v>65</v>
      </c>
      <c r="C73" s="65"/>
      <c r="D73" s="65" t="e">
        <f>[70]Model!I91</f>
        <v>#DIV/0!</v>
      </c>
      <c r="E73" s="65" t="e">
        <f>'Model-BS'!F120</f>
        <v>#REF!</v>
      </c>
      <c r="F73" s="65" t="e">
        <f>'Model-BS'!G120</f>
        <v>#REF!</v>
      </c>
      <c r="G73" s="65" t="e">
        <f>'Model-BS'!H120</f>
        <v>#REF!</v>
      </c>
      <c r="H73" s="65" t="e">
        <f>'Model-BS'!I120</f>
        <v>#REF!</v>
      </c>
      <c r="I73" s="65" t="e">
        <f>'Model-BS'!#REF!</f>
        <v>#REF!</v>
      </c>
      <c r="J73" s="65" t="e">
        <f>'Model-BS'!#REF!</f>
        <v>#REF!</v>
      </c>
      <c r="K73" s="65" t="e">
        <f>'Model-BS'!#REF!</f>
        <v>#REF!</v>
      </c>
      <c r="L73" s="65" t="e">
        <f>'Model-BS'!#REF!</f>
        <v>#REF!</v>
      </c>
      <c r="M73" s="65" t="e">
        <f>'Model-BS'!#REF!</f>
        <v>#REF!</v>
      </c>
      <c r="N73" s="65" t="e">
        <f>'Model-BS'!#REF!</f>
        <v>#REF!</v>
      </c>
      <c r="O73" s="65" t="e">
        <f>'Model-BS'!J120</f>
        <v>#REF!</v>
      </c>
      <c r="P73" s="65" t="e">
        <f>'Model-BS'!#REF!</f>
        <v>#REF!</v>
      </c>
      <c r="Q73" s="65" t="e">
        <f>'Model-BS'!#REF!</f>
        <v>#REF!</v>
      </c>
      <c r="R73" s="65" t="e">
        <f>'Model-BS'!#REF!</f>
        <v>#REF!</v>
      </c>
      <c r="S73" s="65" t="e">
        <f>'Model-BS'!#REF!</f>
        <v>#REF!</v>
      </c>
      <c r="T73" s="65" t="e">
        <f>'Model-BS'!#REF!</f>
        <v>#REF!</v>
      </c>
      <c r="U73" s="65" t="e">
        <f>'Model-BS'!#REF!</f>
        <v>#REF!</v>
      </c>
      <c r="V73" s="65" t="e">
        <f>'Model-BS'!K120</f>
        <v>#REF!</v>
      </c>
      <c r="W73" s="65" t="e">
        <f>'Model-BS'!#REF!</f>
        <v>#REF!</v>
      </c>
      <c r="X73" s="65" t="e">
        <f>'Model-BS'!#REF!</f>
        <v>#REF!</v>
      </c>
      <c r="Y73" s="65" t="e">
        <f>'Model-BS'!#REF!</f>
        <v>#REF!</v>
      </c>
      <c r="Z73" s="65" t="e">
        <f>'Model-BS'!#REF!</f>
        <v>#REF!</v>
      </c>
      <c r="AA73" s="65" t="e">
        <f>'Model-BS'!#REF!</f>
        <v>#REF!</v>
      </c>
      <c r="AB73" s="65" t="e">
        <f>'Model-BS'!#REF!</f>
        <v>#REF!</v>
      </c>
      <c r="AC73" s="65" t="e">
        <f>'Model-BS'!L120</f>
        <v>#REF!</v>
      </c>
      <c r="AD73" s="65" t="e">
        <f>'Model-BS'!#REF!</f>
        <v>#REF!</v>
      </c>
      <c r="AE73" s="65" t="e">
        <f>'Model-BS'!#REF!</f>
        <v>#REF!</v>
      </c>
      <c r="AF73" s="65" t="e">
        <f>'Model-BS'!#REF!</f>
        <v>#REF!</v>
      </c>
      <c r="AG73" s="65" t="e">
        <f>'Model-BS'!#REF!</f>
        <v>#REF!</v>
      </c>
      <c r="AH73" s="65" t="e">
        <f>'Model-BS'!#REF!</f>
        <v>#REF!</v>
      </c>
      <c r="AI73" s="65" t="e">
        <f>'Model-BS'!#REF!</f>
        <v>#REF!</v>
      </c>
      <c r="AJ73" s="65" t="e">
        <f>'Model-BS'!M120</f>
        <v>#REF!</v>
      </c>
      <c r="AK73" s="65" t="e">
        <f>'Model-BS'!#REF!</f>
        <v>#REF!</v>
      </c>
      <c r="AL73" s="65" t="e">
        <f>'Model-BS'!#REF!</f>
        <v>#REF!</v>
      </c>
      <c r="AM73" s="65" t="e">
        <f>'Model-BS'!#REF!</f>
        <v>#REF!</v>
      </c>
      <c r="AN73" s="65" t="e">
        <f>'Model-BS'!#REF!</f>
        <v>#REF!</v>
      </c>
      <c r="AO73" s="65" t="e">
        <f>'Model-BS'!#REF!</f>
        <v>#REF!</v>
      </c>
      <c r="AP73" s="65" t="e">
        <f>'Model-BS'!#REF!</f>
        <v>#REF!</v>
      </c>
      <c r="AQ73" s="65" t="e">
        <f>'Model-BS'!N120</f>
        <v>#REF!</v>
      </c>
      <c r="AR73" s="65" t="e">
        <f>'Model-BS'!#REF!</f>
        <v>#REF!</v>
      </c>
      <c r="AS73" s="65" t="e">
        <f>'Model-BS'!#REF!</f>
        <v>#REF!</v>
      </c>
      <c r="AT73" s="65" t="e">
        <f>'Model-BS'!#REF!</f>
        <v>#REF!</v>
      </c>
      <c r="AU73" s="65" t="e">
        <f>'Model-BS'!#REF!</f>
        <v>#REF!</v>
      </c>
      <c r="AV73" s="65" t="e">
        <f>'Model-BS'!#REF!</f>
        <v>#REF!</v>
      </c>
      <c r="AW73" s="65" t="e">
        <f>'Model-BS'!#REF!</f>
        <v>#REF!</v>
      </c>
      <c r="AX73" s="65" t="e">
        <f>'Model-BS'!O120</f>
        <v>#REF!</v>
      </c>
      <c r="AY73" s="65" t="e">
        <f>'Model-BS'!#REF!</f>
        <v>#REF!</v>
      </c>
      <c r="AZ73" s="65" t="e">
        <f>'Model-BS'!#REF!</f>
        <v>#REF!</v>
      </c>
      <c r="BA73" s="65" t="e">
        <f>'Model-BS'!#REF!</f>
        <v>#REF!</v>
      </c>
      <c r="BB73" s="65" t="e">
        <f>'Model-BS'!#REF!</f>
        <v>#REF!</v>
      </c>
      <c r="BC73" s="65" t="e">
        <f>'Model-BS'!#REF!</f>
        <v>#REF!</v>
      </c>
      <c r="BD73" s="65" t="e">
        <f>'Model-BS'!#REF!</f>
        <v>#REF!</v>
      </c>
      <c r="BE73" s="65" t="e">
        <f>'Model-BS'!P120</f>
        <v>#REF!</v>
      </c>
      <c r="BF73" s="65" t="e">
        <f>'Model-BS'!#REF!</f>
        <v>#REF!</v>
      </c>
      <c r="BG73" s="65" t="e">
        <f>'Model-BS'!#REF!</f>
        <v>#REF!</v>
      </c>
      <c r="BH73" s="65" t="e">
        <f>'Model-BS'!#REF!</f>
        <v>#REF!</v>
      </c>
      <c r="BI73" s="65" t="e">
        <f>'Model-BS'!#REF!</f>
        <v>#REF!</v>
      </c>
      <c r="BJ73" s="65" t="e">
        <f>'Model-BS'!#REF!</f>
        <v>#REF!</v>
      </c>
      <c r="BK73" s="65" t="e">
        <f>'Model-BS'!#REF!</f>
        <v>#REF!</v>
      </c>
      <c r="BL73" s="65" t="e">
        <f>'Model-BS'!Q120</f>
        <v>#REF!</v>
      </c>
      <c r="BM73" s="65" t="e">
        <f>'Model-BS'!R347</f>
        <v>#REF!</v>
      </c>
      <c r="BN73" s="65" t="e">
        <f>'Model-BS'!S347</f>
        <v>#REF!</v>
      </c>
      <c r="BO73" s="65" t="e">
        <f>'Model-BS'!T347</f>
        <v>#REF!</v>
      </c>
      <c r="BP73" s="65" t="e">
        <f>'Model-BS'!U347</f>
        <v>#REF!</v>
      </c>
      <c r="BQ73" s="65" t="e">
        <f>'Model-BS'!AB347</f>
        <v>#REF!</v>
      </c>
      <c r="BR73" s="65" t="e">
        <f>'Model-BS'!AI347</f>
        <v>#REF!</v>
      </c>
      <c r="BS73" s="65" t="e">
        <f>'Model-BS'!AP347</f>
        <v>#REF!</v>
      </c>
      <c r="BT73" s="65" t="e">
        <f>'Model-BS'!AW347</f>
        <v>#REF!</v>
      </c>
      <c r="BU73" s="65" t="e">
        <f>'Model-BS'!BD347</f>
        <v>#REF!</v>
      </c>
      <c r="BV73" s="65" t="e">
        <f>'Model-BS'!BK347</f>
        <v>#REF!</v>
      </c>
      <c r="BW73" s="65" t="e">
        <f>'Model-BS'!BL347</f>
        <v>#REF!</v>
      </c>
      <c r="BX73" s="65" t="e">
        <f>'Model-BS'!BM347</f>
        <v>#REF!</v>
      </c>
      <c r="BY73" s="65" t="e">
        <f>'Model-BS'!BN347</f>
        <v>#REF!</v>
      </c>
      <c r="BZ73" s="65" t="e">
        <f>'Model-BS'!BO347</f>
        <v>#REF!</v>
      </c>
    </row>
    <row r="74" spans="2:78">
      <c r="B74" s="66" t="s">
        <v>66</v>
      </c>
      <c r="C74" s="66"/>
      <c r="D74" s="66"/>
      <c r="E74" s="66"/>
      <c r="F74" s="66"/>
      <c r="G74" s="66"/>
      <c r="H74" s="66"/>
      <c r="I74" s="66"/>
      <c r="J74" s="66"/>
      <c r="K74" s="66"/>
      <c r="L74" s="66"/>
      <c r="M74" s="66"/>
      <c r="N74" s="66"/>
      <c r="O74" s="66"/>
      <c r="P74" s="66"/>
      <c r="Q74" s="66"/>
      <c r="R74" s="66"/>
      <c r="S74" s="66"/>
      <c r="T74" s="66"/>
      <c r="U74" s="66"/>
      <c r="V74" s="66"/>
      <c r="W74" s="66"/>
      <c r="X74" s="66"/>
      <c r="Y74" s="66"/>
      <c r="Z74" s="66"/>
      <c r="AA74" s="66"/>
      <c r="AB74" s="66"/>
      <c r="AC74" s="66"/>
      <c r="AD74" s="66"/>
      <c r="AE74" s="66"/>
      <c r="AF74" s="66"/>
      <c r="AG74" s="66"/>
      <c r="AH74" s="66"/>
      <c r="AI74" s="66"/>
      <c r="AJ74" s="66"/>
      <c r="AK74" s="66"/>
      <c r="AL74" s="66"/>
      <c r="AM74" s="66"/>
      <c r="AN74" s="66"/>
      <c r="AO74" s="66"/>
      <c r="AP74" s="66"/>
      <c r="AQ74" s="66"/>
      <c r="AR74" s="66"/>
      <c r="AS74" s="66"/>
      <c r="AT74" s="66"/>
      <c r="AU74" s="66"/>
      <c r="AV74" s="66"/>
      <c r="AW74" s="66"/>
      <c r="AX74" s="66"/>
      <c r="AY74" s="66"/>
      <c r="AZ74" s="66"/>
      <c r="BA74" s="66"/>
      <c r="BB74" s="66"/>
      <c r="BC74" s="66"/>
      <c r="BD74" s="66"/>
      <c r="BE74" s="66"/>
      <c r="BF74" s="66"/>
      <c r="BG74" s="66"/>
      <c r="BH74" s="66"/>
      <c r="BI74" s="66"/>
      <c r="BJ74" s="66"/>
      <c r="BK74" s="66"/>
      <c r="BL74" s="66"/>
      <c r="BM74" s="66">
        <f>'Model-BS'!R348</f>
        <v>0</v>
      </c>
      <c r="BN74" s="66"/>
      <c r="BO74" s="66"/>
      <c r="BP74" s="66"/>
      <c r="BQ74" s="66"/>
      <c r="BR74" s="66"/>
      <c r="BS74" s="66"/>
      <c r="BT74" s="66"/>
      <c r="BU74" s="283">
        <f>'Model-BS'!BD348</f>
        <v>0</v>
      </c>
      <c r="BV74" s="283">
        <f>'Model-BS'!BK348</f>
        <v>0</v>
      </c>
      <c r="BW74" s="283">
        <f ca="1">'Model-BS'!BL348</f>
        <v>0</v>
      </c>
      <c r="BX74" s="283">
        <f ca="1">'Model-BS'!BM348</f>
        <v>0</v>
      </c>
      <c r="BY74" s="283">
        <f>'Model-BS'!BN348</f>
        <v>0</v>
      </c>
      <c r="BZ74" s="283">
        <f>'Model-BS'!BO348</f>
        <v>0</v>
      </c>
    </row>
    <row r="75" spans="2:78">
      <c r="B75" s="67" t="s">
        <v>67</v>
      </c>
      <c r="C75" s="67"/>
      <c r="D75" s="67"/>
      <c r="E75" s="68"/>
      <c r="F75" s="68"/>
      <c r="G75" s="68"/>
      <c r="H75" s="68"/>
      <c r="I75" s="68"/>
      <c r="J75" s="68"/>
      <c r="K75" s="68"/>
      <c r="L75" s="68"/>
      <c r="M75" s="68"/>
      <c r="N75" s="68"/>
      <c r="O75" s="68"/>
      <c r="P75" s="68"/>
      <c r="Q75" s="68"/>
      <c r="R75" s="68"/>
      <c r="S75" s="68"/>
      <c r="T75" s="68"/>
      <c r="U75" s="68"/>
      <c r="V75" s="68"/>
      <c r="W75" s="68"/>
      <c r="X75" s="68"/>
      <c r="Y75" s="68"/>
      <c r="Z75" s="68"/>
      <c r="AA75" s="68"/>
      <c r="AB75" s="68"/>
      <c r="AC75" s="68"/>
      <c r="AD75" s="68"/>
      <c r="AE75" s="68"/>
      <c r="AF75" s="68"/>
      <c r="AG75" s="68"/>
      <c r="AH75" s="68"/>
      <c r="AI75" s="68"/>
      <c r="AJ75" s="68"/>
      <c r="AK75" s="68"/>
      <c r="AL75" s="68"/>
      <c r="AM75" s="68"/>
      <c r="AN75" s="68"/>
      <c r="AO75" s="68"/>
      <c r="AP75" s="68"/>
      <c r="AQ75" s="68"/>
      <c r="AR75" s="68"/>
      <c r="AS75" s="68"/>
      <c r="AT75" s="68"/>
      <c r="AU75" s="68"/>
      <c r="AV75" s="68"/>
      <c r="AW75" s="68"/>
      <c r="AX75" s="68"/>
      <c r="AY75" s="68"/>
      <c r="AZ75" s="68"/>
      <c r="BA75" s="68"/>
      <c r="BB75" s="68"/>
      <c r="BC75" s="68"/>
      <c r="BD75" s="68"/>
      <c r="BE75" s="68"/>
      <c r="BF75" s="68"/>
      <c r="BG75" s="68"/>
      <c r="BH75" s="68"/>
      <c r="BI75" s="68"/>
      <c r="BJ75" s="68"/>
      <c r="BK75" s="68"/>
      <c r="BL75" s="68"/>
      <c r="BM75" s="284"/>
      <c r="BN75" s="284"/>
      <c r="BO75" s="284"/>
      <c r="BP75" s="284"/>
      <c r="BQ75" s="284"/>
      <c r="BR75" s="284"/>
      <c r="BS75" s="284"/>
      <c r="BT75" s="284"/>
      <c r="BU75" s="226" t="e">
        <f t="shared" ref="BU75:BZ75" si="36">BU73/BU74</f>
        <v>#REF!</v>
      </c>
      <c r="BV75" s="226" t="e">
        <f t="shared" si="36"/>
        <v>#REF!</v>
      </c>
      <c r="BW75" s="226" t="e">
        <f t="shared" ca="1" si="36"/>
        <v>#REF!</v>
      </c>
      <c r="BX75" s="226" t="e">
        <f t="shared" ca="1" si="36"/>
        <v>#REF!</v>
      </c>
      <c r="BY75" s="226" t="e">
        <f t="shared" si="36"/>
        <v>#REF!</v>
      </c>
      <c r="BZ75" s="226" t="e">
        <f t="shared" si="36"/>
        <v>#REF!</v>
      </c>
    </row>
    <row r="76" spans="2:78">
      <c r="B76" s="66" t="s">
        <v>68</v>
      </c>
      <c r="C76" s="66"/>
      <c r="D76" s="66" t="e">
        <f t="shared" ref="D76:AI76" si="37">D54/D72</f>
        <v>#DIV/0!</v>
      </c>
      <c r="E76" s="66" t="e">
        <f t="shared" si="37"/>
        <v>#REF!</v>
      </c>
      <c r="F76" s="66" t="e">
        <f t="shared" si="37"/>
        <v>#REF!</v>
      </c>
      <c r="G76" s="66" t="e">
        <f t="shared" si="37"/>
        <v>#REF!</v>
      </c>
      <c r="H76" s="66" t="e">
        <f t="shared" si="37"/>
        <v>#REF!</v>
      </c>
      <c r="I76" s="66" t="e">
        <f t="shared" si="37"/>
        <v>#REF!</v>
      </c>
      <c r="J76" s="66" t="e">
        <f t="shared" si="37"/>
        <v>#REF!</v>
      </c>
      <c r="K76" s="66" t="e">
        <f t="shared" si="37"/>
        <v>#REF!</v>
      </c>
      <c r="L76" s="66" t="e">
        <f t="shared" si="37"/>
        <v>#REF!</v>
      </c>
      <c r="M76" s="66" t="e">
        <f t="shared" si="37"/>
        <v>#REF!</v>
      </c>
      <c r="N76" s="66" t="e">
        <f t="shared" si="37"/>
        <v>#REF!</v>
      </c>
      <c r="O76" s="66" t="e">
        <f t="shared" si="37"/>
        <v>#REF!</v>
      </c>
      <c r="P76" s="66" t="e">
        <f t="shared" si="37"/>
        <v>#REF!</v>
      </c>
      <c r="Q76" s="66" t="e">
        <f t="shared" si="37"/>
        <v>#REF!</v>
      </c>
      <c r="R76" s="66" t="e">
        <f t="shared" si="37"/>
        <v>#REF!</v>
      </c>
      <c r="S76" s="66" t="e">
        <f t="shared" si="37"/>
        <v>#REF!</v>
      </c>
      <c r="T76" s="66" t="e">
        <f t="shared" si="37"/>
        <v>#REF!</v>
      </c>
      <c r="U76" s="66" t="e">
        <f t="shared" si="37"/>
        <v>#REF!</v>
      </c>
      <c r="V76" s="66" t="e">
        <f t="shared" si="37"/>
        <v>#REF!</v>
      </c>
      <c r="W76" s="66" t="e">
        <f t="shared" si="37"/>
        <v>#REF!</v>
      </c>
      <c r="X76" s="66" t="e">
        <f t="shared" si="37"/>
        <v>#REF!</v>
      </c>
      <c r="Y76" s="66" t="e">
        <f t="shared" si="37"/>
        <v>#REF!</v>
      </c>
      <c r="Z76" s="66" t="e">
        <f t="shared" si="37"/>
        <v>#REF!</v>
      </c>
      <c r="AA76" s="66" t="e">
        <f t="shared" si="37"/>
        <v>#REF!</v>
      </c>
      <c r="AB76" s="66" t="e">
        <f t="shared" si="37"/>
        <v>#REF!</v>
      </c>
      <c r="AC76" s="66" t="e">
        <f t="shared" si="37"/>
        <v>#REF!</v>
      </c>
      <c r="AD76" s="66" t="e">
        <f t="shared" si="37"/>
        <v>#REF!</v>
      </c>
      <c r="AE76" s="66" t="e">
        <f t="shared" si="37"/>
        <v>#REF!</v>
      </c>
      <c r="AF76" s="66" t="e">
        <f t="shared" si="37"/>
        <v>#REF!</v>
      </c>
      <c r="AG76" s="66" t="e">
        <f t="shared" si="37"/>
        <v>#REF!</v>
      </c>
      <c r="AH76" s="66" t="e">
        <f t="shared" si="37"/>
        <v>#REF!</v>
      </c>
      <c r="AI76" s="66" t="e">
        <f t="shared" si="37"/>
        <v>#REF!</v>
      </c>
      <c r="AJ76" s="66" t="e">
        <f t="shared" ref="AJ76:BO76" si="38">AJ54/AJ72</f>
        <v>#REF!</v>
      </c>
      <c r="AK76" s="66" t="e">
        <f t="shared" si="38"/>
        <v>#REF!</v>
      </c>
      <c r="AL76" s="66" t="e">
        <f t="shared" si="38"/>
        <v>#REF!</v>
      </c>
      <c r="AM76" s="66" t="e">
        <f t="shared" si="38"/>
        <v>#REF!</v>
      </c>
      <c r="AN76" s="66" t="e">
        <f t="shared" si="38"/>
        <v>#REF!</v>
      </c>
      <c r="AO76" s="66" t="e">
        <f t="shared" si="38"/>
        <v>#REF!</v>
      </c>
      <c r="AP76" s="66" t="e">
        <f t="shared" si="38"/>
        <v>#REF!</v>
      </c>
      <c r="AQ76" s="66" t="e">
        <f t="shared" si="38"/>
        <v>#REF!</v>
      </c>
      <c r="AR76" s="66" t="e">
        <f t="shared" si="38"/>
        <v>#REF!</v>
      </c>
      <c r="AS76" s="66" t="e">
        <f t="shared" si="38"/>
        <v>#REF!</v>
      </c>
      <c r="AT76" s="66" t="e">
        <f t="shared" si="38"/>
        <v>#REF!</v>
      </c>
      <c r="AU76" s="66" t="e">
        <f t="shared" si="38"/>
        <v>#REF!</v>
      </c>
      <c r="AV76" s="66" t="e">
        <f t="shared" si="38"/>
        <v>#REF!</v>
      </c>
      <c r="AW76" s="66" t="e">
        <f t="shared" si="38"/>
        <v>#REF!</v>
      </c>
      <c r="AX76" s="66" t="e">
        <f t="shared" si="38"/>
        <v>#REF!</v>
      </c>
      <c r="AY76" s="66" t="e">
        <f t="shared" si="38"/>
        <v>#REF!</v>
      </c>
      <c r="AZ76" s="66" t="e">
        <f t="shared" si="38"/>
        <v>#REF!</v>
      </c>
      <c r="BA76" s="66" t="e">
        <f t="shared" si="38"/>
        <v>#REF!</v>
      </c>
      <c r="BB76" s="66" t="e">
        <f t="shared" si="38"/>
        <v>#REF!</v>
      </c>
      <c r="BC76" s="66" t="e">
        <f t="shared" si="38"/>
        <v>#REF!</v>
      </c>
      <c r="BD76" s="66" t="e">
        <f t="shared" si="38"/>
        <v>#REF!</v>
      </c>
      <c r="BE76" s="66" t="e">
        <f t="shared" si="38"/>
        <v>#REF!</v>
      </c>
      <c r="BF76" s="66" t="e">
        <f t="shared" si="38"/>
        <v>#REF!</v>
      </c>
      <c r="BG76" s="66" t="e">
        <f t="shared" si="38"/>
        <v>#REF!</v>
      </c>
      <c r="BH76" s="66" t="e">
        <f t="shared" si="38"/>
        <v>#REF!</v>
      </c>
      <c r="BI76" s="66" t="e">
        <f t="shared" si="38"/>
        <v>#REF!</v>
      </c>
      <c r="BJ76" s="66" t="e">
        <f t="shared" si="38"/>
        <v>#REF!</v>
      </c>
      <c r="BK76" s="66" t="e">
        <f t="shared" si="38"/>
        <v>#REF!</v>
      </c>
      <c r="BL76" s="66" t="e">
        <f t="shared" si="38"/>
        <v>#REF!</v>
      </c>
      <c r="BM76" s="66" t="e">
        <f t="shared" si="38"/>
        <v>#REF!</v>
      </c>
      <c r="BN76" s="66" t="e">
        <f t="shared" si="38"/>
        <v>#REF!</v>
      </c>
      <c r="BO76" s="66" t="e">
        <f t="shared" si="38"/>
        <v>#REF!</v>
      </c>
      <c r="BP76" s="66" t="e">
        <f t="shared" ref="BP76:BX76" si="39">BP54/BP72</f>
        <v>#REF!</v>
      </c>
      <c r="BQ76" s="66" t="e">
        <f t="shared" si="39"/>
        <v>#REF!</v>
      </c>
      <c r="BR76" s="66" t="e">
        <f t="shared" si="39"/>
        <v>#REF!</v>
      </c>
      <c r="BS76" s="66" t="e">
        <f t="shared" si="39"/>
        <v>#REF!</v>
      </c>
      <c r="BT76" s="66" t="e">
        <f t="shared" si="39"/>
        <v>#REF!</v>
      </c>
      <c r="BU76" s="66" t="e">
        <f t="shared" si="39"/>
        <v>#REF!</v>
      </c>
      <c r="BV76" s="66" t="e">
        <f t="shared" si="39"/>
        <v>#REF!</v>
      </c>
      <c r="BW76" s="66" t="e">
        <f t="shared" si="39"/>
        <v>#REF!</v>
      </c>
      <c r="BX76" s="66" t="e">
        <f t="shared" si="39"/>
        <v>#REF!</v>
      </c>
      <c r="BY76" s="66" t="e">
        <f t="shared" ref="BY76:BZ76" si="40">BY54/BY72</f>
        <v>#REF!</v>
      </c>
      <c r="BZ76" s="66" t="e">
        <f t="shared" si="40"/>
        <v>#REF!</v>
      </c>
    </row>
    <row r="77" spans="2:78">
      <c r="B77" s="66" t="s">
        <v>69</v>
      </c>
      <c r="C77" s="66"/>
      <c r="D77" s="66">
        <f>[70]Model!I93</f>
        <v>0</v>
      </c>
      <c r="E77" s="66" t="e">
        <f>'Model-BS'!F122</f>
        <v>#DIV/0!</v>
      </c>
      <c r="F77" s="66" t="e">
        <f>'Model-BS'!G122</f>
        <v>#DIV/0!</v>
      </c>
      <c r="G77" s="66" t="e">
        <f>'Model-BS'!H122</f>
        <v>#DIV/0!</v>
      </c>
      <c r="H77" s="66" t="e">
        <f>'Model-BS'!I122</f>
        <v>#DIV/0!</v>
      </c>
      <c r="I77" s="66" t="e">
        <f>'Model-BS'!#REF!</f>
        <v>#REF!</v>
      </c>
      <c r="J77" s="66" t="e">
        <f>'Model-BS'!#REF!</f>
        <v>#REF!</v>
      </c>
      <c r="K77" s="66" t="e">
        <f>'Model-BS'!#REF!</f>
        <v>#REF!</v>
      </c>
      <c r="L77" s="66" t="e">
        <f>'Model-BS'!#REF!</f>
        <v>#REF!</v>
      </c>
      <c r="M77" s="66" t="e">
        <f>'Model-BS'!#REF!</f>
        <v>#REF!</v>
      </c>
      <c r="N77" s="66" t="e">
        <f>'Model-BS'!#REF!</f>
        <v>#REF!</v>
      </c>
      <c r="O77" s="66" t="e">
        <f>'Model-BS'!J122</f>
        <v>#DIV/0!</v>
      </c>
      <c r="P77" s="66" t="e">
        <f>'Model-BS'!#REF!</f>
        <v>#REF!</v>
      </c>
      <c r="Q77" s="66" t="e">
        <f>'Model-BS'!#REF!</f>
        <v>#REF!</v>
      </c>
      <c r="R77" s="66" t="e">
        <f>'Model-BS'!#REF!</f>
        <v>#REF!</v>
      </c>
      <c r="S77" s="66" t="e">
        <f>'Model-BS'!#REF!</f>
        <v>#REF!</v>
      </c>
      <c r="T77" s="66" t="e">
        <f>'Model-BS'!#REF!</f>
        <v>#REF!</v>
      </c>
      <c r="U77" s="66" t="e">
        <f>'Model-BS'!#REF!</f>
        <v>#REF!</v>
      </c>
      <c r="V77" s="66" t="e">
        <f>'Model-BS'!K122</f>
        <v>#DIV/0!</v>
      </c>
      <c r="W77" s="66" t="e">
        <f>'Model-BS'!#REF!</f>
        <v>#REF!</v>
      </c>
      <c r="X77" s="66" t="e">
        <f>'Model-BS'!#REF!</f>
        <v>#REF!</v>
      </c>
      <c r="Y77" s="66" t="e">
        <f>'Model-BS'!#REF!</f>
        <v>#REF!</v>
      </c>
      <c r="Z77" s="66" t="e">
        <f>'Model-BS'!#REF!</f>
        <v>#REF!</v>
      </c>
      <c r="AA77" s="66" t="e">
        <f>'Model-BS'!#REF!</f>
        <v>#REF!</v>
      </c>
      <c r="AB77" s="66" t="e">
        <f>'Model-BS'!#REF!</f>
        <v>#REF!</v>
      </c>
      <c r="AC77" s="66" t="e">
        <f>'Model-BS'!L122</f>
        <v>#DIV/0!</v>
      </c>
      <c r="AD77" s="66" t="e">
        <f>'Model-BS'!#REF!</f>
        <v>#REF!</v>
      </c>
      <c r="AE77" s="66" t="e">
        <f>'Model-BS'!#REF!</f>
        <v>#REF!</v>
      </c>
      <c r="AF77" s="66" t="e">
        <f>'Model-BS'!#REF!</f>
        <v>#REF!</v>
      </c>
      <c r="AG77" s="66" t="e">
        <f>'Model-BS'!#REF!</f>
        <v>#REF!</v>
      </c>
      <c r="AH77" s="66" t="e">
        <f>'Model-BS'!#REF!</f>
        <v>#REF!</v>
      </c>
      <c r="AI77" s="66" t="e">
        <f>'Model-BS'!#REF!</f>
        <v>#REF!</v>
      </c>
      <c r="AJ77" s="66" t="e">
        <f>'Model-BS'!M122</f>
        <v>#DIV/0!</v>
      </c>
      <c r="AK77" s="66" t="e">
        <f>'Model-BS'!#REF!</f>
        <v>#REF!</v>
      </c>
      <c r="AL77" s="66" t="e">
        <f>'Model-BS'!#REF!</f>
        <v>#REF!</v>
      </c>
      <c r="AM77" s="66" t="e">
        <f>'Model-BS'!#REF!</f>
        <v>#REF!</v>
      </c>
      <c r="AN77" s="66" t="e">
        <f>'Model-BS'!#REF!</f>
        <v>#REF!</v>
      </c>
      <c r="AO77" s="66" t="e">
        <f>'Model-BS'!#REF!</f>
        <v>#REF!</v>
      </c>
      <c r="AP77" s="66" t="e">
        <f>'Model-BS'!#REF!</f>
        <v>#REF!</v>
      </c>
      <c r="AQ77" s="66" t="e">
        <f>'Model-BS'!N122</f>
        <v>#DIV/0!</v>
      </c>
      <c r="AR77" s="66" t="e">
        <f>'Model-BS'!#REF!</f>
        <v>#REF!</v>
      </c>
      <c r="AS77" s="66" t="e">
        <f>'Model-BS'!#REF!</f>
        <v>#REF!</v>
      </c>
      <c r="AT77" s="66" t="e">
        <f>'Model-BS'!#REF!</f>
        <v>#REF!</v>
      </c>
      <c r="AU77" s="66" t="e">
        <f>'Model-BS'!#REF!</f>
        <v>#REF!</v>
      </c>
      <c r="AV77" s="66" t="e">
        <f>'Model-BS'!#REF!</f>
        <v>#REF!</v>
      </c>
      <c r="AW77" s="66" t="e">
        <f>'Model-BS'!#REF!</f>
        <v>#REF!</v>
      </c>
      <c r="AX77" s="66" t="e">
        <f>'Model-BS'!O122</f>
        <v>#DIV/0!</v>
      </c>
      <c r="AY77" s="66" t="e">
        <f>'Model-BS'!#REF!</f>
        <v>#REF!</v>
      </c>
      <c r="AZ77" s="66" t="e">
        <f>'Model-BS'!#REF!</f>
        <v>#REF!</v>
      </c>
      <c r="BA77" s="66" t="e">
        <f>'Model-BS'!#REF!</f>
        <v>#REF!</v>
      </c>
      <c r="BB77" s="66" t="e">
        <f>'Model-BS'!#REF!</f>
        <v>#REF!</v>
      </c>
      <c r="BC77" s="66" t="e">
        <f>'Model-BS'!#REF!</f>
        <v>#REF!</v>
      </c>
      <c r="BD77" s="66" t="e">
        <f>'Model-BS'!#REF!</f>
        <v>#REF!</v>
      </c>
      <c r="BE77" s="66" t="e">
        <f>'Model-BS'!P122</f>
        <v>#DIV/0!</v>
      </c>
      <c r="BF77" s="66" t="e">
        <f>'Model-BS'!#REF!</f>
        <v>#REF!</v>
      </c>
      <c r="BG77" s="66" t="e">
        <f>'Model-BS'!#REF!</f>
        <v>#REF!</v>
      </c>
      <c r="BH77" s="66" t="e">
        <f>'Model-BS'!#REF!</f>
        <v>#REF!</v>
      </c>
      <c r="BI77" s="66" t="e">
        <f>'Model-BS'!#REF!</f>
        <v>#REF!</v>
      </c>
      <c r="BJ77" s="66" t="e">
        <f>'Model-BS'!#REF!</f>
        <v>#REF!</v>
      </c>
      <c r="BK77" s="66" t="e">
        <f>'Model-BS'!#REF!</f>
        <v>#REF!</v>
      </c>
      <c r="BL77" s="66" t="e">
        <f>'Model-BS'!Q122</f>
        <v>#DIV/0!</v>
      </c>
      <c r="BM77" s="66" t="e">
        <f>'Model-BS'!R122</f>
        <v>#DIV/0!</v>
      </c>
      <c r="BN77" s="66" t="e">
        <f>'Model-BS'!S122</f>
        <v>#DIV/0!</v>
      </c>
      <c r="BO77" s="66" t="e">
        <f>'Model-BS'!T122</f>
        <v>#DIV/0!</v>
      </c>
      <c r="BP77" s="66" t="e">
        <f>'Model-BS'!U122</f>
        <v>#DIV/0!</v>
      </c>
      <c r="BQ77" s="66" t="e">
        <f>'Model-BS'!AB122</f>
        <v>#DIV/0!</v>
      </c>
      <c r="BR77" s="66" t="e">
        <f>'Model-BS'!AI122</f>
        <v>#DIV/0!</v>
      </c>
      <c r="BS77" s="66" t="e">
        <f>'Model-BS'!AP122</f>
        <v>#DIV/0!</v>
      </c>
      <c r="BT77" s="66" t="e">
        <f>'Model-BS'!AW122</f>
        <v>#DIV/0!</v>
      </c>
      <c r="BU77" s="66" t="e">
        <f>'Model-BS'!BD122</f>
        <v>#DIV/0!</v>
      </c>
      <c r="BV77" s="66" t="e">
        <f>'Model-BS'!BK122</f>
        <v>#DIV/0!</v>
      </c>
      <c r="BW77" s="66" t="e">
        <f>'Model-BS'!BL122</f>
        <v>#REF!</v>
      </c>
      <c r="BX77" s="66" t="e">
        <f>'Model-BS'!BM122</f>
        <v>#REF!</v>
      </c>
      <c r="BY77" s="66" t="e">
        <f>'Model-BS'!BN122</f>
        <v>#REF!</v>
      </c>
      <c r="BZ77" s="66" t="e">
        <f>'Model-BS'!BO122</f>
        <v>#REF!</v>
      </c>
    </row>
    <row r="78" spans="2:78">
      <c r="B78" s="69" t="s">
        <v>70</v>
      </c>
      <c r="C78" s="69"/>
      <c r="D78" s="70" t="e">
        <f>#REF!/D73</f>
        <v>#REF!</v>
      </c>
      <c r="E78" s="70" t="e">
        <f>#REF!/E73</f>
        <v>#REF!</v>
      </c>
      <c r="F78" s="70" t="e">
        <f>#REF!/F73</f>
        <v>#REF!</v>
      </c>
      <c r="G78" s="70" t="e">
        <f>#REF!/G73</f>
        <v>#REF!</v>
      </c>
      <c r="H78" s="70" t="e">
        <f>#REF!/H73</f>
        <v>#REF!</v>
      </c>
      <c r="I78" s="70" t="e">
        <f>#REF!/I73</f>
        <v>#REF!</v>
      </c>
      <c r="J78" s="70" t="e">
        <f>#REF!/J73</f>
        <v>#REF!</v>
      </c>
      <c r="K78" s="70" t="e">
        <f>#REF!/K73</f>
        <v>#REF!</v>
      </c>
      <c r="L78" s="70" t="e">
        <f>#REF!/L73</f>
        <v>#REF!</v>
      </c>
      <c r="M78" s="70" t="e">
        <f>#REF!/M73</f>
        <v>#REF!</v>
      </c>
      <c r="N78" s="70" t="e">
        <f>#REF!/N73</f>
        <v>#REF!</v>
      </c>
      <c r="O78" s="70" t="e">
        <f>#REF!/O73</f>
        <v>#REF!</v>
      </c>
      <c r="P78" s="70" t="e">
        <f>#REF!/P73</f>
        <v>#REF!</v>
      </c>
      <c r="Q78" s="70" t="e">
        <f>#REF!/Q73</f>
        <v>#REF!</v>
      </c>
      <c r="R78" s="70" t="e">
        <f>#REF!/R73</f>
        <v>#REF!</v>
      </c>
      <c r="S78" s="70" t="e">
        <f>#REF!/S73</f>
        <v>#REF!</v>
      </c>
      <c r="T78" s="70" t="e">
        <f>#REF!/T73</f>
        <v>#REF!</v>
      </c>
      <c r="U78" s="70" t="e">
        <f>#REF!/U73</f>
        <v>#REF!</v>
      </c>
      <c r="V78" s="70" t="e">
        <f>#REF!/V73</f>
        <v>#REF!</v>
      </c>
      <c r="W78" s="70" t="e">
        <f>#REF!/W73</f>
        <v>#REF!</v>
      </c>
      <c r="X78" s="70" t="e">
        <f>#REF!/X73</f>
        <v>#REF!</v>
      </c>
      <c r="Y78" s="70" t="e">
        <f>#REF!/Y73</f>
        <v>#REF!</v>
      </c>
      <c r="Z78" s="70" t="e">
        <f>#REF!/Z73</f>
        <v>#REF!</v>
      </c>
      <c r="AA78" s="70" t="e">
        <f>#REF!/AA73</f>
        <v>#REF!</v>
      </c>
      <c r="AB78" s="70" t="e">
        <f>#REF!/AB73</f>
        <v>#REF!</v>
      </c>
      <c r="AC78" s="70" t="e">
        <f>#REF!/AC73</f>
        <v>#REF!</v>
      </c>
      <c r="AD78" s="70" t="e">
        <f>#REF!/AD73</f>
        <v>#REF!</v>
      </c>
      <c r="AE78" s="70" t="e">
        <f>#REF!/AE73</f>
        <v>#REF!</v>
      </c>
      <c r="AF78" s="70" t="e">
        <f>#REF!/AF73</f>
        <v>#REF!</v>
      </c>
      <c r="AG78" s="70" t="e">
        <f>#REF!/AG73</f>
        <v>#REF!</v>
      </c>
      <c r="AH78" s="70" t="e">
        <f>#REF!/AH73</f>
        <v>#REF!</v>
      </c>
      <c r="AI78" s="70" t="e">
        <f>#REF!/AI73</f>
        <v>#REF!</v>
      </c>
      <c r="AJ78" s="70" t="e">
        <f>#REF!/AJ73</f>
        <v>#REF!</v>
      </c>
      <c r="AK78" s="70" t="e">
        <f>#REF!/AK73</f>
        <v>#REF!</v>
      </c>
      <c r="AL78" s="70" t="e">
        <f>#REF!/AL73</f>
        <v>#REF!</v>
      </c>
      <c r="AM78" s="70" t="e">
        <f>#REF!/AM73</f>
        <v>#REF!</v>
      </c>
      <c r="AN78" s="70" t="e">
        <f>#REF!/AN73</f>
        <v>#REF!</v>
      </c>
      <c r="AO78" s="70" t="e">
        <f>#REF!/AO73</f>
        <v>#REF!</v>
      </c>
      <c r="AP78" s="70" t="e">
        <f>#REF!/AP73</f>
        <v>#REF!</v>
      </c>
      <c r="AQ78" s="70" t="e">
        <f>#REF!/AQ73</f>
        <v>#REF!</v>
      </c>
      <c r="AR78" s="70" t="e">
        <f>#REF!/AR73</f>
        <v>#REF!</v>
      </c>
      <c r="AS78" s="70" t="e">
        <f>#REF!/AS73</f>
        <v>#REF!</v>
      </c>
      <c r="AT78" s="70" t="e">
        <f>#REF!/AT73</f>
        <v>#REF!</v>
      </c>
      <c r="AU78" s="70" t="e">
        <f>#REF!/AU73</f>
        <v>#REF!</v>
      </c>
      <c r="AV78" s="70" t="e">
        <f>#REF!/AV73</f>
        <v>#REF!</v>
      </c>
      <c r="AW78" s="70" t="e">
        <f>#REF!/AW73</f>
        <v>#REF!</v>
      </c>
      <c r="AX78" s="70" t="e">
        <f>#REF!/AX73</f>
        <v>#REF!</v>
      </c>
      <c r="AY78" s="70" t="e">
        <f>#REF!/AY73</f>
        <v>#REF!</v>
      </c>
      <c r="AZ78" s="70" t="e">
        <f>#REF!/AZ73</f>
        <v>#REF!</v>
      </c>
      <c r="BA78" s="70" t="e">
        <f>#REF!/BA73</f>
        <v>#REF!</v>
      </c>
      <c r="BB78" s="70" t="e">
        <f>#REF!/BB73</f>
        <v>#REF!</v>
      </c>
      <c r="BC78" s="70" t="e">
        <f>#REF!/BC73</f>
        <v>#REF!</v>
      </c>
      <c r="BD78" s="70" t="e">
        <f>#REF!/BD73</f>
        <v>#REF!</v>
      </c>
      <c r="BE78" s="70" t="e">
        <f>#REF!/BE73</f>
        <v>#REF!</v>
      </c>
      <c r="BF78" s="70" t="e">
        <f>#REF!/BF73</f>
        <v>#REF!</v>
      </c>
      <c r="BG78" s="70" t="e">
        <f>#REF!/BG73</f>
        <v>#REF!</v>
      </c>
      <c r="BH78" s="70" t="e">
        <f>#REF!/BH73</f>
        <v>#REF!</v>
      </c>
      <c r="BI78" s="70" t="e">
        <f>#REF!/BI73</f>
        <v>#REF!</v>
      </c>
      <c r="BJ78" s="70" t="e">
        <f>#REF!/BJ73</f>
        <v>#REF!</v>
      </c>
      <c r="BK78" s="70" t="e">
        <f>#REF!/BK73</f>
        <v>#REF!</v>
      </c>
      <c r="BL78" s="70" t="e">
        <f>#REF!/BL73</f>
        <v>#REF!</v>
      </c>
      <c r="BM78" s="70" t="e">
        <f ca="1">'Model-BS'!R345</f>
        <v>#REF!</v>
      </c>
      <c r="BN78" s="70" t="e">
        <f ca="1">'Model-BS'!S345</f>
        <v>#REF!</v>
      </c>
      <c r="BO78" s="70" t="e">
        <f ca="1">'Model-BS'!T345</f>
        <v>#REF!</v>
      </c>
      <c r="BP78" s="70" t="e">
        <f ca="1">'Model-BS'!U345</f>
        <v>#REF!</v>
      </c>
      <c r="BQ78" s="70" t="e">
        <f ca="1">'Model-BS'!AB345</f>
        <v>#REF!</v>
      </c>
      <c r="BR78" s="70" t="e">
        <f ca="1">'Model-BS'!AI345</f>
        <v>#REF!</v>
      </c>
      <c r="BS78" s="70" t="e">
        <f ca="1">'Model-BS'!AP345</f>
        <v>#REF!</v>
      </c>
      <c r="BT78" s="70" t="e">
        <f ca="1">'Model-BS'!AW345</f>
        <v>#REF!</v>
      </c>
      <c r="BU78" s="70" t="e">
        <f ca="1">'Model-BS'!BD345</f>
        <v>#REF!</v>
      </c>
      <c r="BV78" s="70" t="e">
        <f ca="1">'Model-BS'!BK345</f>
        <v>#REF!</v>
      </c>
      <c r="BW78" s="70" t="e">
        <f ca="1">'Model-BS'!BL345</f>
        <v>#REF!</v>
      </c>
      <c r="BX78" s="70" t="e">
        <f ca="1">'Model-BS'!BM345</f>
        <v>#REF!</v>
      </c>
      <c r="BY78" s="70" t="e">
        <f ca="1">'Model-BS'!BN345</f>
        <v>#REF!</v>
      </c>
      <c r="BZ78" s="70" t="e">
        <f ca="1">'Model-BS'!BO345</f>
        <v>#REF!</v>
      </c>
    </row>
    <row r="79" spans="2:78">
      <c r="B79" s="7" t="s">
        <v>71</v>
      </c>
      <c r="D79" s="71" t="e">
        <f>#REF!/D76</f>
        <v>#REF!</v>
      </c>
      <c r="E79" s="71" t="e">
        <f>#REF!/E76</f>
        <v>#REF!</v>
      </c>
      <c r="F79" s="71" t="e">
        <f>#REF!/F76</f>
        <v>#REF!</v>
      </c>
      <c r="G79" s="71" t="e">
        <f>#REF!/G76</f>
        <v>#REF!</v>
      </c>
      <c r="H79" s="71" t="e">
        <f>#REF!/H76</f>
        <v>#REF!</v>
      </c>
      <c r="I79" s="71" t="e">
        <f>#REF!/I76</f>
        <v>#REF!</v>
      </c>
      <c r="J79" s="71" t="e">
        <f>#REF!/J76</f>
        <v>#REF!</v>
      </c>
      <c r="K79" s="71" t="e">
        <f>#REF!/K76</f>
        <v>#REF!</v>
      </c>
      <c r="L79" s="71" t="e">
        <f>#REF!/L76</f>
        <v>#REF!</v>
      </c>
      <c r="M79" s="71" t="e">
        <f>#REF!/M76</f>
        <v>#REF!</v>
      </c>
      <c r="N79" s="71" t="e">
        <f>#REF!/N76</f>
        <v>#REF!</v>
      </c>
      <c r="O79" s="71" t="e">
        <f>#REF!/O76</f>
        <v>#REF!</v>
      </c>
      <c r="P79" s="71" t="e">
        <f>#REF!/P76</f>
        <v>#REF!</v>
      </c>
      <c r="Q79" s="71" t="e">
        <f>#REF!/Q76</f>
        <v>#REF!</v>
      </c>
      <c r="R79" s="71" t="e">
        <f>#REF!/R76</f>
        <v>#REF!</v>
      </c>
      <c r="S79" s="71" t="e">
        <f>#REF!/S76</f>
        <v>#REF!</v>
      </c>
      <c r="T79" s="71" t="e">
        <f>#REF!/T76</f>
        <v>#REF!</v>
      </c>
      <c r="U79" s="71" t="e">
        <f>#REF!/U76</f>
        <v>#REF!</v>
      </c>
      <c r="V79" s="71" t="e">
        <f>#REF!/V76</f>
        <v>#REF!</v>
      </c>
      <c r="W79" s="71" t="e">
        <f>#REF!/W76</f>
        <v>#REF!</v>
      </c>
      <c r="X79" s="71" t="e">
        <f>#REF!/X76</f>
        <v>#REF!</v>
      </c>
      <c r="Y79" s="71" t="e">
        <f>#REF!/Y76</f>
        <v>#REF!</v>
      </c>
      <c r="Z79" s="71" t="e">
        <f>#REF!/Z76</f>
        <v>#REF!</v>
      </c>
      <c r="AA79" s="71" t="e">
        <f>#REF!/AA76</f>
        <v>#REF!</v>
      </c>
      <c r="AB79" s="71" t="e">
        <f>#REF!/AB76</f>
        <v>#REF!</v>
      </c>
      <c r="AC79" s="71" t="e">
        <f>#REF!/AC76</f>
        <v>#REF!</v>
      </c>
      <c r="AD79" s="71" t="e">
        <f>#REF!/AD76</f>
        <v>#REF!</v>
      </c>
      <c r="AE79" s="71" t="e">
        <f>#REF!/AE76</f>
        <v>#REF!</v>
      </c>
      <c r="AF79" s="71" t="e">
        <f>#REF!/AF76</f>
        <v>#REF!</v>
      </c>
      <c r="AG79" s="71" t="e">
        <f>#REF!/AG76</f>
        <v>#REF!</v>
      </c>
      <c r="AH79" s="71" t="e">
        <f>#REF!/AH76</f>
        <v>#REF!</v>
      </c>
      <c r="AI79" s="71" t="e">
        <f>#REF!/AI76</f>
        <v>#REF!</v>
      </c>
      <c r="AJ79" s="71" t="e">
        <f>#REF!/AJ76</f>
        <v>#REF!</v>
      </c>
      <c r="AK79" s="71" t="e">
        <f>#REF!/AK76</f>
        <v>#REF!</v>
      </c>
      <c r="AL79" s="71" t="e">
        <f>#REF!/AL76</f>
        <v>#REF!</v>
      </c>
      <c r="AM79" s="71" t="e">
        <f>#REF!/AM76</f>
        <v>#REF!</v>
      </c>
      <c r="AN79" s="71" t="e">
        <f>#REF!/AN76</f>
        <v>#REF!</v>
      </c>
      <c r="AO79" s="71" t="e">
        <f>#REF!/AO76</f>
        <v>#REF!</v>
      </c>
      <c r="AP79" s="71" t="e">
        <f>#REF!/AP76</f>
        <v>#REF!</v>
      </c>
      <c r="AQ79" s="71" t="e">
        <f>#REF!/AQ76</f>
        <v>#REF!</v>
      </c>
      <c r="AR79" s="71" t="e">
        <f>#REF!/AR76</f>
        <v>#REF!</v>
      </c>
      <c r="AS79" s="71" t="e">
        <f>#REF!/AS76</f>
        <v>#REF!</v>
      </c>
      <c r="AT79" s="71" t="e">
        <f>#REF!/AT76</f>
        <v>#REF!</v>
      </c>
      <c r="AU79" s="71" t="e">
        <f>#REF!/AU76</f>
        <v>#REF!</v>
      </c>
      <c r="AV79" s="71" t="e">
        <f>#REF!/AV76</f>
        <v>#REF!</v>
      </c>
      <c r="AW79" s="71" t="e">
        <f>#REF!/AW76</f>
        <v>#REF!</v>
      </c>
      <c r="AX79" s="71" t="e">
        <f>#REF!/AX76</f>
        <v>#REF!</v>
      </c>
      <c r="AY79" s="71" t="e">
        <f>#REF!/AY76</f>
        <v>#REF!</v>
      </c>
      <c r="AZ79" s="71" t="e">
        <f>#REF!/AZ76</f>
        <v>#REF!</v>
      </c>
      <c r="BA79" s="71" t="e">
        <f>#REF!/BA76</f>
        <v>#REF!</v>
      </c>
      <c r="BB79" s="71" t="e">
        <f>#REF!/BB76</f>
        <v>#REF!</v>
      </c>
      <c r="BC79" s="71" t="e">
        <f>#REF!/BC76</f>
        <v>#REF!</v>
      </c>
      <c r="BD79" s="71" t="e">
        <f>#REF!/BD76</f>
        <v>#REF!</v>
      </c>
      <c r="BE79" s="71" t="e">
        <f>#REF!/BE76</f>
        <v>#REF!</v>
      </c>
      <c r="BF79" s="71" t="e">
        <f>#REF!/BF76</f>
        <v>#REF!</v>
      </c>
      <c r="BG79" s="71" t="e">
        <f>#REF!/BG76</f>
        <v>#REF!</v>
      </c>
      <c r="BH79" s="71" t="e">
        <f>#REF!/BH76</f>
        <v>#REF!</v>
      </c>
      <c r="BI79" s="71" t="e">
        <f>#REF!/BI76</f>
        <v>#REF!</v>
      </c>
      <c r="BJ79" s="71" t="e">
        <f>#REF!/BJ76</f>
        <v>#REF!</v>
      </c>
      <c r="BK79" s="71" t="e">
        <f>#REF!/BK76</f>
        <v>#REF!</v>
      </c>
      <c r="BL79" s="71" t="e">
        <f>#REF!/BL76</f>
        <v>#REF!</v>
      </c>
      <c r="BM79" s="71" t="e">
        <f ca="1">'Model-BS'!R343</f>
        <v>#REF!</v>
      </c>
      <c r="BN79" s="71" t="e">
        <f ca="1">'Model-BS'!S343</f>
        <v>#REF!</v>
      </c>
      <c r="BO79" s="71" t="e">
        <f ca="1">'Model-BS'!T343</f>
        <v>#REF!</v>
      </c>
      <c r="BP79" s="71" t="e">
        <f ca="1">'Model-BS'!U343</f>
        <v>#REF!</v>
      </c>
      <c r="BQ79" s="71" t="e">
        <f ca="1">'Model-BS'!AB343</f>
        <v>#REF!</v>
      </c>
      <c r="BR79" s="71" t="e">
        <f ca="1">'Model-BS'!AI343</f>
        <v>#REF!</v>
      </c>
      <c r="BS79" s="71" t="e">
        <f ca="1">'Model-BS'!AP343</f>
        <v>#REF!</v>
      </c>
      <c r="BT79" s="71" t="e">
        <f ca="1">'Model-BS'!AW343</f>
        <v>#REF!</v>
      </c>
      <c r="BU79" s="71" t="e">
        <f ca="1">'Model-BS'!BD343</f>
        <v>#REF!</v>
      </c>
      <c r="BV79" s="71" t="e">
        <f ca="1">'Model-BS'!BK343</f>
        <v>#REF!</v>
      </c>
      <c r="BW79" s="71" t="e">
        <f ca="1">'Model-BS'!BL343</f>
        <v>#REF!</v>
      </c>
      <c r="BX79" s="71" t="e">
        <f ca="1">'Model-BS'!BM343</f>
        <v>#REF!</v>
      </c>
      <c r="BY79" s="71" t="e">
        <f ca="1">'Model-BS'!BN343</f>
        <v>#REF!</v>
      </c>
      <c r="BZ79" s="71" t="e">
        <f ca="1">'Model-BS'!BO343</f>
        <v>#REF!</v>
      </c>
    </row>
    <row r="80" spans="2:78">
      <c r="B80" s="72" t="s">
        <v>72</v>
      </c>
      <c r="C80" s="37"/>
      <c r="D80" s="73" t="e">
        <f>D77/#REF!</f>
        <v>#REF!</v>
      </c>
      <c r="E80" s="73" t="e">
        <f>E77/#REF!</f>
        <v>#DIV/0!</v>
      </c>
      <c r="F80" s="73"/>
      <c r="G80" s="73"/>
      <c r="H80" s="73"/>
      <c r="I80" s="73"/>
      <c r="J80" s="73"/>
      <c r="K80" s="73"/>
      <c r="L80" s="73"/>
      <c r="M80" s="73"/>
      <c r="N80" s="73"/>
      <c r="O80" s="73"/>
      <c r="P80" s="73"/>
      <c r="Q80" s="73"/>
      <c r="R80" s="73"/>
      <c r="S80" s="73"/>
      <c r="T80" s="73"/>
      <c r="U80" s="73"/>
      <c r="V80" s="73"/>
      <c r="W80" s="73"/>
      <c r="X80" s="73"/>
      <c r="Y80" s="73"/>
      <c r="Z80" s="73"/>
      <c r="AA80" s="73"/>
      <c r="AB80" s="73"/>
      <c r="AC80" s="73"/>
      <c r="AD80" s="73"/>
      <c r="AE80" s="73"/>
      <c r="AF80" s="73"/>
      <c r="AG80" s="73"/>
      <c r="AH80" s="73"/>
      <c r="AI80" s="73"/>
      <c r="AJ80" s="73"/>
      <c r="AK80" s="73"/>
      <c r="AL80" s="73"/>
      <c r="AM80" s="73"/>
      <c r="AN80" s="73"/>
      <c r="AO80" s="73"/>
      <c r="AP80" s="73"/>
      <c r="AQ80" s="73"/>
      <c r="AR80" s="73"/>
      <c r="AS80" s="73"/>
      <c r="AT80" s="73"/>
      <c r="AU80" s="73"/>
      <c r="AV80" s="73"/>
      <c r="AW80" s="73"/>
      <c r="AX80" s="73"/>
      <c r="AY80" s="73" t="e">
        <f>AY77/#REF!</f>
        <v>#REF!</v>
      </c>
      <c r="AZ80" s="73" t="e">
        <f>AZ77/#REF!</f>
        <v>#REF!</v>
      </c>
      <c r="BA80" s="73" t="e">
        <f>BA77/#REF!</f>
        <v>#REF!</v>
      </c>
      <c r="BB80" s="73" t="e">
        <f>BB77/#REF!</f>
        <v>#REF!</v>
      </c>
      <c r="BC80" s="73" t="e">
        <f>BC77/#REF!</f>
        <v>#REF!</v>
      </c>
      <c r="BD80" s="73" t="e">
        <f>BD77/#REF!</f>
        <v>#REF!</v>
      </c>
      <c r="BE80" s="73" t="e">
        <f>BE77/#REF!</f>
        <v>#DIV/0!</v>
      </c>
      <c r="BF80" s="73" t="e">
        <f>BF77/#REF!</f>
        <v>#REF!</v>
      </c>
      <c r="BG80" s="73" t="e">
        <f>BG77/#REF!</f>
        <v>#REF!</v>
      </c>
      <c r="BH80" s="73" t="e">
        <f>BH77/#REF!</f>
        <v>#REF!</v>
      </c>
      <c r="BI80" s="73" t="e">
        <f>BI77/#REF!</f>
        <v>#REF!</v>
      </c>
      <c r="BJ80" s="73" t="e">
        <f>BJ77/#REF!</f>
        <v>#REF!</v>
      </c>
      <c r="BK80" s="73" t="e">
        <f>BK77/#REF!</f>
        <v>#REF!</v>
      </c>
      <c r="BL80" s="73" t="e">
        <f>BL77/#REF!</f>
        <v>#DIV/0!</v>
      </c>
      <c r="BM80" s="73" t="e">
        <f ca="1">'Model-BS'!R344</f>
        <v>#DIV/0!</v>
      </c>
      <c r="BN80" s="73" t="e">
        <f ca="1">'Model-BS'!S344</f>
        <v>#DIV/0!</v>
      </c>
      <c r="BO80" s="73" t="e">
        <f ca="1">'Model-BS'!T344</f>
        <v>#DIV/0!</v>
      </c>
      <c r="BP80" s="73" t="e">
        <f ca="1">'Model-BS'!U344</f>
        <v>#DIV/0!</v>
      </c>
      <c r="BQ80" s="73" t="e">
        <f ca="1">'Model-BS'!AB344</f>
        <v>#DIV/0!</v>
      </c>
      <c r="BR80" s="73" t="e">
        <f ca="1">'Model-BS'!AI344</f>
        <v>#DIV/0!</v>
      </c>
      <c r="BS80" s="73" t="e">
        <f ca="1">'Model-BS'!AP344</f>
        <v>#DIV/0!</v>
      </c>
      <c r="BT80" s="73" t="e">
        <f ca="1">'Model-BS'!AW344</f>
        <v>#DIV/0!</v>
      </c>
      <c r="BU80" s="73" t="e">
        <f ca="1">'Model-BS'!BD344</f>
        <v>#DIV/0!</v>
      </c>
      <c r="BV80" s="73" t="e">
        <f ca="1">'Model-BS'!BK344</f>
        <v>#DIV/0!</v>
      </c>
      <c r="BW80" s="73" t="e">
        <f ca="1">'Model-BS'!BL344</f>
        <v>#REF!</v>
      </c>
      <c r="BX80" s="73" t="e">
        <f ca="1">'Model-BS'!BM344</f>
        <v>#REF!</v>
      </c>
      <c r="BY80" s="73" t="e">
        <f ca="1">'Model-BS'!BN344</f>
        <v>#REF!</v>
      </c>
      <c r="BZ80" s="73" t="e">
        <f ca="1">'Model-BS'!BO344</f>
        <v>#REF!</v>
      </c>
    </row>
    <row r="81" spans="2:78" s="31" customFormat="1" outlineLevel="1">
      <c r="B81" s="74" t="s">
        <v>73</v>
      </c>
      <c r="C81" s="35"/>
      <c r="D81" s="35"/>
      <c r="E81" s="35" t="e">
        <f>E72*#REF!</f>
        <v>#REF!</v>
      </c>
      <c r="F81" s="35" t="e">
        <f>F72*#REF!</f>
        <v>#REF!</v>
      </c>
      <c r="G81" s="35" t="e">
        <f>G72*#REF!</f>
        <v>#REF!</v>
      </c>
      <c r="H81" s="35" t="e">
        <f>H72*#REF!</f>
        <v>#REF!</v>
      </c>
      <c r="I81" s="35" t="e">
        <f>I72*#REF!</f>
        <v>#REF!</v>
      </c>
      <c r="J81" s="35" t="e">
        <f>J72*#REF!</f>
        <v>#REF!</v>
      </c>
      <c r="K81" s="35" t="e">
        <f>K72*#REF!</f>
        <v>#REF!</v>
      </c>
      <c r="L81" s="35" t="e">
        <f>L72*#REF!</f>
        <v>#REF!</v>
      </c>
      <c r="M81" s="35" t="e">
        <f>M72*#REF!</f>
        <v>#REF!</v>
      </c>
      <c r="N81" s="35" t="e">
        <f>N72*#REF!</f>
        <v>#REF!</v>
      </c>
      <c r="O81" s="35" t="e">
        <f>O72*#REF!</f>
        <v>#REF!</v>
      </c>
      <c r="P81" s="35" t="e">
        <f>P72*#REF!</f>
        <v>#REF!</v>
      </c>
      <c r="Q81" s="35" t="e">
        <f>Q72*#REF!</f>
        <v>#REF!</v>
      </c>
      <c r="R81" s="35" t="e">
        <f>R72*#REF!</f>
        <v>#REF!</v>
      </c>
      <c r="S81" s="35" t="e">
        <f>S72*#REF!</f>
        <v>#REF!</v>
      </c>
      <c r="T81" s="35" t="e">
        <f>T72*#REF!</f>
        <v>#REF!</v>
      </c>
      <c r="U81" s="35" t="e">
        <f>U72*#REF!</f>
        <v>#REF!</v>
      </c>
      <c r="V81" s="35" t="e">
        <f>V72*#REF!</f>
        <v>#REF!</v>
      </c>
      <c r="W81" s="35" t="e">
        <f>W72*#REF!</f>
        <v>#REF!</v>
      </c>
      <c r="X81" s="35" t="e">
        <f>X72*#REF!</f>
        <v>#REF!</v>
      </c>
      <c r="Y81" s="35" t="e">
        <f>Y72*#REF!</f>
        <v>#REF!</v>
      </c>
      <c r="Z81" s="35" t="e">
        <f>Z72*#REF!</f>
        <v>#REF!</v>
      </c>
      <c r="AA81" s="35" t="e">
        <f>AA72*#REF!</f>
        <v>#REF!</v>
      </c>
      <c r="AB81" s="35" t="e">
        <f>AB72*#REF!</f>
        <v>#REF!</v>
      </c>
      <c r="AC81" s="35" t="e">
        <f>AC72*#REF!</f>
        <v>#REF!</v>
      </c>
      <c r="AD81" s="35" t="e">
        <f>AD72*#REF!</f>
        <v>#REF!</v>
      </c>
      <c r="AE81" s="35" t="e">
        <f>AE72*#REF!</f>
        <v>#REF!</v>
      </c>
      <c r="AF81" s="35" t="e">
        <f>AF72*#REF!</f>
        <v>#REF!</v>
      </c>
      <c r="AG81" s="35" t="e">
        <f>AG72*#REF!</f>
        <v>#REF!</v>
      </c>
      <c r="AH81" s="35" t="e">
        <f>AH72*#REF!</f>
        <v>#REF!</v>
      </c>
      <c r="AI81" s="35" t="e">
        <f>AI72*#REF!</f>
        <v>#REF!</v>
      </c>
      <c r="AJ81" s="35" t="e">
        <f>AJ72*#REF!</f>
        <v>#REF!</v>
      </c>
      <c r="AK81" s="35" t="e">
        <f>AK72*#REF!</f>
        <v>#REF!</v>
      </c>
      <c r="AL81" s="35" t="e">
        <f>AL72*#REF!</f>
        <v>#REF!</v>
      </c>
      <c r="AM81" s="35" t="e">
        <f>AM72*#REF!</f>
        <v>#REF!</v>
      </c>
      <c r="AN81" s="35" t="e">
        <f>AN72*#REF!</f>
        <v>#REF!</v>
      </c>
      <c r="AO81" s="35" t="e">
        <f>AO72*#REF!</f>
        <v>#REF!</v>
      </c>
      <c r="AP81" s="35" t="e">
        <f>AP72*#REF!</f>
        <v>#REF!</v>
      </c>
      <c r="AQ81" s="35" t="e">
        <f>AQ72*#REF!</f>
        <v>#REF!</v>
      </c>
      <c r="AR81" s="35" t="e">
        <f>AR72*#REF!</f>
        <v>#REF!</v>
      </c>
      <c r="AS81" s="35" t="e">
        <f>AS72*#REF!</f>
        <v>#REF!</v>
      </c>
      <c r="AT81" s="35" t="e">
        <f>AT72*#REF!</f>
        <v>#REF!</v>
      </c>
      <c r="AU81" s="35" t="e">
        <f>AU72*#REF!</f>
        <v>#REF!</v>
      </c>
      <c r="AV81" s="35" t="e">
        <f>AV72*#REF!</f>
        <v>#REF!</v>
      </c>
      <c r="AW81" s="35" t="e">
        <f>AW72*#REF!</f>
        <v>#REF!</v>
      </c>
      <c r="AX81" s="35" t="e">
        <f>AX72*#REF!</f>
        <v>#REF!</v>
      </c>
      <c r="AY81" s="35" t="e">
        <f>AY72*#REF!</f>
        <v>#REF!</v>
      </c>
      <c r="AZ81" s="35" t="e">
        <f>AZ72*#REF!</f>
        <v>#REF!</v>
      </c>
      <c r="BA81" s="35" t="e">
        <f>BA72*#REF!</f>
        <v>#REF!</v>
      </c>
      <c r="BB81" s="35" t="e">
        <f>BB72*#REF!</f>
        <v>#REF!</v>
      </c>
      <c r="BC81" s="35" t="e">
        <f>BC72*#REF!</f>
        <v>#REF!</v>
      </c>
      <c r="BD81" s="35" t="e">
        <f>BD72*#REF!</f>
        <v>#REF!</v>
      </c>
      <c r="BE81" s="35" t="e">
        <f>BE72*#REF!</f>
        <v>#REF!</v>
      </c>
      <c r="BF81" s="35" t="e">
        <f>BF72*#REF!</f>
        <v>#REF!</v>
      </c>
      <c r="BG81" s="35" t="e">
        <f>BG72*#REF!</f>
        <v>#REF!</v>
      </c>
      <c r="BH81" s="35" t="e">
        <f>BH72*#REF!</f>
        <v>#REF!</v>
      </c>
      <c r="BI81" s="35" t="e">
        <f>BI72*#REF!</f>
        <v>#REF!</v>
      </c>
      <c r="BJ81" s="35" t="e">
        <f>BJ72*#REF!</f>
        <v>#REF!</v>
      </c>
      <c r="BK81" s="35" t="e">
        <f>BK72*#REF!</f>
        <v>#REF!</v>
      </c>
      <c r="BL81" s="35" t="e">
        <f>BL72*#REF!</f>
        <v>#REF!</v>
      </c>
      <c r="BM81" s="35">
        <f ca="1">'Model-BS'!R332</f>
        <v>0</v>
      </c>
      <c r="BN81" s="35">
        <f ca="1">'Model-BS'!S332</f>
        <v>0</v>
      </c>
      <c r="BO81" s="35">
        <f ca="1">'Model-BS'!T332</f>
        <v>0</v>
      </c>
      <c r="BP81" s="35">
        <f ca="1">'Model-BS'!U332</f>
        <v>0</v>
      </c>
      <c r="BQ81" s="35">
        <f ca="1">'Model-BS'!AB332</f>
        <v>0</v>
      </c>
      <c r="BR81" s="35">
        <f ca="1">'Model-BS'!AI332</f>
        <v>0</v>
      </c>
      <c r="BS81" s="35">
        <f ca="1">'Model-BS'!AP332</f>
        <v>0</v>
      </c>
      <c r="BT81" s="35">
        <f ca="1">'Model-BS'!AW332</f>
        <v>0</v>
      </c>
      <c r="BU81" s="35">
        <f ca="1">'Model-BS'!BD332</f>
        <v>0</v>
      </c>
      <c r="BV81" s="35">
        <f ca="1">'Model-BS'!BK332</f>
        <v>0</v>
      </c>
      <c r="BW81" s="35">
        <f ca="1">'Model-BS'!BL332</f>
        <v>0</v>
      </c>
      <c r="BX81" s="35">
        <f ca="1">'Model-BS'!BM332</f>
        <v>0</v>
      </c>
      <c r="BY81" s="35">
        <f ca="1">'Model-BS'!BN332</f>
        <v>0</v>
      </c>
      <c r="BZ81" s="35">
        <f ca="1">'Model-BS'!BO332</f>
        <v>0</v>
      </c>
    </row>
    <row r="82" spans="2:78" s="31" customFormat="1" outlineLevel="1">
      <c r="B82" s="74" t="s">
        <v>74</v>
      </c>
      <c r="C82" s="35"/>
      <c r="D82" s="35"/>
      <c r="E82" s="35" t="e">
        <f>AVERAGE(#REF!,E53)</f>
        <v>#REF!</v>
      </c>
      <c r="F82" s="35" t="e">
        <f>AVERAGE(#REF!,F53)</f>
        <v>#REF!</v>
      </c>
      <c r="G82" s="35" t="e">
        <f>AVERAGE(#REF!,G53)</f>
        <v>#REF!</v>
      </c>
      <c r="H82" s="35" t="e">
        <f t="shared" ref="H82:AM82" si="41">AVERAGE(A53,H53)</f>
        <v>#REF!</v>
      </c>
      <c r="I82" s="35" t="e">
        <f t="shared" si="41"/>
        <v>#REF!</v>
      </c>
      <c r="J82" s="35" t="e">
        <f t="shared" si="41"/>
        <v>#REF!</v>
      </c>
      <c r="K82" s="35" t="e">
        <f t="shared" si="41"/>
        <v>#REF!</v>
      </c>
      <c r="L82" s="35" t="e">
        <f t="shared" si="41"/>
        <v>#REF!</v>
      </c>
      <c r="M82" s="35" t="e">
        <f t="shared" si="41"/>
        <v>#REF!</v>
      </c>
      <c r="N82" s="35" t="e">
        <f t="shared" si="41"/>
        <v>#REF!</v>
      </c>
      <c r="O82" s="35" t="e">
        <f t="shared" si="41"/>
        <v>#REF!</v>
      </c>
      <c r="P82" s="35" t="e">
        <f t="shared" si="41"/>
        <v>#REF!</v>
      </c>
      <c r="Q82" s="35" t="e">
        <f t="shared" si="41"/>
        <v>#REF!</v>
      </c>
      <c r="R82" s="35" t="e">
        <f t="shared" si="41"/>
        <v>#REF!</v>
      </c>
      <c r="S82" s="35" t="e">
        <f t="shared" si="41"/>
        <v>#REF!</v>
      </c>
      <c r="T82" s="35" t="e">
        <f t="shared" si="41"/>
        <v>#REF!</v>
      </c>
      <c r="U82" s="35" t="e">
        <f t="shared" si="41"/>
        <v>#REF!</v>
      </c>
      <c r="V82" s="35" t="e">
        <f t="shared" si="41"/>
        <v>#REF!</v>
      </c>
      <c r="W82" s="35" t="e">
        <f t="shared" si="41"/>
        <v>#REF!</v>
      </c>
      <c r="X82" s="35" t="e">
        <f t="shared" si="41"/>
        <v>#REF!</v>
      </c>
      <c r="Y82" s="35" t="e">
        <f t="shared" si="41"/>
        <v>#REF!</v>
      </c>
      <c r="Z82" s="35" t="e">
        <f t="shared" si="41"/>
        <v>#REF!</v>
      </c>
      <c r="AA82" s="35" t="e">
        <f t="shared" si="41"/>
        <v>#REF!</v>
      </c>
      <c r="AB82" s="35" t="e">
        <f t="shared" si="41"/>
        <v>#REF!</v>
      </c>
      <c r="AC82" s="35" t="e">
        <f t="shared" si="41"/>
        <v>#REF!</v>
      </c>
      <c r="AD82" s="35" t="e">
        <f t="shared" si="41"/>
        <v>#REF!</v>
      </c>
      <c r="AE82" s="35" t="e">
        <f t="shared" si="41"/>
        <v>#REF!</v>
      </c>
      <c r="AF82" s="35" t="e">
        <f t="shared" si="41"/>
        <v>#REF!</v>
      </c>
      <c r="AG82" s="35" t="e">
        <f t="shared" si="41"/>
        <v>#REF!</v>
      </c>
      <c r="AH82" s="35" t="e">
        <f t="shared" si="41"/>
        <v>#REF!</v>
      </c>
      <c r="AI82" s="35" t="e">
        <f t="shared" si="41"/>
        <v>#REF!</v>
      </c>
      <c r="AJ82" s="35" t="e">
        <f t="shared" si="41"/>
        <v>#REF!</v>
      </c>
      <c r="AK82" s="35" t="e">
        <f t="shared" si="41"/>
        <v>#REF!</v>
      </c>
      <c r="AL82" s="35" t="e">
        <f t="shared" si="41"/>
        <v>#REF!</v>
      </c>
      <c r="AM82" s="35" t="e">
        <f t="shared" si="41"/>
        <v>#REF!</v>
      </c>
      <c r="AN82" s="35" t="e">
        <f t="shared" ref="AN82:BL82" si="42">AVERAGE(AG53,AN53)</f>
        <v>#REF!</v>
      </c>
      <c r="AO82" s="35" t="e">
        <f t="shared" si="42"/>
        <v>#REF!</v>
      </c>
      <c r="AP82" s="35" t="e">
        <f t="shared" si="42"/>
        <v>#REF!</v>
      </c>
      <c r="AQ82" s="35" t="e">
        <f t="shared" si="42"/>
        <v>#REF!</v>
      </c>
      <c r="AR82" s="35" t="e">
        <f t="shared" si="42"/>
        <v>#REF!</v>
      </c>
      <c r="AS82" s="35" t="e">
        <f t="shared" si="42"/>
        <v>#REF!</v>
      </c>
      <c r="AT82" s="35" t="e">
        <f t="shared" si="42"/>
        <v>#REF!</v>
      </c>
      <c r="AU82" s="35" t="e">
        <f t="shared" si="42"/>
        <v>#REF!</v>
      </c>
      <c r="AV82" s="35" t="e">
        <f t="shared" si="42"/>
        <v>#REF!</v>
      </c>
      <c r="AW82" s="35" t="e">
        <f t="shared" si="42"/>
        <v>#REF!</v>
      </c>
      <c r="AX82" s="35" t="e">
        <f t="shared" si="42"/>
        <v>#REF!</v>
      </c>
      <c r="AY82" s="35" t="e">
        <f t="shared" si="42"/>
        <v>#REF!</v>
      </c>
      <c r="AZ82" s="35" t="e">
        <f t="shared" si="42"/>
        <v>#REF!</v>
      </c>
      <c r="BA82" s="35" t="e">
        <f t="shared" si="42"/>
        <v>#REF!</v>
      </c>
      <c r="BB82" s="35" t="e">
        <f t="shared" si="42"/>
        <v>#REF!</v>
      </c>
      <c r="BC82" s="35" t="e">
        <f t="shared" si="42"/>
        <v>#REF!</v>
      </c>
      <c r="BD82" s="35" t="e">
        <f t="shared" si="42"/>
        <v>#REF!</v>
      </c>
      <c r="BE82" s="35" t="e">
        <f t="shared" si="42"/>
        <v>#REF!</v>
      </c>
      <c r="BF82" s="35" t="e">
        <f t="shared" si="42"/>
        <v>#REF!</v>
      </c>
      <c r="BG82" s="35" t="e">
        <f t="shared" si="42"/>
        <v>#REF!</v>
      </c>
      <c r="BH82" s="35" t="e">
        <f t="shared" si="42"/>
        <v>#REF!</v>
      </c>
      <c r="BI82" s="35" t="e">
        <f t="shared" si="42"/>
        <v>#REF!</v>
      </c>
      <c r="BJ82" s="35" t="e">
        <f t="shared" si="42"/>
        <v>#REF!</v>
      </c>
      <c r="BK82" s="35" t="e">
        <f t="shared" si="42"/>
        <v>#REF!</v>
      </c>
      <c r="BL82" s="35" t="e">
        <f t="shared" si="42"/>
        <v>#REF!</v>
      </c>
      <c r="BM82" s="35" t="e">
        <f t="shared" ref="BM82:BX82" si="43">BM53</f>
        <v>#REF!</v>
      </c>
      <c r="BN82" s="35" t="e">
        <f t="shared" si="43"/>
        <v>#REF!</v>
      </c>
      <c r="BO82" s="35" t="e">
        <f t="shared" si="43"/>
        <v>#REF!</v>
      </c>
      <c r="BP82" s="35" t="e">
        <f t="shared" si="43"/>
        <v>#REF!</v>
      </c>
      <c r="BQ82" s="35" t="e">
        <f t="shared" si="43"/>
        <v>#REF!</v>
      </c>
      <c r="BR82" s="35" t="e">
        <f t="shared" si="43"/>
        <v>#REF!</v>
      </c>
      <c r="BS82" s="35" t="e">
        <f t="shared" si="43"/>
        <v>#REF!</v>
      </c>
      <c r="BT82" s="35" t="e">
        <f t="shared" si="43"/>
        <v>#REF!</v>
      </c>
      <c r="BU82" s="35" t="e">
        <f t="shared" si="43"/>
        <v>#REF!</v>
      </c>
      <c r="BV82" s="35" t="e">
        <f t="shared" si="43"/>
        <v>#REF!</v>
      </c>
      <c r="BW82" s="35" t="e">
        <f t="shared" si="43"/>
        <v>#REF!</v>
      </c>
      <c r="BX82" s="35" t="e">
        <f t="shared" si="43"/>
        <v>#REF!</v>
      </c>
      <c r="BY82" s="35" t="e">
        <f t="shared" ref="BY82:BZ82" si="44">BY53</f>
        <v>#REF!</v>
      </c>
      <c r="BZ82" s="35" t="e">
        <f t="shared" si="44"/>
        <v>#REF!</v>
      </c>
    </row>
    <row r="83" spans="2:78" s="31" customFormat="1" outlineLevel="1">
      <c r="B83" s="75" t="s">
        <v>75</v>
      </c>
      <c r="C83" s="54"/>
      <c r="D83" s="54"/>
      <c r="E83" s="54" t="e">
        <f>-AVERAGE(#REF!,E52)</f>
        <v>#REF!</v>
      </c>
      <c r="F83" s="54" t="e">
        <f>-AVERAGE(#REF!,F52)</f>
        <v>#REF!</v>
      </c>
      <c r="G83" s="54" t="e">
        <f>-AVERAGE(#REF!,G52)</f>
        <v>#REF!</v>
      </c>
      <c r="H83" s="54" t="e">
        <f t="shared" ref="H83:AM83" si="45">-AVERAGE(A52,H52)</f>
        <v>#REF!</v>
      </c>
      <c r="I83" s="54" t="e">
        <f t="shared" si="45"/>
        <v>#REF!</v>
      </c>
      <c r="J83" s="54" t="e">
        <f t="shared" si="45"/>
        <v>#REF!</v>
      </c>
      <c r="K83" s="54" t="e">
        <f t="shared" si="45"/>
        <v>#REF!</v>
      </c>
      <c r="L83" s="54" t="e">
        <f t="shared" si="45"/>
        <v>#REF!</v>
      </c>
      <c r="M83" s="54" t="e">
        <f t="shared" si="45"/>
        <v>#REF!</v>
      </c>
      <c r="N83" s="54" t="e">
        <f t="shared" si="45"/>
        <v>#REF!</v>
      </c>
      <c r="O83" s="54" t="e">
        <f t="shared" si="45"/>
        <v>#REF!</v>
      </c>
      <c r="P83" s="54" t="e">
        <f t="shared" si="45"/>
        <v>#REF!</v>
      </c>
      <c r="Q83" s="54" t="e">
        <f t="shared" si="45"/>
        <v>#REF!</v>
      </c>
      <c r="R83" s="54" t="e">
        <f t="shared" si="45"/>
        <v>#REF!</v>
      </c>
      <c r="S83" s="54" t="e">
        <f t="shared" si="45"/>
        <v>#REF!</v>
      </c>
      <c r="T83" s="54" t="e">
        <f t="shared" si="45"/>
        <v>#REF!</v>
      </c>
      <c r="U83" s="54" t="e">
        <f t="shared" si="45"/>
        <v>#REF!</v>
      </c>
      <c r="V83" s="54" t="e">
        <f t="shared" si="45"/>
        <v>#REF!</v>
      </c>
      <c r="W83" s="54" t="e">
        <f t="shared" si="45"/>
        <v>#REF!</v>
      </c>
      <c r="X83" s="54" t="e">
        <f t="shared" si="45"/>
        <v>#REF!</v>
      </c>
      <c r="Y83" s="54" t="e">
        <f t="shared" si="45"/>
        <v>#REF!</v>
      </c>
      <c r="Z83" s="54" t="e">
        <f t="shared" si="45"/>
        <v>#REF!</v>
      </c>
      <c r="AA83" s="54" t="e">
        <f t="shared" si="45"/>
        <v>#REF!</v>
      </c>
      <c r="AB83" s="54" t="e">
        <f t="shared" si="45"/>
        <v>#REF!</v>
      </c>
      <c r="AC83" s="54" t="e">
        <f t="shared" si="45"/>
        <v>#REF!</v>
      </c>
      <c r="AD83" s="54" t="e">
        <f t="shared" si="45"/>
        <v>#REF!</v>
      </c>
      <c r="AE83" s="54" t="e">
        <f t="shared" si="45"/>
        <v>#REF!</v>
      </c>
      <c r="AF83" s="54" t="e">
        <f t="shared" si="45"/>
        <v>#REF!</v>
      </c>
      <c r="AG83" s="54" t="e">
        <f t="shared" si="45"/>
        <v>#REF!</v>
      </c>
      <c r="AH83" s="54" t="e">
        <f t="shared" si="45"/>
        <v>#REF!</v>
      </c>
      <c r="AI83" s="54" t="e">
        <f t="shared" si="45"/>
        <v>#REF!</v>
      </c>
      <c r="AJ83" s="54" t="e">
        <f t="shared" si="45"/>
        <v>#REF!</v>
      </c>
      <c r="AK83" s="54" t="e">
        <f t="shared" si="45"/>
        <v>#REF!</v>
      </c>
      <c r="AL83" s="54" t="e">
        <f t="shared" si="45"/>
        <v>#REF!</v>
      </c>
      <c r="AM83" s="54" t="e">
        <f t="shared" si="45"/>
        <v>#REF!</v>
      </c>
      <c r="AN83" s="54" t="e">
        <f t="shared" ref="AN83:BL83" si="46">-AVERAGE(AG52,AN52)</f>
        <v>#REF!</v>
      </c>
      <c r="AO83" s="54" t="e">
        <f t="shared" si="46"/>
        <v>#REF!</v>
      </c>
      <c r="AP83" s="54" t="e">
        <f t="shared" si="46"/>
        <v>#REF!</v>
      </c>
      <c r="AQ83" s="54" t="e">
        <f t="shared" si="46"/>
        <v>#REF!</v>
      </c>
      <c r="AR83" s="54" t="e">
        <f t="shared" si="46"/>
        <v>#REF!</v>
      </c>
      <c r="AS83" s="54" t="e">
        <f t="shared" si="46"/>
        <v>#REF!</v>
      </c>
      <c r="AT83" s="54" t="e">
        <f t="shared" si="46"/>
        <v>#REF!</v>
      </c>
      <c r="AU83" s="54" t="e">
        <f t="shared" si="46"/>
        <v>#REF!</v>
      </c>
      <c r="AV83" s="54" t="e">
        <f t="shared" si="46"/>
        <v>#REF!</v>
      </c>
      <c r="AW83" s="54" t="e">
        <f t="shared" si="46"/>
        <v>#REF!</v>
      </c>
      <c r="AX83" s="54" t="e">
        <f t="shared" si="46"/>
        <v>#REF!</v>
      </c>
      <c r="AY83" s="54" t="e">
        <f t="shared" si="46"/>
        <v>#REF!</v>
      </c>
      <c r="AZ83" s="54" t="e">
        <f t="shared" si="46"/>
        <v>#REF!</v>
      </c>
      <c r="BA83" s="54" t="e">
        <f t="shared" si="46"/>
        <v>#REF!</v>
      </c>
      <c r="BB83" s="54" t="e">
        <f t="shared" si="46"/>
        <v>#REF!</v>
      </c>
      <c r="BC83" s="54" t="e">
        <f t="shared" si="46"/>
        <v>#REF!</v>
      </c>
      <c r="BD83" s="54" t="e">
        <f t="shared" si="46"/>
        <v>#REF!</v>
      </c>
      <c r="BE83" s="54" t="e">
        <f t="shared" si="46"/>
        <v>#REF!</v>
      </c>
      <c r="BF83" s="54" t="e">
        <f t="shared" si="46"/>
        <v>#REF!</v>
      </c>
      <c r="BG83" s="54" t="e">
        <f t="shared" si="46"/>
        <v>#REF!</v>
      </c>
      <c r="BH83" s="54" t="e">
        <f t="shared" si="46"/>
        <v>#REF!</v>
      </c>
      <c r="BI83" s="54" t="e">
        <f t="shared" si="46"/>
        <v>#REF!</v>
      </c>
      <c r="BJ83" s="54" t="e">
        <f t="shared" si="46"/>
        <v>#REF!</v>
      </c>
      <c r="BK83" s="54" t="e">
        <f t="shared" si="46"/>
        <v>#REF!</v>
      </c>
      <c r="BL83" s="54" t="e">
        <f t="shared" si="46"/>
        <v>#REF!</v>
      </c>
      <c r="BM83" s="54" t="e">
        <f t="shared" ref="BM83:BX83" si="47">BM52</f>
        <v>#REF!</v>
      </c>
      <c r="BN83" s="54" t="e">
        <f t="shared" si="47"/>
        <v>#REF!</v>
      </c>
      <c r="BO83" s="54" t="e">
        <f t="shared" si="47"/>
        <v>#REF!</v>
      </c>
      <c r="BP83" s="54" t="e">
        <f t="shared" si="47"/>
        <v>#REF!</v>
      </c>
      <c r="BQ83" s="54" t="e">
        <f t="shared" si="47"/>
        <v>#REF!</v>
      </c>
      <c r="BR83" s="54" t="e">
        <f t="shared" si="47"/>
        <v>#REF!</v>
      </c>
      <c r="BS83" s="54" t="e">
        <f t="shared" si="47"/>
        <v>#REF!</v>
      </c>
      <c r="BT83" s="54" t="e">
        <f t="shared" si="47"/>
        <v>#REF!</v>
      </c>
      <c r="BU83" s="54" t="e">
        <f t="shared" si="47"/>
        <v>#REF!</v>
      </c>
      <c r="BV83" s="54" t="e">
        <f t="shared" si="47"/>
        <v>#REF!</v>
      </c>
      <c r="BW83" s="54" t="e">
        <f t="shared" si="47"/>
        <v>#REF!</v>
      </c>
      <c r="BX83" s="54" t="e">
        <f t="shared" si="47"/>
        <v>#REF!</v>
      </c>
      <c r="BY83" s="54" t="e">
        <f t="shared" ref="BY83:BZ83" si="48">BY52</f>
        <v>#REF!</v>
      </c>
      <c r="BZ83" s="54" t="e">
        <f t="shared" si="48"/>
        <v>#REF!</v>
      </c>
    </row>
    <row r="84" spans="2:78" s="31" customFormat="1">
      <c r="B84" s="74" t="s">
        <v>76</v>
      </c>
      <c r="C84" s="35"/>
      <c r="D84" s="35"/>
      <c r="E84" s="35" t="e">
        <f>E81+E82+E83</f>
        <v>#REF!</v>
      </c>
      <c r="F84" s="35"/>
      <c r="G84" s="35"/>
      <c r="H84" s="35" t="e">
        <f t="shared" ref="H84:BL84" si="49">H81+H82+H83</f>
        <v>#REF!</v>
      </c>
      <c r="I84" s="35" t="e">
        <f t="shared" si="49"/>
        <v>#REF!</v>
      </c>
      <c r="J84" s="35" t="e">
        <f t="shared" si="49"/>
        <v>#REF!</v>
      </c>
      <c r="K84" s="35" t="e">
        <f t="shared" si="49"/>
        <v>#REF!</v>
      </c>
      <c r="L84" s="35" t="e">
        <f t="shared" si="49"/>
        <v>#REF!</v>
      </c>
      <c r="M84" s="35" t="e">
        <f t="shared" si="49"/>
        <v>#REF!</v>
      </c>
      <c r="N84" s="35" t="e">
        <f t="shared" si="49"/>
        <v>#REF!</v>
      </c>
      <c r="O84" s="35" t="e">
        <f t="shared" si="49"/>
        <v>#REF!</v>
      </c>
      <c r="P84" s="35" t="e">
        <f t="shared" si="49"/>
        <v>#REF!</v>
      </c>
      <c r="Q84" s="35" t="e">
        <f t="shared" si="49"/>
        <v>#REF!</v>
      </c>
      <c r="R84" s="35" t="e">
        <f t="shared" si="49"/>
        <v>#REF!</v>
      </c>
      <c r="S84" s="35" t="e">
        <f t="shared" si="49"/>
        <v>#REF!</v>
      </c>
      <c r="T84" s="35" t="e">
        <f t="shared" si="49"/>
        <v>#REF!</v>
      </c>
      <c r="U84" s="35" t="e">
        <f t="shared" si="49"/>
        <v>#REF!</v>
      </c>
      <c r="V84" s="35" t="e">
        <f t="shared" si="49"/>
        <v>#REF!</v>
      </c>
      <c r="W84" s="35" t="e">
        <f t="shared" si="49"/>
        <v>#REF!</v>
      </c>
      <c r="X84" s="35" t="e">
        <f t="shared" si="49"/>
        <v>#REF!</v>
      </c>
      <c r="Y84" s="35" t="e">
        <f t="shared" si="49"/>
        <v>#REF!</v>
      </c>
      <c r="Z84" s="35" t="e">
        <f t="shared" si="49"/>
        <v>#REF!</v>
      </c>
      <c r="AA84" s="35" t="e">
        <f t="shared" si="49"/>
        <v>#REF!</v>
      </c>
      <c r="AB84" s="35" t="e">
        <f t="shared" si="49"/>
        <v>#REF!</v>
      </c>
      <c r="AC84" s="35" t="e">
        <f t="shared" si="49"/>
        <v>#REF!</v>
      </c>
      <c r="AD84" s="35" t="e">
        <f t="shared" si="49"/>
        <v>#REF!</v>
      </c>
      <c r="AE84" s="35" t="e">
        <f t="shared" si="49"/>
        <v>#REF!</v>
      </c>
      <c r="AF84" s="35" t="e">
        <f t="shared" si="49"/>
        <v>#REF!</v>
      </c>
      <c r="AG84" s="35" t="e">
        <f t="shared" si="49"/>
        <v>#REF!</v>
      </c>
      <c r="AH84" s="35" t="e">
        <f t="shared" si="49"/>
        <v>#REF!</v>
      </c>
      <c r="AI84" s="35" t="e">
        <f t="shared" si="49"/>
        <v>#REF!</v>
      </c>
      <c r="AJ84" s="35" t="e">
        <f t="shared" si="49"/>
        <v>#REF!</v>
      </c>
      <c r="AK84" s="35" t="e">
        <f t="shared" si="49"/>
        <v>#REF!</v>
      </c>
      <c r="AL84" s="35" t="e">
        <f t="shared" si="49"/>
        <v>#REF!</v>
      </c>
      <c r="AM84" s="35" t="e">
        <f t="shared" si="49"/>
        <v>#REF!</v>
      </c>
      <c r="AN84" s="35" t="e">
        <f t="shared" si="49"/>
        <v>#REF!</v>
      </c>
      <c r="AO84" s="35" t="e">
        <f t="shared" si="49"/>
        <v>#REF!</v>
      </c>
      <c r="AP84" s="35" t="e">
        <f t="shared" si="49"/>
        <v>#REF!</v>
      </c>
      <c r="AQ84" s="35" t="e">
        <f t="shared" si="49"/>
        <v>#REF!</v>
      </c>
      <c r="AR84" s="35" t="e">
        <f t="shared" si="49"/>
        <v>#REF!</v>
      </c>
      <c r="AS84" s="35" t="e">
        <f t="shared" si="49"/>
        <v>#REF!</v>
      </c>
      <c r="AT84" s="35" t="e">
        <f t="shared" si="49"/>
        <v>#REF!</v>
      </c>
      <c r="AU84" s="35" t="e">
        <f t="shared" si="49"/>
        <v>#REF!</v>
      </c>
      <c r="AV84" s="35" t="e">
        <f t="shared" si="49"/>
        <v>#REF!</v>
      </c>
      <c r="AW84" s="35" t="e">
        <f t="shared" si="49"/>
        <v>#REF!</v>
      </c>
      <c r="AX84" s="35" t="e">
        <f t="shared" si="49"/>
        <v>#REF!</v>
      </c>
      <c r="AY84" s="35" t="e">
        <f t="shared" si="49"/>
        <v>#REF!</v>
      </c>
      <c r="AZ84" s="35" t="e">
        <f t="shared" si="49"/>
        <v>#REF!</v>
      </c>
      <c r="BA84" s="35" t="e">
        <f t="shared" si="49"/>
        <v>#REF!</v>
      </c>
      <c r="BB84" s="35" t="e">
        <f t="shared" si="49"/>
        <v>#REF!</v>
      </c>
      <c r="BC84" s="35" t="e">
        <f t="shared" si="49"/>
        <v>#REF!</v>
      </c>
      <c r="BD84" s="35" t="e">
        <f t="shared" si="49"/>
        <v>#REF!</v>
      </c>
      <c r="BE84" s="35" t="e">
        <f t="shared" si="49"/>
        <v>#REF!</v>
      </c>
      <c r="BF84" s="35" t="e">
        <f t="shared" si="49"/>
        <v>#REF!</v>
      </c>
      <c r="BG84" s="35" t="e">
        <f t="shared" si="49"/>
        <v>#REF!</v>
      </c>
      <c r="BH84" s="35" t="e">
        <f t="shared" si="49"/>
        <v>#REF!</v>
      </c>
      <c r="BI84" s="35" t="e">
        <f t="shared" si="49"/>
        <v>#REF!</v>
      </c>
      <c r="BJ84" s="35" t="e">
        <f t="shared" si="49"/>
        <v>#REF!</v>
      </c>
      <c r="BK84" s="35" t="e">
        <f t="shared" si="49"/>
        <v>#REF!</v>
      </c>
      <c r="BL84" s="35" t="e">
        <f t="shared" si="49"/>
        <v>#REF!</v>
      </c>
      <c r="BM84" s="35">
        <f ca="1">'Model-BS'!R333</f>
        <v>0</v>
      </c>
      <c r="BN84" s="35">
        <f ca="1">'Model-BS'!S333</f>
        <v>0</v>
      </c>
      <c r="BO84" s="35">
        <f ca="1">'Model-BS'!T333</f>
        <v>0</v>
      </c>
      <c r="BP84" s="35">
        <f ca="1">'Model-BS'!U333</f>
        <v>0</v>
      </c>
      <c r="BQ84" s="35">
        <f ca="1">'Model-BS'!AB333</f>
        <v>0</v>
      </c>
      <c r="BR84" s="35">
        <f ca="1">'Model-BS'!AI333</f>
        <v>0</v>
      </c>
      <c r="BS84" s="35">
        <f ca="1">'Model-BS'!AP333</f>
        <v>0</v>
      </c>
      <c r="BT84" s="35">
        <f ca="1">'Model-BS'!AW333</f>
        <v>0</v>
      </c>
      <c r="BU84" s="35">
        <f ca="1">'Model-BS'!BD333</f>
        <v>0</v>
      </c>
      <c r="BV84" s="35">
        <f ca="1">'Model-BS'!BK333</f>
        <v>0</v>
      </c>
      <c r="BW84" s="35">
        <f ca="1">'Model-BS'!BL333</f>
        <v>0</v>
      </c>
      <c r="BX84" s="35">
        <f ca="1">'Model-BS'!BM333</f>
        <v>0</v>
      </c>
      <c r="BY84" s="35">
        <f ca="1">'Model-BS'!BN333</f>
        <v>0</v>
      </c>
      <c r="BZ84" s="35">
        <f ca="1">'Model-BS'!BO333</f>
        <v>0</v>
      </c>
    </row>
    <row r="85" spans="2:78">
      <c r="B85" s="7" t="s">
        <v>77</v>
      </c>
      <c r="D85" s="71"/>
      <c r="E85" s="71" t="e">
        <f>E84/E26</f>
        <v>#REF!</v>
      </c>
      <c r="F85" s="71"/>
      <c r="G85" s="71"/>
      <c r="H85" s="71" t="e">
        <f t="shared" ref="H85:AM85" si="50">H84/H26</f>
        <v>#REF!</v>
      </c>
      <c r="I85" s="71" t="e">
        <f t="shared" si="50"/>
        <v>#REF!</v>
      </c>
      <c r="J85" s="71" t="e">
        <f t="shared" si="50"/>
        <v>#REF!</v>
      </c>
      <c r="K85" s="71" t="e">
        <f t="shared" si="50"/>
        <v>#REF!</v>
      </c>
      <c r="L85" s="71" t="e">
        <f t="shared" si="50"/>
        <v>#REF!</v>
      </c>
      <c r="M85" s="71" t="e">
        <f t="shared" si="50"/>
        <v>#REF!</v>
      </c>
      <c r="N85" s="71" t="e">
        <f t="shared" si="50"/>
        <v>#REF!</v>
      </c>
      <c r="O85" s="71" t="e">
        <f t="shared" si="50"/>
        <v>#REF!</v>
      </c>
      <c r="P85" s="71" t="e">
        <f t="shared" si="50"/>
        <v>#REF!</v>
      </c>
      <c r="Q85" s="71" t="e">
        <f t="shared" si="50"/>
        <v>#REF!</v>
      </c>
      <c r="R85" s="71" t="e">
        <f t="shared" si="50"/>
        <v>#REF!</v>
      </c>
      <c r="S85" s="71" t="e">
        <f t="shared" si="50"/>
        <v>#REF!</v>
      </c>
      <c r="T85" s="71" t="e">
        <f t="shared" si="50"/>
        <v>#REF!</v>
      </c>
      <c r="U85" s="71" t="e">
        <f t="shared" si="50"/>
        <v>#REF!</v>
      </c>
      <c r="V85" s="71" t="e">
        <f t="shared" si="50"/>
        <v>#REF!</v>
      </c>
      <c r="W85" s="71" t="e">
        <f t="shared" si="50"/>
        <v>#REF!</v>
      </c>
      <c r="X85" s="71" t="e">
        <f t="shared" si="50"/>
        <v>#REF!</v>
      </c>
      <c r="Y85" s="71" t="e">
        <f t="shared" si="50"/>
        <v>#REF!</v>
      </c>
      <c r="Z85" s="71" t="e">
        <f t="shared" si="50"/>
        <v>#REF!</v>
      </c>
      <c r="AA85" s="71" t="e">
        <f t="shared" si="50"/>
        <v>#REF!</v>
      </c>
      <c r="AB85" s="71" t="e">
        <f t="shared" si="50"/>
        <v>#REF!</v>
      </c>
      <c r="AC85" s="71" t="e">
        <f t="shared" si="50"/>
        <v>#REF!</v>
      </c>
      <c r="AD85" s="71" t="e">
        <f t="shared" si="50"/>
        <v>#REF!</v>
      </c>
      <c r="AE85" s="71" t="e">
        <f t="shared" si="50"/>
        <v>#REF!</v>
      </c>
      <c r="AF85" s="71" t="e">
        <f t="shared" si="50"/>
        <v>#REF!</v>
      </c>
      <c r="AG85" s="71" t="e">
        <f t="shared" si="50"/>
        <v>#REF!</v>
      </c>
      <c r="AH85" s="71" t="e">
        <f t="shared" si="50"/>
        <v>#REF!</v>
      </c>
      <c r="AI85" s="71" t="e">
        <f t="shared" si="50"/>
        <v>#REF!</v>
      </c>
      <c r="AJ85" s="71" t="e">
        <f t="shared" si="50"/>
        <v>#REF!</v>
      </c>
      <c r="AK85" s="71" t="e">
        <f t="shared" si="50"/>
        <v>#REF!</v>
      </c>
      <c r="AL85" s="71" t="e">
        <f t="shared" si="50"/>
        <v>#REF!</v>
      </c>
      <c r="AM85" s="71" t="e">
        <f t="shared" si="50"/>
        <v>#REF!</v>
      </c>
      <c r="AN85" s="71" t="e">
        <f t="shared" ref="AN85:BL85" si="51">AN84/AN26</f>
        <v>#REF!</v>
      </c>
      <c r="AO85" s="71" t="e">
        <f t="shared" si="51"/>
        <v>#REF!</v>
      </c>
      <c r="AP85" s="71" t="e">
        <f t="shared" si="51"/>
        <v>#REF!</v>
      </c>
      <c r="AQ85" s="71" t="e">
        <f t="shared" si="51"/>
        <v>#REF!</v>
      </c>
      <c r="AR85" s="71" t="e">
        <f t="shared" si="51"/>
        <v>#REF!</v>
      </c>
      <c r="AS85" s="71" t="e">
        <f t="shared" si="51"/>
        <v>#REF!</v>
      </c>
      <c r="AT85" s="71" t="e">
        <f t="shared" si="51"/>
        <v>#REF!</v>
      </c>
      <c r="AU85" s="71" t="e">
        <f t="shared" si="51"/>
        <v>#REF!</v>
      </c>
      <c r="AV85" s="71" t="e">
        <f t="shared" si="51"/>
        <v>#REF!</v>
      </c>
      <c r="AW85" s="71" t="e">
        <f t="shared" si="51"/>
        <v>#REF!</v>
      </c>
      <c r="AX85" s="71" t="e">
        <f t="shared" si="51"/>
        <v>#REF!</v>
      </c>
      <c r="AY85" s="71" t="e">
        <f t="shared" si="51"/>
        <v>#REF!</v>
      </c>
      <c r="AZ85" s="71" t="e">
        <f t="shared" si="51"/>
        <v>#REF!</v>
      </c>
      <c r="BA85" s="71" t="e">
        <f t="shared" si="51"/>
        <v>#REF!</v>
      </c>
      <c r="BB85" s="71" t="e">
        <f t="shared" si="51"/>
        <v>#REF!</v>
      </c>
      <c r="BC85" s="71" t="e">
        <f t="shared" si="51"/>
        <v>#REF!</v>
      </c>
      <c r="BD85" s="71" t="e">
        <f t="shared" si="51"/>
        <v>#REF!</v>
      </c>
      <c r="BE85" s="71" t="e">
        <f t="shared" si="51"/>
        <v>#REF!</v>
      </c>
      <c r="BF85" s="71" t="e">
        <f t="shared" si="51"/>
        <v>#REF!</v>
      </c>
      <c r="BG85" s="71" t="e">
        <f t="shared" si="51"/>
        <v>#REF!</v>
      </c>
      <c r="BH85" s="71" t="e">
        <f t="shared" si="51"/>
        <v>#REF!</v>
      </c>
      <c r="BI85" s="71" t="e">
        <f t="shared" si="51"/>
        <v>#REF!</v>
      </c>
      <c r="BJ85" s="71" t="e">
        <f t="shared" si="51"/>
        <v>#REF!</v>
      </c>
      <c r="BK85" s="71" t="e">
        <f t="shared" si="51"/>
        <v>#REF!</v>
      </c>
      <c r="BL85" s="71" t="e">
        <f t="shared" si="51"/>
        <v>#REF!</v>
      </c>
      <c r="BM85" s="71" t="e">
        <f ca="1">'Model-BS'!R346</f>
        <v>#REF!</v>
      </c>
      <c r="BN85" s="71" t="e">
        <f ca="1">'Model-BS'!S346</f>
        <v>#REF!</v>
      </c>
      <c r="BO85" s="71" t="e">
        <f ca="1">'Model-BS'!T346</f>
        <v>#REF!</v>
      </c>
      <c r="BP85" s="71" t="e">
        <f ca="1">'Model-BS'!U346</f>
        <v>#REF!</v>
      </c>
      <c r="BQ85" s="71" t="e">
        <f ca="1">'Model-BS'!AB346</f>
        <v>#REF!</v>
      </c>
      <c r="BR85" s="71" t="e">
        <f ca="1">'Model-BS'!AI346</f>
        <v>#REF!</v>
      </c>
      <c r="BS85" s="71" t="e">
        <f ca="1">'Model-BS'!AP346</f>
        <v>#REF!</v>
      </c>
      <c r="BT85" s="71" t="e">
        <f ca="1">'Model-BS'!AW346</f>
        <v>#REF!</v>
      </c>
      <c r="BU85" s="71" t="e">
        <f ca="1">'Model-BS'!BD346</f>
        <v>#REF!</v>
      </c>
      <c r="BV85" s="71" t="e">
        <f ca="1">'Model-BS'!BK346</f>
        <v>#REF!</v>
      </c>
      <c r="BW85" s="71" t="e">
        <f ca="1">'Model-BS'!BL346</f>
        <v>#REF!</v>
      </c>
      <c r="BX85" s="71" t="e">
        <f ca="1">'Model-BS'!BM346</f>
        <v>#REF!</v>
      </c>
      <c r="BY85" s="71" t="e">
        <f ca="1">'Model-BS'!BN346</f>
        <v>#REF!</v>
      </c>
      <c r="BZ85" s="71" t="e">
        <f ca="1">'Model-BS'!BO346</f>
        <v>#REF!</v>
      </c>
    </row>
    <row r="86" spans="2:78">
      <c r="B86" s="37" t="s">
        <v>78</v>
      </c>
      <c r="C86" s="37"/>
      <c r="D86" s="76"/>
      <c r="E86" s="76" t="e">
        <f>E84/E10</f>
        <v>#REF!</v>
      </c>
      <c r="F86" s="76"/>
      <c r="G86" s="76"/>
      <c r="H86" s="76" t="e">
        <f t="shared" ref="H86:AM86" si="52">H84/H10</f>
        <v>#REF!</v>
      </c>
      <c r="I86" s="76" t="e">
        <f t="shared" si="52"/>
        <v>#REF!</v>
      </c>
      <c r="J86" s="76" t="e">
        <f t="shared" si="52"/>
        <v>#REF!</v>
      </c>
      <c r="K86" s="76" t="e">
        <f t="shared" si="52"/>
        <v>#REF!</v>
      </c>
      <c r="L86" s="76" t="e">
        <f t="shared" si="52"/>
        <v>#REF!</v>
      </c>
      <c r="M86" s="76" t="e">
        <f t="shared" si="52"/>
        <v>#REF!</v>
      </c>
      <c r="N86" s="76" t="e">
        <f t="shared" si="52"/>
        <v>#REF!</v>
      </c>
      <c r="O86" s="76" t="e">
        <f t="shared" si="52"/>
        <v>#REF!</v>
      </c>
      <c r="P86" s="76" t="e">
        <f t="shared" si="52"/>
        <v>#REF!</v>
      </c>
      <c r="Q86" s="76" t="e">
        <f t="shared" si="52"/>
        <v>#REF!</v>
      </c>
      <c r="R86" s="76" t="e">
        <f t="shared" si="52"/>
        <v>#REF!</v>
      </c>
      <c r="S86" s="76" t="e">
        <f t="shared" si="52"/>
        <v>#REF!</v>
      </c>
      <c r="T86" s="76" t="e">
        <f t="shared" si="52"/>
        <v>#REF!</v>
      </c>
      <c r="U86" s="76" t="e">
        <f t="shared" si="52"/>
        <v>#REF!</v>
      </c>
      <c r="V86" s="76" t="e">
        <f t="shared" si="52"/>
        <v>#REF!</v>
      </c>
      <c r="W86" s="76" t="e">
        <f t="shared" si="52"/>
        <v>#REF!</v>
      </c>
      <c r="X86" s="76" t="e">
        <f t="shared" si="52"/>
        <v>#REF!</v>
      </c>
      <c r="Y86" s="76" t="e">
        <f t="shared" si="52"/>
        <v>#REF!</v>
      </c>
      <c r="Z86" s="76" t="e">
        <f t="shared" si="52"/>
        <v>#REF!</v>
      </c>
      <c r="AA86" s="76" t="e">
        <f t="shared" si="52"/>
        <v>#REF!</v>
      </c>
      <c r="AB86" s="76" t="e">
        <f t="shared" si="52"/>
        <v>#REF!</v>
      </c>
      <c r="AC86" s="76" t="e">
        <f t="shared" si="52"/>
        <v>#REF!</v>
      </c>
      <c r="AD86" s="76" t="e">
        <f t="shared" si="52"/>
        <v>#REF!</v>
      </c>
      <c r="AE86" s="76" t="e">
        <f t="shared" si="52"/>
        <v>#REF!</v>
      </c>
      <c r="AF86" s="76" t="e">
        <f t="shared" si="52"/>
        <v>#REF!</v>
      </c>
      <c r="AG86" s="76" t="e">
        <f t="shared" si="52"/>
        <v>#REF!</v>
      </c>
      <c r="AH86" s="76" t="e">
        <f t="shared" si="52"/>
        <v>#REF!</v>
      </c>
      <c r="AI86" s="76" t="e">
        <f t="shared" si="52"/>
        <v>#REF!</v>
      </c>
      <c r="AJ86" s="76" t="e">
        <f t="shared" si="52"/>
        <v>#REF!</v>
      </c>
      <c r="AK86" s="76" t="e">
        <f t="shared" si="52"/>
        <v>#REF!</v>
      </c>
      <c r="AL86" s="76" t="e">
        <f t="shared" si="52"/>
        <v>#REF!</v>
      </c>
      <c r="AM86" s="76" t="e">
        <f t="shared" si="52"/>
        <v>#REF!</v>
      </c>
      <c r="AN86" s="76" t="e">
        <f t="shared" ref="AN86:BX86" si="53">AN84/AN10</f>
        <v>#REF!</v>
      </c>
      <c r="AO86" s="76" t="e">
        <f t="shared" si="53"/>
        <v>#REF!</v>
      </c>
      <c r="AP86" s="76" t="e">
        <f t="shared" si="53"/>
        <v>#REF!</v>
      </c>
      <c r="AQ86" s="76" t="e">
        <f t="shared" si="53"/>
        <v>#REF!</v>
      </c>
      <c r="AR86" s="76" t="e">
        <f t="shared" si="53"/>
        <v>#REF!</v>
      </c>
      <c r="AS86" s="76" t="e">
        <f t="shared" si="53"/>
        <v>#REF!</v>
      </c>
      <c r="AT86" s="76" t="e">
        <f t="shared" si="53"/>
        <v>#REF!</v>
      </c>
      <c r="AU86" s="76" t="e">
        <f t="shared" si="53"/>
        <v>#REF!</v>
      </c>
      <c r="AV86" s="76" t="e">
        <f t="shared" si="53"/>
        <v>#REF!</v>
      </c>
      <c r="AW86" s="76" t="e">
        <f t="shared" si="53"/>
        <v>#REF!</v>
      </c>
      <c r="AX86" s="76" t="e">
        <f t="shared" si="53"/>
        <v>#REF!</v>
      </c>
      <c r="AY86" s="76" t="e">
        <f t="shared" si="53"/>
        <v>#REF!</v>
      </c>
      <c r="AZ86" s="76" t="e">
        <f t="shared" si="53"/>
        <v>#REF!</v>
      </c>
      <c r="BA86" s="76" t="e">
        <f t="shared" si="53"/>
        <v>#REF!</v>
      </c>
      <c r="BB86" s="76" t="e">
        <f t="shared" si="53"/>
        <v>#REF!</v>
      </c>
      <c r="BC86" s="76" t="e">
        <f t="shared" si="53"/>
        <v>#REF!</v>
      </c>
      <c r="BD86" s="76" t="e">
        <f t="shared" si="53"/>
        <v>#REF!</v>
      </c>
      <c r="BE86" s="76" t="e">
        <f t="shared" si="53"/>
        <v>#REF!</v>
      </c>
      <c r="BF86" s="76" t="e">
        <f t="shared" si="53"/>
        <v>#REF!</v>
      </c>
      <c r="BG86" s="76" t="e">
        <f t="shared" si="53"/>
        <v>#REF!</v>
      </c>
      <c r="BH86" s="76" t="e">
        <f t="shared" si="53"/>
        <v>#REF!</v>
      </c>
      <c r="BI86" s="76" t="e">
        <f t="shared" si="53"/>
        <v>#REF!</v>
      </c>
      <c r="BJ86" s="76" t="e">
        <f t="shared" si="53"/>
        <v>#REF!</v>
      </c>
      <c r="BK86" s="76" t="e">
        <f t="shared" si="53"/>
        <v>#REF!</v>
      </c>
      <c r="BL86" s="76" t="e">
        <f t="shared" si="53"/>
        <v>#REF!</v>
      </c>
      <c r="BM86" s="76" t="e">
        <f t="shared" ca="1" si="53"/>
        <v>#REF!</v>
      </c>
      <c r="BN86" s="76" t="e">
        <f t="shared" ca="1" si="53"/>
        <v>#REF!</v>
      </c>
      <c r="BO86" s="76" t="e">
        <f t="shared" ca="1" si="53"/>
        <v>#REF!</v>
      </c>
      <c r="BP86" s="76" t="e">
        <f t="shared" ca="1" si="53"/>
        <v>#REF!</v>
      </c>
      <c r="BQ86" s="76" t="e">
        <f t="shared" ca="1" si="53"/>
        <v>#REF!</v>
      </c>
      <c r="BR86" s="76" t="e">
        <f t="shared" ca="1" si="53"/>
        <v>#REF!</v>
      </c>
      <c r="BS86" s="76" t="e">
        <f t="shared" ca="1" si="53"/>
        <v>#REF!</v>
      </c>
      <c r="BT86" s="76" t="e">
        <f t="shared" ca="1" si="53"/>
        <v>#REF!</v>
      </c>
      <c r="BU86" s="76" t="e">
        <f t="shared" ca="1" si="53"/>
        <v>#REF!</v>
      </c>
      <c r="BV86" s="76" t="e">
        <f t="shared" ca="1" si="53"/>
        <v>#REF!</v>
      </c>
      <c r="BW86" s="76" t="e">
        <f t="shared" ca="1" si="53"/>
        <v>#REF!</v>
      </c>
      <c r="BX86" s="76" t="e">
        <f t="shared" ca="1" si="53"/>
        <v>#REF!</v>
      </c>
      <c r="BY86" s="76" t="e">
        <f t="shared" ref="BY86:BZ86" ca="1" si="54">BY84/BY10</f>
        <v>#REF!</v>
      </c>
      <c r="BZ86" s="76" t="e">
        <f t="shared" ca="1" si="54"/>
        <v>#REF!</v>
      </c>
    </row>
    <row r="87" spans="2:78" outlineLevel="1">
      <c r="B87" s="7" t="s">
        <v>79</v>
      </c>
      <c r="D87" s="77"/>
      <c r="E87" s="77" t="e">
        <f t="shared" ref="E87:AJ87" si="55">E39/E34</f>
        <v>#REF!</v>
      </c>
      <c r="F87" s="77" t="e">
        <f t="shared" si="55"/>
        <v>#REF!</v>
      </c>
      <c r="G87" s="77" t="e">
        <f t="shared" si="55"/>
        <v>#REF!</v>
      </c>
      <c r="H87" s="77" t="e">
        <f t="shared" si="55"/>
        <v>#REF!</v>
      </c>
      <c r="I87" s="77" t="e">
        <f t="shared" si="55"/>
        <v>#REF!</v>
      </c>
      <c r="J87" s="77" t="e">
        <f t="shared" si="55"/>
        <v>#REF!</v>
      </c>
      <c r="K87" s="77" t="e">
        <f t="shared" si="55"/>
        <v>#REF!</v>
      </c>
      <c r="L87" s="77" t="e">
        <f t="shared" si="55"/>
        <v>#REF!</v>
      </c>
      <c r="M87" s="77" t="e">
        <f t="shared" si="55"/>
        <v>#REF!</v>
      </c>
      <c r="N87" s="77" t="e">
        <f t="shared" si="55"/>
        <v>#REF!</v>
      </c>
      <c r="O87" s="77" t="e">
        <f t="shared" si="55"/>
        <v>#REF!</v>
      </c>
      <c r="P87" s="77" t="e">
        <f t="shared" si="55"/>
        <v>#REF!</v>
      </c>
      <c r="Q87" s="77" t="e">
        <f t="shared" si="55"/>
        <v>#REF!</v>
      </c>
      <c r="R87" s="77" t="e">
        <f t="shared" si="55"/>
        <v>#REF!</v>
      </c>
      <c r="S87" s="77" t="e">
        <f t="shared" si="55"/>
        <v>#REF!</v>
      </c>
      <c r="T87" s="77" t="e">
        <f t="shared" si="55"/>
        <v>#REF!</v>
      </c>
      <c r="U87" s="77" t="e">
        <f t="shared" si="55"/>
        <v>#REF!</v>
      </c>
      <c r="V87" s="77" t="e">
        <f t="shared" si="55"/>
        <v>#REF!</v>
      </c>
      <c r="W87" s="77" t="e">
        <f t="shared" si="55"/>
        <v>#REF!</v>
      </c>
      <c r="X87" s="77" t="e">
        <f t="shared" si="55"/>
        <v>#REF!</v>
      </c>
      <c r="Y87" s="77" t="e">
        <f t="shared" si="55"/>
        <v>#REF!</v>
      </c>
      <c r="Z87" s="77" t="e">
        <f t="shared" si="55"/>
        <v>#REF!</v>
      </c>
      <c r="AA87" s="77" t="e">
        <f t="shared" si="55"/>
        <v>#REF!</v>
      </c>
      <c r="AB87" s="77" t="e">
        <f t="shared" si="55"/>
        <v>#REF!</v>
      </c>
      <c r="AC87" s="77" t="e">
        <f t="shared" si="55"/>
        <v>#REF!</v>
      </c>
      <c r="AD87" s="77" t="e">
        <f t="shared" si="55"/>
        <v>#REF!</v>
      </c>
      <c r="AE87" s="77" t="e">
        <f t="shared" si="55"/>
        <v>#REF!</v>
      </c>
      <c r="AF87" s="77" t="e">
        <f t="shared" si="55"/>
        <v>#REF!</v>
      </c>
      <c r="AG87" s="77" t="e">
        <f t="shared" si="55"/>
        <v>#REF!</v>
      </c>
      <c r="AH87" s="77" t="e">
        <f t="shared" si="55"/>
        <v>#REF!</v>
      </c>
      <c r="AI87" s="77" t="e">
        <f t="shared" si="55"/>
        <v>#REF!</v>
      </c>
      <c r="AJ87" s="77" t="e">
        <f t="shared" si="55"/>
        <v>#REF!</v>
      </c>
      <c r="AK87" s="77" t="e">
        <f t="shared" ref="AK87:BP87" si="56">AK39/AK34</f>
        <v>#REF!</v>
      </c>
      <c r="AL87" s="77" t="e">
        <f t="shared" si="56"/>
        <v>#REF!</v>
      </c>
      <c r="AM87" s="77" t="e">
        <f t="shared" si="56"/>
        <v>#REF!</v>
      </c>
      <c r="AN87" s="77" t="e">
        <f t="shared" si="56"/>
        <v>#REF!</v>
      </c>
      <c r="AO87" s="77" t="e">
        <f t="shared" si="56"/>
        <v>#REF!</v>
      </c>
      <c r="AP87" s="77" t="e">
        <f t="shared" si="56"/>
        <v>#REF!</v>
      </c>
      <c r="AQ87" s="77" t="e">
        <f t="shared" si="56"/>
        <v>#REF!</v>
      </c>
      <c r="AR87" s="77" t="e">
        <f t="shared" si="56"/>
        <v>#REF!</v>
      </c>
      <c r="AS87" s="77" t="e">
        <f t="shared" si="56"/>
        <v>#REF!</v>
      </c>
      <c r="AT87" s="77" t="e">
        <f t="shared" si="56"/>
        <v>#REF!</v>
      </c>
      <c r="AU87" s="77" t="e">
        <f t="shared" si="56"/>
        <v>#REF!</v>
      </c>
      <c r="AV87" s="77" t="e">
        <f t="shared" si="56"/>
        <v>#REF!</v>
      </c>
      <c r="AW87" s="77" t="e">
        <f t="shared" si="56"/>
        <v>#REF!</v>
      </c>
      <c r="AX87" s="77" t="e">
        <f t="shared" si="56"/>
        <v>#REF!</v>
      </c>
      <c r="AY87" s="77" t="e">
        <f t="shared" si="56"/>
        <v>#REF!</v>
      </c>
      <c r="AZ87" s="77" t="e">
        <f t="shared" si="56"/>
        <v>#REF!</v>
      </c>
      <c r="BA87" s="77" t="e">
        <f t="shared" si="56"/>
        <v>#REF!</v>
      </c>
      <c r="BB87" s="77" t="e">
        <f t="shared" si="56"/>
        <v>#REF!</v>
      </c>
      <c r="BC87" s="77" t="e">
        <f t="shared" si="56"/>
        <v>#REF!</v>
      </c>
      <c r="BD87" s="77" t="e">
        <f t="shared" si="56"/>
        <v>#REF!</v>
      </c>
      <c r="BE87" s="77" t="e">
        <f t="shared" si="56"/>
        <v>#REF!</v>
      </c>
      <c r="BF87" s="77" t="e">
        <f t="shared" si="56"/>
        <v>#REF!</v>
      </c>
      <c r="BG87" s="77" t="e">
        <f t="shared" si="56"/>
        <v>#REF!</v>
      </c>
      <c r="BH87" s="77" t="e">
        <f t="shared" si="56"/>
        <v>#REF!</v>
      </c>
      <c r="BI87" s="77" t="e">
        <f t="shared" si="56"/>
        <v>#REF!</v>
      </c>
      <c r="BJ87" s="77" t="e">
        <f t="shared" si="56"/>
        <v>#REF!</v>
      </c>
      <c r="BK87" s="77" t="e">
        <f t="shared" si="56"/>
        <v>#REF!</v>
      </c>
      <c r="BL87" s="77" t="e">
        <f t="shared" si="56"/>
        <v>#REF!</v>
      </c>
      <c r="BM87" s="2" t="e">
        <f t="shared" si="56"/>
        <v>#REF!</v>
      </c>
      <c r="BN87" s="2" t="e">
        <f t="shared" si="56"/>
        <v>#REF!</v>
      </c>
      <c r="BO87" s="2" t="e">
        <f t="shared" si="56"/>
        <v>#REF!</v>
      </c>
      <c r="BP87" s="2" t="e">
        <f t="shared" si="56"/>
        <v>#REF!</v>
      </c>
      <c r="BQ87" s="2" t="e">
        <f t="shared" ref="BQ87:BX87" si="57">BQ39/BQ34</f>
        <v>#REF!</v>
      </c>
      <c r="BR87" s="2" t="e">
        <f t="shared" si="57"/>
        <v>#REF!</v>
      </c>
      <c r="BS87" s="2" t="e">
        <f t="shared" si="57"/>
        <v>#REF!</v>
      </c>
      <c r="BT87" s="2" t="e">
        <f t="shared" si="57"/>
        <v>#REF!</v>
      </c>
      <c r="BU87" s="2" t="e">
        <f t="shared" si="57"/>
        <v>#REF!</v>
      </c>
      <c r="BV87" s="2" t="e">
        <f t="shared" si="57"/>
        <v>#REF!</v>
      </c>
      <c r="BW87" s="2" t="e">
        <f t="shared" si="57"/>
        <v>#REF!</v>
      </c>
      <c r="BX87" s="2" t="e">
        <f t="shared" si="57"/>
        <v>#REF!</v>
      </c>
      <c r="BY87" s="2" t="e">
        <f t="shared" ref="BY87:BZ87" si="58">BY39/BY34</f>
        <v>#REF!</v>
      </c>
      <c r="BZ87" s="2" t="e">
        <f t="shared" si="58"/>
        <v>#REF!</v>
      </c>
    </row>
    <row r="88" spans="2:78" outlineLevel="1">
      <c r="B88" s="7" t="s">
        <v>80</v>
      </c>
      <c r="D88" s="77"/>
      <c r="E88" s="77" t="e">
        <f t="shared" ref="E88:AJ88" si="59">E34/E29</f>
        <v>#REF!</v>
      </c>
      <c r="F88" s="77" t="e">
        <f t="shared" si="59"/>
        <v>#REF!</v>
      </c>
      <c r="G88" s="77" t="e">
        <f t="shared" si="59"/>
        <v>#REF!</v>
      </c>
      <c r="H88" s="77" t="e">
        <f t="shared" si="59"/>
        <v>#REF!</v>
      </c>
      <c r="I88" s="77" t="e">
        <f t="shared" si="59"/>
        <v>#REF!</v>
      </c>
      <c r="J88" s="77" t="e">
        <f t="shared" si="59"/>
        <v>#REF!</v>
      </c>
      <c r="K88" s="77" t="e">
        <f t="shared" si="59"/>
        <v>#REF!</v>
      </c>
      <c r="L88" s="77" t="e">
        <f t="shared" si="59"/>
        <v>#REF!</v>
      </c>
      <c r="M88" s="77" t="e">
        <f t="shared" si="59"/>
        <v>#REF!</v>
      </c>
      <c r="N88" s="77" t="e">
        <f t="shared" si="59"/>
        <v>#REF!</v>
      </c>
      <c r="O88" s="77" t="e">
        <f t="shared" si="59"/>
        <v>#REF!</v>
      </c>
      <c r="P88" s="77" t="e">
        <f t="shared" si="59"/>
        <v>#REF!</v>
      </c>
      <c r="Q88" s="77" t="e">
        <f t="shared" si="59"/>
        <v>#REF!</v>
      </c>
      <c r="R88" s="77" t="e">
        <f t="shared" si="59"/>
        <v>#REF!</v>
      </c>
      <c r="S88" s="77" t="e">
        <f t="shared" si="59"/>
        <v>#REF!</v>
      </c>
      <c r="T88" s="77" t="e">
        <f t="shared" si="59"/>
        <v>#REF!</v>
      </c>
      <c r="U88" s="77" t="e">
        <f t="shared" si="59"/>
        <v>#REF!</v>
      </c>
      <c r="V88" s="77" t="e">
        <f t="shared" si="59"/>
        <v>#REF!</v>
      </c>
      <c r="W88" s="77" t="e">
        <f t="shared" si="59"/>
        <v>#REF!</v>
      </c>
      <c r="X88" s="77" t="e">
        <f t="shared" si="59"/>
        <v>#REF!</v>
      </c>
      <c r="Y88" s="77" t="e">
        <f t="shared" si="59"/>
        <v>#REF!</v>
      </c>
      <c r="Z88" s="77" t="e">
        <f t="shared" si="59"/>
        <v>#REF!</v>
      </c>
      <c r="AA88" s="77" t="e">
        <f t="shared" si="59"/>
        <v>#REF!</v>
      </c>
      <c r="AB88" s="77" t="e">
        <f t="shared" si="59"/>
        <v>#REF!</v>
      </c>
      <c r="AC88" s="77" t="e">
        <f t="shared" si="59"/>
        <v>#REF!</v>
      </c>
      <c r="AD88" s="77" t="e">
        <f t="shared" si="59"/>
        <v>#REF!</v>
      </c>
      <c r="AE88" s="77" t="e">
        <f t="shared" si="59"/>
        <v>#REF!</v>
      </c>
      <c r="AF88" s="77" t="e">
        <f t="shared" si="59"/>
        <v>#REF!</v>
      </c>
      <c r="AG88" s="77" t="e">
        <f t="shared" si="59"/>
        <v>#REF!</v>
      </c>
      <c r="AH88" s="77" t="e">
        <f t="shared" si="59"/>
        <v>#REF!</v>
      </c>
      <c r="AI88" s="77" t="e">
        <f t="shared" si="59"/>
        <v>#REF!</v>
      </c>
      <c r="AJ88" s="77" t="e">
        <f t="shared" si="59"/>
        <v>#REF!</v>
      </c>
      <c r="AK88" s="77" t="e">
        <f t="shared" ref="AK88:BP88" si="60">AK34/AK29</f>
        <v>#REF!</v>
      </c>
      <c r="AL88" s="77" t="e">
        <f t="shared" si="60"/>
        <v>#REF!</v>
      </c>
      <c r="AM88" s="77" t="e">
        <f t="shared" si="60"/>
        <v>#REF!</v>
      </c>
      <c r="AN88" s="77" t="e">
        <f t="shared" si="60"/>
        <v>#REF!</v>
      </c>
      <c r="AO88" s="77" t="e">
        <f t="shared" si="60"/>
        <v>#REF!</v>
      </c>
      <c r="AP88" s="77" t="e">
        <f t="shared" si="60"/>
        <v>#REF!</v>
      </c>
      <c r="AQ88" s="77" t="e">
        <f t="shared" si="60"/>
        <v>#REF!</v>
      </c>
      <c r="AR88" s="77" t="e">
        <f t="shared" si="60"/>
        <v>#REF!</v>
      </c>
      <c r="AS88" s="77" t="e">
        <f t="shared" si="60"/>
        <v>#REF!</v>
      </c>
      <c r="AT88" s="77" t="e">
        <f t="shared" si="60"/>
        <v>#REF!</v>
      </c>
      <c r="AU88" s="77" t="e">
        <f t="shared" si="60"/>
        <v>#REF!</v>
      </c>
      <c r="AV88" s="77" t="e">
        <f t="shared" si="60"/>
        <v>#REF!</v>
      </c>
      <c r="AW88" s="77" t="e">
        <f t="shared" si="60"/>
        <v>#REF!</v>
      </c>
      <c r="AX88" s="77" t="e">
        <f t="shared" si="60"/>
        <v>#REF!</v>
      </c>
      <c r="AY88" s="77" t="e">
        <f t="shared" si="60"/>
        <v>#REF!</v>
      </c>
      <c r="AZ88" s="77" t="e">
        <f t="shared" si="60"/>
        <v>#REF!</v>
      </c>
      <c r="BA88" s="77" t="e">
        <f t="shared" si="60"/>
        <v>#REF!</v>
      </c>
      <c r="BB88" s="77" t="e">
        <f t="shared" si="60"/>
        <v>#REF!</v>
      </c>
      <c r="BC88" s="77" t="e">
        <f t="shared" si="60"/>
        <v>#REF!</v>
      </c>
      <c r="BD88" s="77" t="e">
        <f t="shared" si="60"/>
        <v>#REF!</v>
      </c>
      <c r="BE88" s="77" t="e">
        <f t="shared" si="60"/>
        <v>#REF!</v>
      </c>
      <c r="BF88" s="77" t="e">
        <f t="shared" si="60"/>
        <v>#REF!</v>
      </c>
      <c r="BG88" s="77" t="e">
        <f t="shared" si="60"/>
        <v>#REF!</v>
      </c>
      <c r="BH88" s="77" t="e">
        <f t="shared" si="60"/>
        <v>#REF!</v>
      </c>
      <c r="BI88" s="77" t="e">
        <f t="shared" si="60"/>
        <v>#REF!</v>
      </c>
      <c r="BJ88" s="77" t="e">
        <f t="shared" si="60"/>
        <v>#REF!</v>
      </c>
      <c r="BK88" s="77" t="e">
        <f t="shared" si="60"/>
        <v>#REF!</v>
      </c>
      <c r="BL88" s="77" t="e">
        <f t="shared" si="60"/>
        <v>#REF!</v>
      </c>
      <c r="BM88" s="2" t="e">
        <f t="shared" si="60"/>
        <v>#REF!</v>
      </c>
      <c r="BN88" s="2" t="e">
        <f t="shared" si="60"/>
        <v>#REF!</v>
      </c>
      <c r="BO88" s="2" t="e">
        <f t="shared" si="60"/>
        <v>#REF!</v>
      </c>
      <c r="BP88" s="2" t="e">
        <f t="shared" si="60"/>
        <v>#REF!</v>
      </c>
      <c r="BQ88" s="2" t="e">
        <f t="shared" ref="BQ88:BX88" si="61">BQ34/BQ29</f>
        <v>#REF!</v>
      </c>
      <c r="BR88" s="2" t="e">
        <f t="shared" si="61"/>
        <v>#REF!</v>
      </c>
      <c r="BS88" s="2" t="e">
        <f t="shared" si="61"/>
        <v>#REF!</v>
      </c>
      <c r="BT88" s="2" t="e">
        <f t="shared" si="61"/>
        <v>#REF!</v>
      </c>
      <c r="BU88" s="2" t="e">
        <f t="shared" si="61"/>
        <v>#REF!</v>
      </c>
      <c r="BV88" s="2" t="e">
        <f t="shared" si="61"/>
        <v>#REF!</v>
      </c>
      <c r="BW88" s="2" t="e">
        <f t="shared" si="61"/>
        <v>#REF!</v>
      </c>
      <c r="BX88" s="2" t="e">
        <f t="shared" si="61"/>
        <v>#REF!</v>
      </c>
      <c r="BY88" s="2" t="e">
        <f t="shared" ref="BY88:BZ88" si="62">BY34/BY29</f>
        <v>#REF!</v>
      </c>
      <c r="BZ88" s="2" t="e">
        <f t="shared" si="62"/>
        <v>#REF!</v>
      </c>
    </row>
    <row r="89" spans="2:78" outlineLevel="1">
      <c r="B89" s="7" t="s">
        <v>81</v>
      </c>
      <c r="D89" s="77"/>
      <c r="E89" s="77" t="e">
        <f t="shared" ref="E89:AJ89" si="63">E29/E10</f>
        <v>#REF!</v>
      </c>
      <c r="F89" s="77" t="e">
        <f t="shared" si="63"/>
        <v>#REF!</v>
      </c>
      <c r="G89" s="77" t="e">
        <f t="shared" si="63"/>
        <v>#REF!</v>
      </c>
      <c r="H89" s="77" t="e">
        <f t="shared" si="63"/>
        <v>#REF!</v>
      </c>
      <c r="I89" s="77" t="e">
        <f t="shared" si="63"/>
        <v>#REF!</v>
      </c>
      <c r="J89" s="77" t="e">
        <f t="shared" si="63"/>
        <v>#REF!</v>
      </c>
      <c r="K89" s="77" t="e">
        <f t="shared" si="63"/>
        <v>#REF!</v>
      </c>
      <c r="L89" s="77" t="e">
        <f t="shared" si="63"/>
        <v>#REF!</v>
      </c>
      <c r="M89" s="77" t="e">
        <f t="shared" si="63"/>
        <v>#REF!</v>
      </c>
      <c r="N89" s="77" t="e">
        <f t="shared" si="63"/>
        <v>#REF!</v>
      </c>
      <c r="O89" s="77" t="e">
        <f t="shared" si="63"/>
        <v>#REF!</v>
      </c>
      <c r="P89" s="77" t="e">
        <f t="shared" si="63"/>
        <v>#REF!</v>
      </c>
      <c r="Q89" s="77" t="e">
        <f t="shared" si="63"/>
        <v>#REF!</v>
      </c>
      <c r="R89" s="77" t="e">
        <f t="shared" si="63"/>
        <v>#REF!</v>
      </c>
      <c r="S89" s="77" t="e">
        <f t="shared" si="63"/>
        <v>#REF!</v>
      </c>
      <c r="T89" s="77" t="e">
        <f t="shared" si="63"/>
        <v>#REF!</v>
      </c>
      <c r="U89" s="77" t="e">
        <f t="shared" si="63"/>
        <v>#REF!</v>
      </c>
      <c r="V89" s="77" t="e">
        <f t="shared" si="63"/>
        <v>#REF!</v>
      </c>
      <c r="W89" s="77" t="e">
        <f t="shared" si="63"/>
        <v>#REF!</v>
      </c>
      <c r="X89" s="77" t="e">
        <f t="shared" si="63"/>
        <v>#REF!</v>
      </c>
      <c r="Y89" s="77" t="e">
        <f t="shared" si="63"/>
        <v>#REF!</v>
      </c>
      <c r="Z89" s="77" t="e">
        <f t="shared" si="63"/>
        <v>#REF!</v>
      </c>
      <c r="AA89" s="77" t="e">
        <f t="shared" si="63"/>
        <v>#REF!</v>
      </c>
      <c r="AB89" s="77" t="e">
        <f t="shared" si="63"/>
        <v>#REF!</v>
      </c>
      <c r="AC89" s="77" t="e">
        <f t="shared" si="63"/>
        <v>#REF!</v>
      </c>
      <c r="AD89" s="77" t="e">
        <f t="shared" si="63"/>
        <v>#REF!</v>
      </c>
      <c r="AE89" s="77" t="e">
        <f t="shared" si="63"/>
        <v>#REF!</v>
      </c>
      <c r="AF89" s="77" t="e">
        <f t="shared" si="63"/>
        <v>#REF!</v>
      </c>
      <c r="AG89" s="77" t="e">
        <f t="shared" si="63"/>
        <v>#REF!</v>
      </c>
      <c r="AH89" s="77" t="e">
        <f t="shared" si="63"/>
        <v>#REF!</v>
      </c>
      <c r="AI89" s="77" t="e">
        <f t="shared" si="63"/>
        <v>#REF!</v>
      </c>
      <c r="AJ89" s="77" t="e">
        <f t="shared" si="63"/>
        <v>#REF!</v>
      </c>
      <c r="AK89" s="77" t="e">
        <f t="shared" ref="AK89:BP89" si="64">AK29/AK10</f>
        <v>#REF!</v>
      </c>
      <c r="AL89" s="77" t="e">
        <f t="shared" si="64"/>
        <v>#REF!</v>
      </c>
      <c r="AM89" s="77" t="e">
        <f t="shared" si="64"/>
        <v>#REF!</v>
      </c>
      <c r="AN89" s="77" t="e">
        <f t="shared" si="64"/>
        <v>#REF!</v>
      </c>
      <c r="AO89" s="77" t="e">
        <f t="shared" si="64"/>
        <v>#REF!</v>
      </c>
      <c r="AP89" s="77" t="e">
        <f t="shared" si="64"/>
        <v>#REF!</v>
      </c>
      <c r="AQ89" s="77" t="e">
        <f t="shared" si="64"/>
        <v>#REF!</v>
      </c>
      <c r="AR89" s="77" t="e">
        <f t="shared" si="64"/>
        <v>#REF!</v>
      </c>
      <c r="AS89" s="77" t="e">
        <f t="shared" si="64"/>
        <v>#REF!</v>
      </c>
      <c r="AT89" s="77" t="e">
        <f t="shared" si="64"/>
        <v>#REF!</v>
      </c>
      <c r="AU89" s="77" t="e">
        <f t="shared" si="64"/>
        <v>#REF!</v>
      </c>
      <c r="AV89" s="77" t="e">
        <f t="shared" si="64"/>
        <v>#REF!</v>
      </c>
      <c r="AW89" s="77" t="e">
        <f t="shared" si="64"/>
        <v>#REF!</v>
      </c>
      <c r="AX89" s="77" t="e">
        <f t="shared" si="64"/>
        <v>#REF!</v>
      </c>
      <c r="AY89" s="77" t="e">
        <f t="shared" si="64"/>
        <v>#REF!</v>
      </c>
      <c r="AZ89" s="77" t="e">
        <f t="shared" si="64"/>
        <v>#REF!</v>
      </c>
      <c r="BA89" s="77" t="e">
        <f t="shared" si="64"/>
        <v>#REF!</v>
      </c>
      <c r="BB89" s="77" t="e">
        <f t="shared" si="64"/>
        <v>#REF!</v>
      </c>
      <c r="BC89" s="77" t="e">
        <f t="shared" si="64"/>
        <v>#REF!</v>
      </c>
      <c r="BD89" s="77" t="e">
        <f t="shared" si="64"/>
        <v>#REF!</v>
      </c>
      <c r="BE89" s="77" t="e">
        <f t="shared" si="64"/>
        <v>#REF!</v>
      </c>
      <c r="BF89" s="77" t="e">
        <f t="shared" si="64"/>
        <v>#REF!</v>
      </c>
      <c r="BG89" s="77" t="e">
        <f t="shared" si="64"/>
        <v>#REF!</v>
      </c>
      <c r="BH89" s="77" t="e">
        <f t="shared" si="64"/>
        <v>#REF!</v>
      </c>
      <c r="BI89" s="77" t="e">
        <f t="shared" si="64"/>
        <v>#REF!</v>
      </c>
      <c r="BJ89" s="77" t="e">
        <f t="shared" si="64"/>
        <v>#REF!</v>
      </c>
      <c r="BK89" s="77" t="e">
        <f t="shared" si="64"/>
        <v>#REF!</v>
      </c>
      <c r="BL89" s="77" t="e">
        <f t="shared" si="64"/>
        <v>#REF!</v>
      </c>
      <c r="BM89" s="2" t="e">
        <f t="shared" si="64"/>
        <v>#REF!</v>
      </c>
      <c r="BN89" s="2" t="e">
        <f t="shared" si="64"/>
        <v>#REF!</v>
      </c>
      <c r="BO89" s="2" t="e">
        <f t="shared" si="64"/>
        <v>#REF!</v>
      </c>
      <c r="BP89" s="2" t="e">
        <f t="shared" si="64"/>
        <v>#REF!</v>
      </c>
      <c r="BQ89" s="2" t="e">
        <f t="shared" ref="BQ89:BX89" si="65">BQ29/BQ10</f>
        <v>#REF!</v>
      </c>
      <c r="BR89" s="2" t="e">
        <f t="shared" si="65"/>
        <v>#REF!</v>
      </c>
      <c r="BS89" s="2" t="e">
        <f t="shared" si="65"/>
        <v>#REF!</v>
      </c>
      <c r="BT89" s="2" t="e">
        <f t="shared" si="65"/>
        <v>#REF!</v>
      </c>
      <c r="BU89" s="2" t="e">
        <f t="shared" si="65"/>
        <v>#REF!</v>
      </c>
      <c r="BV89" s="2" t="e">
        <f t="shared" si="65"/>
        <v>#REF!</v>
      </c>
      <c r="BW89" s="2" t="e">
        <f t="shared" si="65"/>
        <v>#REF!</v>
      </c>
      <c r="BX89" s="2" t="e">
        <f t="shared" si="65"/>
        <v>#REF!</v>
      </c>
      <c r="BY89" s="2" t="e">
        <f t="shared" ref="BY89:BZ89" si="66">BY29/BY10</f>
        <v>#REF!</v>
      </c>
      <c r="BZ89" s="2" t="e">
        <f t="shared" si="66"/>
        <v>#REF!</v>
      </c>
    </row>
    <row r="90" spans="2:78" outlineLevel="1">
      <c r="B90" s="7" t="s">
        <v>82</v>
      </c>
      <c r="D90" s="77"/>
      <c r="E90" s="77" t="e">
        <f t="shared" ref="E90:AJ90" si="67">E10/E55</f>
        <v>#REF!</v>
      </c>
      <c r="F90" s="77" t="e">
        <f t="shared" si="67"/>
        <v>#REF!</v>
      </c>
      <c r="G90" s="77" t="e">
        <f t="shared" si="67"/>
        <v>#REF!</v>
      </c>
      <c r="H90" s="77" t="e">
        <f t="shared" si="67"/>
        <v>#REF!</v>
      </c>
      <c r="I90" s="77" t="e">
        <f t="shared" si="67"/>
        <v>#REF!</v>
      </c>
      <c r="J90" s="77" t="e">
        <f t="shared" si="67"/>
        <v>#REF!</v>
      </c>
      <c r="K90" s="77" t="e">
        <f t="shared" si="67"/>
        <v>#REF!</v>
      </c>
      <c r="L90" s="77" t="e">
        <f t="shared" si="67"/>
        <v>#REF!</v>
      </c>
      <c r="M90" s="77" t="e">
        <f t="shared" si="67"/>
        <v>#REF!</v>
      </c>
      <c r="N90" s="77" t="e">
        <f t="shared" si="67"/>
        <v>#REF!</v>
      </c>
      <c r="O90" s="77" t="e">
        <f t="shared" si="67"/>
        <v>#REF!</v>
      </c>
      <c r="P90" s="77" t="e">
        <f t="shared" si="67"/>
        <v>#REF!</v>
      </c>
      <c r="Q90" s="77" t="e">
        <f t="shared" si="67"/>
        <v>#REF!</v>
      </c>
      <c r="R90" s="77" t="e">
        <f t="shared" si="67"/>
        <v>#REF!</v>
      </c>
      <c r="S90" s="77" t="e">
        <f t="shared" si="67"/>
        <v>#REF!</v>
      </c>
      <c r="T90" s="77" t="e">
        <f t="shared" si="67"/>
        <v>#REF!</v>
      </c>
      <c r="U90" s="77" t="e">
        <f t="shared" si="67"/>
        <v>#REF!</v>
      </c>
      <c r="V90" s="77" t="e">
        <f t="shared" si="67"/>
        <v>#REF!</v>
      </c>
      <c r="W90" s="77" t="e">
        <f t="shared" si="67"/>
        <v>#REF!</v>
      </c>
      <c r="X90" s="77" t="e">
        <f t="shared" si="67"/>
        <v>#REF!</v>
      </c>
      <c r="Y90" s="77" t="e">
        <f t="shared" si="67"/>
        <v>#REF!</v>
      </c>
      <c r="Z90" s="77" t="e">
        <f t="shared" si="67"/>
        <v>#REF!</v>
      </c>
      <c r="AA90" s="77" t="e">
        <f t="shared" si="67"/>
        <v>#REF!</v>
      </c>
      <c r="AB90" s="77" t="e">
        <f t="shared" si="67"/>
        <v>#REF!</v>
      </c>
      <c r="AC90" s="77" t="e">
        <f t="shared" si="67"/>
        <v>#REF!</v>
      </c>
      <c r="AD90" s="77" t="e">
        <f t="shared" si="67"/>
        <v>#REF!</v>
      </c>
      <c r="AE90" s="77" t="e">
        <f t="shared" si="67"/>
        <v>#REF!</v>
      </c>
      <c r="AF90" s="77" t="e">
        <f t="shared" si="67"/>
        <v>#REF!</v>
      </c>
      <c r="AG90" s="77" t="e">
        <f t="shared" si="67"/>
        <v>#REF!</v>
      </c>
      <c r="AH90" s="77" t="e">
        <f t="shared" si="67"/>
        <v>#REF!</v>
      </c>
      <c r="AI90" s="77" t="e">
        <f t="shared" si="67"/>
        <v>#REF!</v>
      </c>
      <c r="AJ90" s="77" t="e">
        <f t="shared" si="67"/>
        <v>#REF!</v>
      </c>
      <c r="AK90" s="77" t="e">
        <f t="shared" ref="AK90:BP90" si="68">AK10/AK55</f>
        <v>#REF!</v>
      </c>
      <c r="AL90" s="77" t="e">
        <f t="shared" si="68"/>
        <v>#REF!</v>
      </c>
      <c r="AM90" s="77" t="e">
        <f t="shared" si="68"/>
        <v>#REF!</v>
      </c>
      <c r="AN90" s="77" t="e">
        <f t="shared" si="68"/>
        <v>#REF!</v>
      </c>
      <c r="AO90" s="77" t="e">
        <f t="shared" si="68"/>
        <v>#REF!</v>
      </c>
      <c r="AP90" s="77" t="e">
        <f t="shared" si="68"/>
        <v>#REF!</v>
      </c>
      <c r="AQ90" s="77" t="e">
        <f t="shared" si="68"/>
        <v>#REF!</v>
      </c>
      <c r="AR90" s="77" t="e">
        <f t="shared" si="68"/>
        <v>#REF!</v>
      </c>
      <c r="AS90" s="77" t="e">
        <f t="shared" si="68"/>
        <v>#REF!</v>
      </c>
      <c r="AT90" s="77" t="e">
        <f t="shared" si="68"/>
        <v>#REF!</v>
      </c>
      <c r="AU90" s="77" t="e">
        <f t="shared" si="68"/>
        <v>#REF!</v>
      </c>
      <c r="AV90" s="77" t="e">
        <f t="shared" si="68"/>
        <v>#REF!</v>
      </c>
      <c r="AW90" s="77" t="e">
        <f t="shared" si="68"/>
        <v>#REF!</v>
      </c>
      <c r="AX90" s="77" t="e">
        <f t="shared" si="68"/>
        <v>#REF!</v>
      </c>
      <c r="AY90" s="77" t="e">
        <f t="shared" si="68"/>
        <v>#REF!</v>
      </c>
      <c r="AZ90" s="77" t="e">
        <f t="shared" si="68"/>
        <v>#REF!</v>
      </c>
      <c r="BA90" s="77" t="e">
        <f t="shared" si="68"/>
        <v>#REF!</v>
      </c>
      <c r="BB90" s="77" t="e">
        <f t="shared" si="68"/>
        <v>#REF!</v>
      </c>
      <c r="BC90" s="77" t="e">
        <f t="shared" si="68"/>
        <v>#REF!</v>
      </c>
      <c r="BD90" s="77" t="e">
        <f t="shared" si="68"/>
        <v>#REF!</v>
      </c>
      <c r="BE90" s="77" t="e">
        <f t="shared" si="68"/>
        <v>#REF!</v>
      </c>
      <c r="BF90" s="77" t="e">
        <f t="shared" si="68"/>
        <v>#REF!</v>
      </c>
      <c r="BG90" s="77" t="e">
        <f t="shared" si="68"/>
        <v>#REF!</v>
      </c>
      <c r="BH90" s="77" t="e">
        <f t="shared" si="68"/>
        <v>#REF!</v>
      </c>
      <c r="BI90" s="77" t="e">
        <f t="shared" si="68"/>
        <v>#REF!</v>
      </c>
      <c r="BJ90" s="77" t="e">
        <f t="shared" si="68"/>
        <v>#REF!</v>
      </c>
      <c r="BK90" s="77" t="e">
        <f t="shared" si="68"/>
        <v>#REF!</v>
      </c>
      <c r="BL90" s="77" t="e">
        <f t="shared" si="68"/>
        <v>#REF!</v>
      </c>
      <c r="BM90" s="2" t="e">
        <f t="shared" si="68"/>
        <v>#REF!</v>
      </c>
      <c r="BN90" s="2" t="e">
        <f t="shared" si="68"/>
        <v>#REF!</v>
      </c>
      <c r="BO90" s="2" t="e">
        <f t="shared" si="68"/>
        <v>#REF!</v>
      </c>
      <c r="BP90" s="2" t="e">
        <f t="shared" si="68"/>
        <v>#REF!</v>
      </c>
      <c r="BQ90" s="2" t="e">
        <f t="shared" ref="BQ90:BX90" si="69">BQ10/BQ55</f>
        <v>#REF!</v>
      </c>
      <c r="BR90" s="2" t="e">
        <f t="shared" si="69"/>
        <v>#REF!</v>
      </c>
      <c r="BS90" s="2" t="e">
        <f t="shared" si="69"/>
        <v>#REF!</v>
      </c>
      <c r="BT90" s="2" t="e">
        <f t="shared" si="69"/>
        <v>#REF!</v>
      </c>
      <c r="BU90" s="2" t="e">
        <f t="shared" si="69"/>
        <v>#REF!</v>
      </c>
      <c r="BV90" s="2" t="e">
        <f t="shared" si="69"/>
        <v>#REF!</v>
      </c>
      <c r="BW90" s="2" t="e">
        <f t="shared" si="69"/>
        <v>#REF!</v>
      </c>
      <c r="BX90" s="2" t="e">
        <f t="shared" si="69"/>
        <v>#REF!</v>
      </c>
      <c r="BY90" s="2" t="e">
        <f t="shared" ref="BY90:BZ90" si="70">BY10/BY55</f>
        <v>#REF!</v>
      </c>
      <c r="BZ90" s="2" t="e">
        <f t="shared" si="70"/>
        <v>#REF!</v>
      </c>
    </row>
    <row r="91" spans="2:78">
      <c r="B91" s="69" t="s">
        <v>83</v>
      </c>
      <c r="C91" s="69"/>
      <c r="D91" s="78" t="e">
        <f t="shared" ref="D91:AI91" si="71">(D39-D31*(1-D36))/D55</f>
        <v>#DIV/0!</v>
      </c>
      <c r="E91" s="78" t="e">
        <f t="shared" si="71"/>
        <v>#REF!</v>
      </c>
      <c r="F91" s="78" t="e">
        <f t="shared" si="71"/>
        <v>#REF!</v>
      </c>
      <c r="G91" s="78" t="e">
        <f t="shared" si="71"/>
        <v>#REF!</v>
      </c>
      <c r="H91" s="78" t="e">
        <f t="shared" si="71"/>
        <v>#REF!</v>
      </c>
      <c r="I91" s="78" t="e">
        <f t="shared" si="71"/>
        <v>#REF!</v>
      </c>
      <c r="J91" s="78" t="e">
        <f t="shared" si="71"/>
        <v>#REF!</v>
      </c>
      <c r="K91" s="78" t="e">
        <f t="shared" si="71"/>
        <v>#REF!</v>
      </c>
      <c r="L91" s="78" t="e">
        <f t="shared" si="71"/>
        <v>#REF!</v>
      </c>
      <c r="M91" s="78" t="e">
        <f t="shared" si="71"/>
        <v>#REF!</v>
      </c>
      <c r="N91" s="78" t="e">
        <f t="shared" si="71"/>
        <v>#REF!</v>
      </c>
      <c r="O91" s="78" t="e">
        <f t="shared" si="71"/>
        <v>#REF!</v>
      </c>
      <c r="P91" s="78" t="e">
        <f t="shared" si="71"/>
        <v>#REF!</v>
      </c>
      <c r="Q91" s="78" t="e">
        <f t="shared" si="71"/>
        <v>#REF!</v>
      </c>
      <c r="R91" s="78" t="e">
        <f t="shared" si="71"/>
        <v>#REF!</v>
      </c>
      <c r="S91" s="78" t="e">
        <f t="shared" si="71"/>
        <v>#REF!</v>
      </c>
      <c r="T91" s="78" t="e">
        <f t="shared" si="71"/>
        <v>#REF!</v>
      </c>
      <c r="U91" s="78" t="e">
        <f t="shared" si="71"/>
        <v>#REF!</v>
      </c>
      <c r="V91" s="78" t="e">
        <f t="shared" si="71"/>
        <v>#REF!</v>
      </c>
      <c r="W91" s="78" t="e">
        <f t="shared" si="71"/>
        <v>#REF!</v>
      </c>
      <c r="X91" s="78" t="e">
        <f t="shared" si="71"/>
        <v>#REF!</v>
      </c>
      <c r="Y91" s="78" t="e">
        <f t="shared" si="71"/>
        <v>#REF!</v>
      </c>
      <c r="Z91" s="78" t="e">
        <f t="shared" si="71"/>
        <v>#REF!</v>
      </c>
      <c r="AA91" s="78" t="e">
        <f t="shared" si="71"/>
        <v>#REF!</v>
      </c>
      <c r="AB91" s="78" t="e">
        <f t="shared" si="71"/>
        <v>#REF!</v>
      </c>
      <c r="AC91" s="78" t="e">
        <f t="shared" si="71"/>
        <v>#REF!</v>
      </c>
      <c r="AD91" s="78" t="e">
        <f t="shared" si="71"/>
        <v>#REF!</v>
      </c>
      <c r="AE91" s="78" t="e">
        <f t="shared" si="71"/>
        <v>#REF!</v>
      </c>
      <c r="AF91" s="78" t="e">
        <f t="shared" si="71"/>
        <v>#REF!</v>
      </c>
      <c r="AG91" s="78" t="e">
        <f t="shared" si="71"/>
        <v>#REF!</v>
      </c>
      <c r="AH91" s="78" t="e">
        <f t="shared" si="71"/>
        <v>#REF!</v>
      </c>
      <c r="AI91" s="78" t="e">
        <f t="shared" si="71"/>
        <v>#REF!</v>
      </c>
      <c r="AJ91" s="78" t="e">
        <f t="shared" ref="AJ91:BL91" si="72">(AJ39-AJ31*(1-AJ36))/AJ55</f>
        <v>#REF!</v>
      </c>
      <c r="AK91" s="78" t="e">
        <f t="shared" si="72"/>
        <v>#REF!</v>
      </c>
      <c r="AL91" s="78" t="e">
        <f t="shared" si="72"/>
        <v>#REF!</v>
      </c>
      <c r="AM91" s="78" t="e">
        <f t="shared" si="72"/>
        <v>#REF!</v>
      </c>
      <c r="AN91" s="78" t="e">
        <f t="shared" si="72"/>
        <v>#REF!</v>
      </c>
      <c r="AO91" s="78" t="e">
        <f t="shared" si="72"/>
        <v>#REF!</v>
      </c>
      <c r="AP91" s="78" t="e">
        <f t="shared" si="72"/>
        <v>#REF!</v>
      </c>
      <c r="AQ91" s="78" t="e">
        <f t="shared" si="72"/>
        <v>#REF!</v>
      </c>
      <c r="AR91" s="78" t="e">
        <f t="shared" si="72"/>
        <v>#REF!</v>
      </c>
      <c r="AS91" s="78" t="e">
        <f t="shared" si="72"/>
        <v>#REF!</v>
      </c>
      <c r="AT91" s="78" t="e">
        <f t="shared" si="72"/>
        <v>#REF!</v>
      </c>
      <c r="AU91" s="78" t="e">
        <f t="shared" si="72"/>
        <v>#REF!</v>
      </c>
      <c r="AV91" s="78" t="e">
        <f t="shared" si="72"/>
        <v>#REF!</v>
      </c>
      <c r="AW91" s="78" t="e">
        <f t="shared" si="72"/>
        <v>#REF!</v>
      </c>
      <c r="AX91" s="78" t="e">
        <f t="shared" si="72"/>
        <v>#REF!</v>
      </c>
      <c r="AY91" s="78" t="e">
        <f t="shared" si="72"/>
        <v>#REF!</v>
      </c>
      <c r="AZ91" s="78" t="e">
        <f t="shared" si="72"/>
        <v>#REF!</v>
      </c>
      <c r="BA91" s="78" t="e">
        <f t="shared" si="72"/>
        <v>#REF!</v>
      </c>
      <c r="BB91" s="78" t="e">
        <f t="shared" si="72"/>
        <v>#REF!</v>
      </c>
      <c r="BC91" s="78" t="e">
        <f t="shared" si="72"/>
        <v>#REF!</v>
      </c>
      <c r="BD91" s="78" t="e">
        <f t="shared" si="72"/>
        <v>#REF!</v>
      </c>
      <c r="BE91" s="78" t="e">
        <f t="shared" si="72"/>
        <v>#REF!</v>
      </c>
      <c r="BF91" s="78" t="e">
        <f t="shared" si="72"/>
        <v>#REF!</v>
      </c>
      <c r="BG91" s="78" t="e">
        <f t="shared" si="72"/>
        <v>#REF!</v>
      </c>
      <c r="BH91" s="78" t="e">
        <f t="shared" si="72"/>
        <v>#REF!</v>
      </c>
      <c r="BI91" s="78" t="e">
        <f t="shared" si="72"/>
        <v>#REF!</v>
      </c>
      <c r="BJ91" s="78" t="e">
        <f t="shared" si="72"/>
        <v>#REF!</v>
      </c>
      <c r="BK91" s="78" t="e">
        <f t="shared" si="72"/>
        <v>#REF!</v>
      </c>
      <c r="BL91" s="78" t="e">
        <f t="shared" si="72"/>
        <v>#REF!</v>
      </c>
      <c r="BM91" s="78" t="e">
        <f>BM93/BM92</f>
        <v>#REF!</v>
      </c>
      <c r="BN91" s="78" t="e">
        <f t="shared" ref="BN91:BX91" si="73">BN93/BN92</f>
        <v>#REF!</v>
      </c>
      <c r="BO91" s="78" t="e">
        <f t="shared" si="73"/>
        <v>#REF!</v>
      </c>
      <c r="BP91" s="78" t="e">
        <f t="shared" si="73"/>
        <v>#REF!</v>
      </c>
      <c r="BQ91" s="78" t="e">
        <f t="shared" si="73"/>
        <v>#REF!</v>
      </c>
      <c r="BR91" s="78" t="e">
        <f t="shared" si="73"/>
        <v>#REF!</v>
      </c>
      <c r="BS91" s="78" t="e">
        <f t="shared" si="73"/>
        <v>#REF!</v>
      </c>
      <c r="BT91" s="78" t="e">
        <f t="shared" si="73"/>
        <v>#REF!</v>
      </c>
      <c r="BU91" s="78" t="e">
        <f t="shared" si="73"/>
        <v>#REF!</v>
      </c>
      <c r="BV91" s="78" t="e">
        <f t="shared" si="73"/>
        <v>#REF!</v>
      </c>
      <c r="BW91" s="78" t="e">
        <f>(BW39-BW31*(1-BW36))/BW55</f>
        <v>#REF!</v>
      </c>
      <c r="BX91" s="78" t="e">
        <f t="shared" si="73"/>
        <v>#REF!</v>
      </c>
      <c r="BY91" s="78" t="e">
        <f t="shared" ref="BY91" si="74">BY93/BY92</f>
        <v>#REF!</v>
      </c>
      <c r="BZ91" s="78" t="e">
        <f>(BZ39-BZ31*(1-BZ36))/BZ55</f>
        <v>#REF!</v>
      </c>
    </row>
    <row r="92" spans="2:78" outlineLevel="1">
      <c r="B92" s="37" t="s">
        <v>84</v>
      </c>
      <c r="C92" s="37"/>
      <c r="D92" s="79" t="e">
        <f t="shared" ref="D92:AI92" si="75">D55/D54</f>
        <v>#DIV/0!</v>
      </c>
      <c r="E92" s="79" t="e">
        <f t="shared" si="75"/>
        <v>#REF!</v>
      </c>
      <c r="F92" s="79" t="e">
        <f t="shared" si="75"/>
        <v>#REF!</v>
      </c>
      <c r="G92" s="79" t="e">
        <f t="shared" si="75"/>
        <v>#REF!</v>
      </c>
      <c r="H92" s="79" t="e">
        <f t="shared" si="75"/>
        <v>#REF!</v>
      </c>
      <c r="I92" s="79" t="e">
        <f t="shared" si="75"/>
        <v>#REF!</v>
      </c>
      <c r="J92" s="79" t="e">
        <f t="shared" si="75"/>
        <v>#REF!</v>
      </c>
      <c r="K92" s="79" t="e">
        <f t="shared" si="75"/>
        <v>#REF!</v>
      </c>
      <c r="L92" s="79" t="e">
        <f t="shared" si="75"/>
        <v>#REF!</v>
      </c>
      <c r="M92" s="79" t="e">
        <f t="shared" si="75"/>
        <v>#REF!</v>
      </c>
      <c r="N92" s="79" t="e">
        <f t="shared" si="75"/>
        <v>#REF!</v>
      </c>
      <c r="O92" s="79" t="e">
        <f t="shared" si="75"/>
        <v>#REF!</v>
      </c>
      <c r="P92" s="79" t="e">
        <f t="shared" si="75"/>
        <v>#REF!</v>
      </c>
      <c r="Q92" s="79" t="e">
        <f t="shared" si="75"/>
        <v>#REF!</v>
      </c>
      <c r="R92" s="79" t="e">
        <f t="shared" si="75"/>
        <v>#REF!</v>
      </c>
      <c r="S92" s="79" t="e">
        <f t="shared" si="75"/>
        <v>#REF!</v>
      </c>
      <c r="T92" s="79" t="e">
        <f t="shared" si="75"/>
        <v>#REF!</v>
      </c>
      <c r="U92" s="79" t="e">
        <f t="shared" si="75"/>
        <v>#REF!</v>
      </c>
      <c r="V92" s="79" t="e">
        <f t="shared" si="75"/>
        <v>#REF!</v>
      </c>
      <c r="W92" s="79" t="e">
        <f t="shared" si="75"/>
        <v>#REF!</v>
      </c>
      <c r="X92" s="79" t="e">
        <f t="shared" si="75"/>
        <v>#REF!</v>
      </c>
      <c r="Y92" s="79" t="e">
        <f t="shared" si="75"/>
        <v>#REF!</v>
      </c>
      <c r="Z92" s="79" t="e">
        <f t="shared" si="75"/>
        <v>#REF!</v>
      </c>
      <c r="AA92" s="79" t="e">
        <f t="shared" si="75"/>
        <v>#REF!</v>
      </c>
      <c r="AB92" s="79" t="e">
        <f t="shared" si="75"/>
        <v>#REF!</v>
      </c>
      <c r="AC92" s="79" t="e">
        <f t="shared" si="75"/>
        <v>#REF!</v>
      </c>
      <c r="AD92" s="79" t="e">
        <f t="shared" si="75"/>
        <v>#REF!</v>
      </c>
      <c r="AE92" s="79" t="e">
        <f t="shared" si="75"/>
        <v>#REF!</v>
      </c>
      <c r="AF92" s="79" t="e">
        <f t="shared" si="75"/>
        <v>#REF!</v>
      </c>
      <c r="AG92" s="79" t="e">
        <f t="shared" si="75"/>
        <v>#REF!</v>
      </c>
      <c r="AH92" s="79" t="e">
        <f t="shared" si="75"/>
        <v>#REF!</v>
      </c>
      <c r="AI92" s="79" t="e">
        <f t="shared" si="75"/>
        <v>#REF!</v>
      </c>
      <c r="AJ92" s="79" t="e">
        <f t="shared" ref="AJ92:BO92" si="76">AJ55/AJ54</f>
        <v>#REF!</v>
      </c>
      <c r="AK92" s="79" t="e">
        <f t="shared" si="76"/>
        <v>#REF!</v>
      </c>
      <c r="AL92" s="79" t="e">
        <f t="shared" si="76"/>
        <v>#REF!</v>
      </c>
      <c r="AM92" s="79" t="e">
        <f t="shared" si="76"/>
        <v>#REF!</v>
      </c>
      <c r="AN92" s="79" t="e">
        <f t="shared" si="76"/>
        <v>#REF!</v>
      </c>
      <c r="AO92" s="79" t="e">
        <f t="shared" si="76"/>
        <v>#REF!</v>
      </c>
      <c r="AP92" s="79" t="e">
        <f t="shared" si="76"/>
        <v>#REF!</v>
      </c>
      <c r="AQ92" s="79" t="e">
        <f t="shared" si="76"/>
        <v>#REF!</v>
      </c>
      <c r="AR92" s="79" t="e">
        <f t="shared" si="76"/>
        <v>#REF!</v>
      </c>
      <c r="AS92" s="79" t="e">
        <f t="shared" si="76"/>
        <v>#REF!</v>
      </c>
      <c r="AT92" s="79" t="e">
        <f t="shared" si="76"/>
        <v>#REF!</v>
      </c>
      <c r="AU92" s="79" t="e">
        <f t="shared" si="76"/>
        <v>#REF!</v>
      </c>
      <c r="AV92" s="79" t="e">
        <f t="shared" si="76"/>
        <v>#REF!</v>
      </c>
      <c r="AW92" s="79" t="e">
        <f t="shared" si="76"/>
        <v>#REF!</v>
      </c>
      <c r="AX92" s="79" t="e">
        <f t="shared" si="76"/>
        <v>#REF!</v>
      </c>
      <c r="AY92" s="79" t="e">
        <f t="shared" si="76"/>
        <v>#REF!</v>
      </c>
      <c r="AZ92" s="79" t="e">
        <f t="shared" si="76"/>
        <v>#REF!</v>
      </c>
      <c r="BA92" s="79" t="e">
        <f t="shared" si="76"/>
        <v>#REF!</v>
      </c>
      <c r="BB92" s="79" t="e">
        <f t="shared" si="76"/>
        <v>#REF!</v>
      </c>
      <c r="BC92" s="79" t="e">
        <f t="shared" si="76"/>
        <v>#REF!</v>
      </c>
      <c r="BD92" s="79" t="e">
        <f t="shared" si="76"/>
        <v>#REF!</v>
      </c>
      <c r="BE92" s="79" t="e">
        <f t="shared" si="76"/>
        <v>#REF!</v>
      </c>
      <c r="BF92" s="79" t="e">
        <f t="shared" si="76"/>
        <v>#REF!</v>
      </c>
      <c r="BG92" s="79" t="e">
        <f t="shared" si="76"/>
        <v>#REF!</v>
      </c>
      <c r="BH92" s="79" t="e">
        <f t="shared" si="76"/>
        <v>#REF!</v>
      </c>
      <c r="BI92" s="79" t="e">
        <f t="shared" si="76"/>
        <v>#REF!</v>
      </c>
      <c r="BJ92" s="79" t="e">
        <f t="shared" si="76"/>
        <v>#REF!</v>
      </c>
      <c r="BK92" s="79" t="e">
        <f t="shared" si="76"/>
        <v>#REF!</v>
      </c>
      <c r="BL92" s="79" t="e">
        <f t="shared" si="76"/>
        <v>#REF!</v>
      </c>
      <c r="BM92" s="286" t="e">
        <f t="shared" si="76"/>
        <v>#REF!</v>
      </c>
      <c r="BN92" s="286" t="e">
        <f t="shared" si="76"/>
        <v>#REF!</v>
      </c>
      <c r="BO92" s="286" t="e">
        <f t="shared" si="76"/>
        <v>#REF!</v>
      </c>
      <c r="BP92" s="286" t="e">
        <f t="shared" ref="BP92:BX92" si="77">BP55/BP54</f>
        <v>#REF!</v>
      </c>
      <c r="BQ92" s="286" t="e">
        <f t="shared" si="77"/>
        <v>#REF!</v>
      </c>
      <c r="BR92" s="286" t="e">
        <f t="shared" si="77"/>
        <v>#REF!</v>
      </c>
      <c r="BS92" s="286" t="e">
        <f t="shared" si="77"/>
        <v>#REF!</v>
      </c>
      <c r="BT92" s="286" t="e">
        <f t="shared" si="77"/>
        <v>#REF!</v>
      </c>
      <c r="BU92" s="286" t="e">
        <f t="shared" si="77"/>
        <v>#REF!</v>
      </c>
      <c r="BV92" s="286" t="e">
        <f t="shared" si="77"/>
        <v>#REF!</v>
      </c>
      <c r="BW92" s="286" t="e">
        <f t="shared" si="77"/>
        <v>#REF!</v>
      </c>
      <c r="BX92" s="286" t="e">
        <f t="shared" si="77"/>
        <v>#REF!</v>
      </c>
      <c r="BY92" s="286" t="e">
        <f t="shared" ref="BY92:BZ92" si="78">BY55/BY54</f>
        <v>#REF!</v>
      </c>
      <c r="BZ92" s="286" t="e">
        <f t="shared" si="78"/>
        <v>#REF!</v>
      </c>
    </row>
    <row r="93" spans="2:78">
      <c r="B93" s="7" t="s">
        <v>85</v>
      </c>
      <c r="D93" s="80" t="e">
        <f t="shared" ref="D93:AI93" si="79">D39/D54</f>
        <v>#DIV/0!</v>
      </c>
      <c r="E93" s="80" t="e">
        <f t="shared" si="79"/>
        <v>#REF!</v>
      </c>
      <c r="F93" s="80" t="e">
        <f t="shared" si="79"/>
        <v>#REF!</v>
      </c>
      <c r="G93" s="80" t="e">
        <f t="shared" si="79"/>
        <v>#REF!</v>
      </c>
      <c r="H93" s="80" t="e">
        <f t="shared" si="79"/>
        <v>#REF!</v>
      </c>
      <c r="I93" s="80" t="e">
        <f t="shared" si="79"/>
        <v>#REF!</v>
      </c>
      <c r="J93" s="80" t="e">
        <f t="shared" si="79"/>
        <v>#REF!</v>
      </c>
      <c r="K93" s="80" t="e">
        <f t="shared" si="79"/>
        <v>#REF!</v>
      </c>
      <c r="L93" s="80" t="e">
        <f t="shared" si="79"/>
        <v>#REF!</v>
      </c>
      <c r="M93" s="80" t="e">
        <f t="shared" si="79"/>
        <v>#REF!</v>
      </c>
      <c r="N93" s="80" t="e">
        <f t="shared" si="79"/>
        <v>#REF!</v>
      </c>
      <c r="O93" s="80" t="e">
        <f t="shared" si="79"/>
        <v>#REF!</v>
      </c>
      <c r="P93" s="80" t="e">
        <f t="shared" si="79"/>
        <v>#REF!</v>
      </c>
      <c r="Q93" s="80" t="e">
        <f t="shared" si="79"/>
        <v>#REF!</v>
      </c>
      <c r="R93" s="80" t="e">
        <f t="shared" si="79"/>
        <v>#REF!</v>
      </c>
      <c r="S93" s="80" t="e">
        <f t="shared" si="79"/>
        <v>#REF!</v>
      </c>
      <c r="T93" s="80" t="e">
        <f t="shared" si="79"/>
        <v>#REF!</v>
      </c>
      <c r="U93" s="80" t="e">
        <f t="shared" si="79"/>
        <v>#REF!</v>
      </c>
      <c r="V93" s="80" t="e">
        <f t="shared" si="79"/>
        <v>#REF!</v>
      </c>
      <c r="W93" s="80" t="e">
        <f t="shared" si="79"/>
        <v>#REF!</v>
      </c>
      <c r="X93" s="80" t="e">
        <f t="shared" si="79"/>
        <v>#REF!</v>
      </c>
      <c r="Y93" s="80" t="e">
        <f t="shared" si="79"/>
        <v>#REF!</v>
      </c>
      <c r="Z93" s="80" t="e">
        <f t="shared" si="79"/>
        <v>#REF!</v>
      </c>
      <c r="AA93" s="80" t="e">
        <f t="shared" si="79"/>
        <v>#REF!</v>
      </c>
      <c r="AB93" s="80" t="e">
        <f t="shared" si="79"/>
        <v>#REF!</v>
      </c>
      <c r="AC93" s="80" t="e">
        <f t="shared" si="79"/>
        <v>#REF!</v>
      </c>
      <c r="AD93" s="80" t="e">
        <f t="shared" si="79"/>
        <v>#REF!</v>
      </c>
      <c r="AE93" s="80" t="e">
        <f t="shared" si="79"/>
        <v>#REF!</v>
      </c>
      <c r="AF93" s="80" t="e">
        <f t="shared" si="79"/>
        <v>#REF!</v>
      </c>
      <c r="AG93" s="80" t="e">
        <f t="shared" si="79"/>
        <v>#REF!</v>
      </c>
      <c r="AH93" s="80" t="e">
        <f t="shared" si="79"/>
        <v>#REF!</v>
      </c>
      <c r="AI93" s="80" t="e">
        <f t="shared" si="79"/>
        <v>#REF!</v>
      </c>
      <c r="AJ93" s="80" t="e">
        <f t="shared" ref="AJ93:BL93" si="80">AJ39/AJ54</f>
        <v>#REF!</v>
      </c>
      <c r="AK93" s="80" t="e">
        <f t="shared" si="80"/>
        <v>#REF!</v>
      </c>
      <c r="AL93" s="80" t="e">
        <f t="shared" si="80"/>
        <v>#REF!</v>
      </c>
      <c r="AM93" s="80" t="e">
        <f t="shared" si="80"/>
        <v>#REF!</v>
      </c>
      <c r="AN93" s="80" t="e">
        <f t="shared" si="80"/>
        <v>#REF!</v>
      </c>
      <c r="AO93" s="80" t="e">
        <f t="shared" si="80"/>
        <v>#REF!</v>
      </c>
      <c r="AP93" s="80" t="e">
        <f t="shared" si="80"/>
        <v>#REF!</v>
      </c>
      <c r="AQ93" s="80" t="e">
        <f t="shared" si="80"/>
        <v>#REF!</v>
      </c>
      <c r="AR93" s="80" t="e">
        <f t="shared" si="80"/>
        <v>#REF!</v>
      </c>
      <c r="AS93" s="80" t="e">
        <f t="shared" si="80"/>
        <v>#REF!</v>
      </c>
      <c r="AT93" s="80" t="e">
        <f t="shared" si="80"/>
        <v>#REF!</v>
      </c>
      <c r="AU93" s="80" t="e">
        <f t="shared" si="80"/>
        <v>#REF!</v>
      </c>
      <c r="AV93" s="80" t="e">
        <f t="shared" si="80"/>
        <v>#REF!</v>
      </c>
      <c r="AW93" s="80" t="e">
        <f t="shared" si="80"/>
        <v>#REF!</v>
      </c>
      <c r="AX93" s="80" t="e">
        <f t="shared" si="80"/>
        <v>#REF!</v>
      </c>
      <c r="AY93" s="80" t="e">
        <f t="shared" si="80"/>
        <v>#REF!</v>
      </c>
      <c r="AZ93" s="80" t="e">
        <f t="shared" si="80"/>
        <v>#REF!</v>
      </c>
      <c r="BA93" s="80" t="e">
        <f t="shared" si="80"/>
        <v>#REF!</v>
      </c>
      <c r="BB93" s="80" t="e">
        <f t="shared" si="80"/>
        <v>#REF!</v>
      </c>
      <c r="BC93" s="80" t="e">
        <f t="shared" si="80"/>
        <v>#REF!</v>
      </c>
      <c r="BD93" s="80" t="e">
        <f t="shared" si="80"/>
        <v>#REF!</v>
      </c>
      <c r="BE93" s="80" t="e">
        <f t="shared" si="80"/>
        <v>#REF!</v>
      </c>
      <c r="BF93" s="80" t="e">
        <f t="shared" si="80"/>
        <v>#REF!</v>
      </c>
      <c r="BG93" s="80" t="e">
        <f t="shared" si="80"/>
        <v>#REF!</v>
      </c>
      <c r="BH93" s="80" t="e">
        <f t="shared" si="80"/>
        <v>#REF!</v>
      </c>
      <c r="BI93" s="80" t="e">
        <f t="shared" si="80"/>
        <v>#REF!</v>
      </c>
      <c r="BJ93" s="80" t="e">
        <f t="shared" si="80"/>
        <v>#REF!</v>
      </c>
      <c r="BK93" s="80" t="e">
        <f t="shared" si="80"/>
        <v>#REF!</v>
      </c>
      <c r="BL93" s="80" t="e">
        <f t="shared" si="80"/>
        <v>#REF!</v>
      </c>
      <c r="BM93" s="80" t="e">
        <f>'Model-BS'!R339</f>
        <v>#REF!</v>
      </c>
      <c r="BN93" s="80" t="e">
        <f>'Model-BS'!S339</f>
        <v>#REF!</v>
      </c>
      <c r="BO93" s="80" t="e">
        <f>'Model-BS'!T339</f>
        <v>#REF!</v>
      </c>
      <c r="BP93" s="80" t="e">
        <f>'Model-BS'!U339</f>
        <v>#REF!</v>
      </c>
      <c r="BQ93" s="80" t="e">
        <f>'Model-BS'!AB339</f>
        <v>#REF!</v>
      </c>
      <c r="BR93" s="80" t="e">
        <f>'Model-BS'!AI339</f>
        <v>#REF!</v>
      </c>
      <c r="BS93" s="80" t="e">
        <f>'Model-BS'!AP339</f>
        <v>#REF!</v>
      </c>
      <c r="BT93" s="80" t="e">
        <f>'Model-BS'!AW339</f>
        <v>#REF!</v>
      </c>
      <c r="BU93" s="80" t="e">
        <f>'Model-BS'!BD339</f>
        <v>#REF!</v>
      </c>
      <c r="BV93" s="80" t="e">
        <f>'Model-BS'!BK339</f>
        <v>#REF!</v>
      </c>
      <c r="BW93" s="80" t="e">
        <f>'Model-BS'!BL339</f>
        <v>#REF!</v>
      </c>
      <c r="BX93" s="80" t="e">
        <f>'Model-BS'!BM339</f>
        <v>#REF!</v>
      </c>
      <c r="BY93" s="80" t="e">
        <f>'Model-BS'!BN339</f>
        <v>#REF!</v>
      </c>
      <c r="BZ93" s="80" t="e">
        <f>'Model-BS'!BO339</f>
        <v>#REF!</v>
      </c>
    </row>
    <row r="94" spans="2:78">
      <c r="B94" s="37" t="s">
        <v>86</v>
      </c>
      <c r="C94" s="37"/>
      <c r="D94" s="81" t="e">
        <f t="shared" ref="D94:AI94" si="81">(D39-D31*(1-D36))/(D53+D54-D51)</f>
        <v>#DIV/0!</v>
      </c>
      <c r="E94" s="81" t="e">
        <f t="shared" si="81"/>
        <v>#REF!</v>
      </c>
      <c r="F94" s="81" t="e">
        <f t="shared" si="81"/>
        <v>#REF!</v>
      </c>
      <c r="G94" s="81" t="e">
        <f t="shared" si="81"/>
        <v>#REF!</v>
      </c>
      <c r="H94" s="81" t="e">
        <f t="shared" si="81"/>
        <v>#REF!</v>
      </c>
      <c r="I94" s="81" t="e">
        <f t="shared" si="81"/>
        <v>#REF!</v>
      </c>
      <c r="J94" s="81" t="e">
        <f t="shared" si="81"/>
        <v>#REF!</v>
      </c>
      <c r="K94" s="81" t="e">
        <f t="shared" si="81"/>
        <v>#REF!</v>
      </c>
      <c r="L94" s="81" t="e">
        <f t="shared" si="81"/>
        <v>#REF!</v>
      </c>
      <c r="M94" s="81" t="e">
        <f t="shared" si="81"/>
        <v>#REF!</v>
      </c>
      <c r="N94" s="81" t="e">
        <f t="shared" si="81"/>
        <v>#REF!</v>
      </c>
      <c r="O94" s="81" t="e">
        <f t="shared" si="81"/>
        <v>#REF!</v>
      </c>
      <c r="P94" s="81" t="e">
        <f t="shared" si="81"/>
        <v>#REF!</v>
      </c>
      <c r="Q94" s="81" t="e">
        <f t="shared" si="81"/>
        <v>#REF!</v>
      </c>
      <c r="R94" s="81" t="e">
        <f t="shared" si="81"/>
        <v>#REF!</v>
      </c>
      <c r="S94" s="81" t="e">
        <f t="shared" si="81"/>
        <v>#REF!</v>
      </c>
      <c r="T94" s="81" t="e">
        <f t="shared" si="81"/>
        <v>#REF!</v>
      </c>
      <c r="U94" s="81" t="e">
        <f t="shared" si="81"/>
        <v>#REF!</v>
      </c>
      <c r="V94" s="81" t="e">
        <f t="shared" si="81"/>
        <v>#REF!</v>
      </c>
      <c r="W94" s="81" t="e">
        <f t="shared" si="81"/>
        <v>#REF!</v>
      </c>
      <c r="X94" s="81" t="e">
        <f t="shared" si="81"/>
        <v>#REF!</v>
      </c>
      <c r="Y94" s="81" t="e">
        <f t="shared" si="81"/>
        <v>#REF!</v>
      </c>
      <c r="Z94" s="81" t="e">
        <f t="shared" si="81"/>
        <v>#REF!</v>
      </c>
      <c r="AA94" s="81" t="e">
        <f t="shared" si="81"/>
        <v>#REF!</v>
      </c>
      <c r="AB94" s="81" t="e">
        <f t="shared" si="81"/>
        <v>#REF!</v>
      </c>
      <c r="AC94" s="81" t="e">
        <f t="shared" si="81"/>
        <v>#REF!</v>
      </c>
      <c r="AD94" s="81" t="e">
        <f t="shared" si="81"/>
        <v>#REF!</v>
      </c>
      <c r="AE94" s="81" t="e">
        <f t="shared" si="81"/>
        <v>#REF!</v>
      </c>
      <c r="AF94" s="81" t="e">
        <f t="shared" si="81"/>
        <v>#REF!</v>
      </c>
      <c r="AG94" s="81" t="e">
        <f t="shared" si="81"/>
        <v>#REF!</v>
      </c>
      <c r="AH94" s="81" t="e">
        <f t="shared" si="81"/>
        <v>#REF!</v>
      </c>
      <c r="AI94" s="81" t="e">
        <f t="shared" si="81"/>
        <v>#REF!</v>
      </c>
      <c r="AJ94" s="81" t="e">
        <f t="shared" ref="AJ94:BL94" si="82">(AJ39-AJ31*(1-AJ36))/(AJ53+AJ54-AJ51)</f>
        <v>#REF!</v>
      </c>
      <c r="AK94" s="81" t="e">
        <f t="shared" si="82"/>
        <v>#REF!</v>
      </c>
      <c r="AL94" s="81" t="e">
        <f t="shared" si="82"/>
        <v>#REF!</v>
      </c>
      <c r="AM94" s="81" t="e">
        <f t="shared" si="82"/>
        <v>#REF!</v>
      </c>
      <c r="AN94" s="81" t="e">
        <f t="shared" si="82"/>
        <v>#REF!</v>
      </c>
      <c r="AO94" s="81" t="e">
        <f t="shared" si="82"/>
        <v>#REF!</v>
      </c>
      <c r="AP94" s="81" t="e">
        <f t="shared" si="82"/>
        <v>#REF!</v>
      </c>
      <c r="AQ94" s="81" t="e">
        <f t="shared" si="82"/>
        <v>#REF!</v>
      </c>
      <c r="AR94" s="81" t="e">
        <f t="shared" si="82"/>
        <v>#REF!</v>
      </c>
      <c r="AS94" s="81" t="e">
        <f t="shared" si="82"/>
        <v>#REF!</v>
      </c>
      <c r="AT94" s="81" t="e">
        <f t="shared" si="82"/>
        <v>#REF!</v>
      </c>
      <c r="AU94" s="81" t="e">
        <f t="shared" si="82"/>
        <v>#REF!</v>
      </c>
      <c r="AV94" s="81" t="e">
        <f t="shared" si="82"/>
        <v>#REF!</v>
      </c>
      <c r="AW94" s="81" t="e">
        <f t="shared" si="82"/>
        <v>#REF!</v>
      </c>
      <c r="AX94" s="81" t="e">
        <f t="shared" si="82"/>
        <v>#REF!</v>
      </c>
      <c r="AY94" s="81" t="e">
        <f t="shared" si="82"/>
        <v>#REF!</v>
      </c>
      <c r="AZ94" s="81" t="e">
        <f t="shared" si="82"/>
        <v>#REF!</v>
      </c>
      <c r="BA94" s="81" t="e">
        <f t="shared" si="82"/>
        <v>#REF!</v>
      </c>
      <c r="BB94" s="81" t="e">
        <f t="shared" si="82"/>
        <v>#REF!</v>
      </c>
      <c r="BC94" s="81" t="e">
        <f t="shared" si="82"/>
        <v>#REF!</v>
      </c>
      <c r="BD94" s="81" t="e">
        <f t="shared" si="82"/>
        <v>#REF!</v>
      </c>
      <c r="BE94" s="81" t="e">
        <f t="shared" si="82"/>
        <v>#REF!</v>
      </c>
      <c r="BF94" s="81" t="e">
        <f t="shared" si="82"/>
        <v>#REF!</v>
      </c>
      <c r="BG94" s="81" t="e">
        <f t="shared" si="82"/>
        <v>#REF!</v>
      </c>
      <c r="BH94" s="81" t="e">
        <f t="shared" si="82"/>
        <v>#REF!</v>
      </c>
      <c r="BI94" s="81" t="e">
        <f t="shared" si="82"/>
        <v>#REF!</v>
      </c>
      <c r="BJ94" s="81" t="e">
        <f t="shared" si="82"/>
        <v>#REF!</v>
      </c>
      <c r="BK94" s="81" t="e">
        <f t="shared" si="82"/>
        <v>#REF!</v>
      </c>
      <c r="BL94" s="81" t="e">
        <f t="shared" si="82"/>
        <v>#REF!</v>
      </c>
      <c r="BM94" s="81" t="e">
        <f>'Model-BS'!R340</f>
        <v>#REF!</v>
      </c>
      <c r="BN94" s="81" t="e">
        <f>'Model-BS'!S340</f>
        <v>#REF!</v>
      </c>
      <c r="BO94" s="81" t="e">
        <f>'Model-BS'!T340</f>
        <v>#REF!</v>
      </c>
      <c r="BP94" s="81" t="e">
        <f>'Model-BS'!U340</f>
        <v>#REF!</v>
      </c>
      <c r="BQ94" s="81" t="e">
        <f>'Model-BS'!AB340</f>
        <v>#REF!</v>
      </c>
      <c r="BR94" s="81" t="e">
        <f>'Model-BS'!AI340</f>
        <v>#REF!</v>
      </c>
      <c r="BS94" s="81" t="e">
        <f>'Model-BS'!AP340</f>
        <v>#REF!</v>
      </c>
      <c r="BT94" s="81" t="e">
        <f>'Model-BS'!AW340</f>
        <v>#REF!</v>
      </c>
      <c r="BU94" s="81" t="e">
        <f>'Model-BS'!BD340</f>
        <v>#REF!</v>
      </c>
      <c r="BV94" s="81" t="e">
        <f>'Model-BS'!BK340</f>
        <v>#REF!</v>
      </c>
      <c r="BW94" s="81" t="e">
        <f>'Model-BS'!BL340</f>
        <v>#REF!</v>
      </c>
      <c r="BX94" s="81" t="e">
        <f>'Model-BS'!BM340</f>
        <v>#REF!</v>
      </c>
      <c r="BY94" s="81" t="e">
        <f>'Model-BS'!BN340</f>
        <v>#REF!</v>
      </c>
      <c r="BZ94" s="81" t="e">
        <f>'Model-BS'!BO340</f>
        <v>#REF!</v>
      </c>
    </row>
    <row r="95" spans="2:78">
      <c r="B95" s="7" t="s">
        <v>87</v>
      </c>
      <c r="D95" s="80" t="e">
        <f t="shared" ref="D95:AI95" si="83">-D60/D10</f>
        <v>#DIV/0!</v>
      </c>
      <c r="E95" s="80" t="e">
        <f t="shared" si="83"/>
        <v>#REF!</v>
      </c>
      <c r="F95" s="80" t="e">
        <f t="shared" si="83"/>
        <v>#REF!</v>
      </c>
      <c r="G95" s="80" t="e">
        <f t="shared" si="83"/>
        <v>#REF!</v>
      </c>
      <c r="H95" s="80" t="e">
        <f t="shared" si="83"/>
        <v>#REF!</v>
      </c>
      <c r="I95" s="80" t="e">
        <f t="shared" si="83"/>
        <v>#REF!</v>
      </c>
      <c r="J95" s="80" t="e">
        <f t="shared" si="83"/>
        <v>#REF!</v>
      </c>
      <c r="K95" s="80" t="e">
        <f t="shared" si="83"/>
        <v>#REF!</v>
      </c>
      <c r="L95" s="80" t="e">
        <f t="shared" si="83"/>
        <v>#REF!</v>
      </c>
      <c r="M95" s="80" t="e">
        <f t="shared" si="83"/>
        <v>#REF!</v>
      </c>
      <c r="N95" s="80" t="e">
        <f t="shared" si="83"/>
        <v>#REF!</v>
      </c>
      <c r="O95" s="80" t="e">
        <f t="shared" si="83"/>
        <v>#REF!</v>
      </c>
      <c r="P95" s="80" t="e">
        <f t="shared" si="83"/>
        <v>#REF!</v>
      </c>
      <c r="Q95" s="80" t="e">
        <f t="shared" si="83"/>
        <v>#REF!</v>
      </c>
      <c r="R95" s="80" t="e">
        <f t="shared" si="83"/>
        <v>#REF!</v>
      </c>
      <c r="S95" s="80" t="e">
        <f t="shared" si="83"/>
        <v>#REF!</v>
      </c>
      <c r="T95" s="80" t="e">
        <f t="shared" si="83"/>
        <v>#REF!</v>
      </c>
      <c r="U95" s="80" t="e">
        <f t="shared" si="83"/>
        <v>#REF!</v>
      </c>
      <c r="V95" s="80" t="e">
        <f t="shared" si="83"/>
        <v>#REF!</v>
      </c>
      <c r="W95" s="80" t="e">
        <f t="shared" si="83"/>
        <v>#REF!</v>
      </c>
      <c r="X95" s="80" t="e">
        <f t="shared" si="83"/>
        <v>#REF!</v>
      </c>
      <c r="Y95" s="80" t="e">
        <f t="shared" si="83"/>
        <v>#REF!</v>
      </c>
      <c r="Z95" s="80" t="e">
        <f t="shared" si="83"/>
        <v>#REF!</v>
      </c>
      <c r="AA95" s="80" t="e">
        <f t="shared" si="83"/>
        <v>#REF!</v>
      </c>
      <c r="AB95" s="80" t="e">
        <f t="shared" si="83"/>
        <v>#REF!</v>
      </c>
      <c r="AC95" s="80" t="e">
        <f t="shared" si="83"/>
        <v>#REF!</v>
      </c>
      <c r="AD95" s="80" t="e">
        <f t="shared" si="83"/>
        <v>#REF!</v>
      </c>
      <c r="AE95" s="80" t="e">
        <f t="shared" si="83"/>
        <v>#REF!</v>
      </c>
      <c r="AF95" s="80" t="e">
        <f t="shared" si="83"/>
        <v>#REF!</v>
      </c>
      <c r="AG95" s="80" t="e">
        <f t="shared" si="83"/>
        <v>#REF!</v>
      </c>
      <c r="AH95" s="80" t="e">
        <f t="shared" si="83"/>
        <v>#REF!</v>
      </c>
      <c r="AI95" s="80" t="e">
        <f t="shared" si="83"/>
        <v>#REF!</v>
      </c>
      <c r="AJ95" s="80" t="e">
        <f t="shared" ref="AJ95:BO95" si="84">-AJ60/AJ10</f>
        <v>#REF!</v>
      </c>
      <c r="AK95" s="80" t="e">
        <f t="shared" si="84"/>
        <v>#REF!</v>
      </c>
      <c r="AL95" s="80" t="e">
        <f t="shared" si="84"/>
        <v>#REF!</v>
      </c>
      <c r="AM95" s="80" t="e">
        <f t="shared" si="84"/>
        <v>#REF!</v>
      </c>
      <c r="AN95" s="80" t="e">
        <f t="shared" si="84"/>
        <v>#REF!</v>
      </c>
      <c r="AO95" s="80" t="e">
        <f t="shared" si="84"/>
        <v>#REF!</v>
      </c>
      <c r="AP95" s="80" t="e">
        <f t="shared" si="84"/>
        <v>#REF!</v>
      </c>
      <c r="AQ95" s="80" t="e">
        <f t="shared" si="84"/>
        <v>#REF!</v>
      </c>
      <c r="AR95" s="80" t="e">
        <f t="shared" si="84"/>
        <v>#REF!</v>
      </c>
      <c r="AS95" s="80" t="e">
        <f t="shared" si="84"/>
        <v>#REF!</v>
      </c>
      <c r="AT95" s="80" t="e">
        <f t="shared" si="84"/>
        <v>#REF!</v>
      </c>
      <c r="AU95" s="80" t="e">
        <f t="shared" si="84"/>
        <v>#REF!</v>
      </c>
      <c r="AV95" s="80" t="e">
        <f t="shared" si="84"/>
        <v>#REF!</v>
      </c>
      <c r="AW95" s="80" t="e">
        <f t="shared" si="84"/>
        <v>#REF!</v>
      </c>
      <c r="AX95" s="80" t="e">
        <f t="shared" si="84"/>
        <v>#REF!</v>
      </c>
      <c r="AY95" s="80" t="e">
        <f t="shared" si="84"/>
        <v>#REF!</v>
      </c>
      <c r="AZ95" s="80" t="e">
        <f t="shared" si="84"/>
        <v>#REF!</v>
      </c>
      <c r="BA95" s="80" t="e">
        <f t="shared" si="84"/>
        <v>#REF!</v>
      </c>
      <c r="BB95" s="80" t="e">
        <f t="shared" si="84"/>
        <v>#REF!</v>
      </c>
      <c r="BC95" s="80" t="e">
        <f t="shared" si="84"/>
        <v>#REF!</v>
      </c>
      <c r="BD95" s="80" t="e">
        <f t="shared" si="84"/>
        <v>#REF!</v>
      </c>
      <c r="BE95" s="80" t="e">
        <f t="shared" si="84"/>
        <v>#REF!</v>
      </c>
      <c r="BF95" s="80" t="e">
        <f t="shared" si="84"/>
        <v>#REF!</v>
      </c>
      <c r="BG95" s="80" t="e">
        <f t="shared" si="84"/>
        <v>#REF!</v>
      </c>
      <c r="BH95" s="80" t="e">
        <f t="shared" si="84"/>
        <v>#REF!</v>
      </c>
      <c r="BI95" s="80" t="e">
        <f t="shared" si="84"/>
        <v>#REF!</v>
      </c>
      <c r="BJ95" s="80" t="e">
        <f t="shared" si="84"/>
        <v>#REF!</v>
      </c>
      <c r="BK95" s="80" t="e">
        <f t="shared" si="84"/>
        <v>#REF!</v>
      </c>
      <c r="BL95" s="80" t="e">
        <f t="shared" si="84"/>
        <v>#REF!</v>
      </c>
      <c r="BM95" s="80" t="e">
        <f t="shared" si="84"/>
        <v>#REF!</v>
      </c>
      <c r="BN95" s="80" t="e">
        <f t="shared" si="84"/>
        <v>#REF!</v>
      </c>
      <c r="BO95" s="80" t="e">
        <f t="shared" si="84"/>
        <v>#REF!</v>
      </c>
      <c r="BP95" s="80" t="e">
        <f t="shared" ref="BP95:BX95" si="85">-BP60/BP10</f>
        <v>#REF!</v>
      </c>
      <c r="BQ95" s="80" t="e">
        <f t="shared" si="85"/>
        <v>#REF!</v>
      </c>
      <c r="BR95" s="80" t="e">
        <f t="shared" si="85"/>
        <v>#REF!</v>
      </c>
      <c r="BS95" s="80" t="e">
        <f t="shared" si="85"/>
        <v>#REF!</v>
      </c>
      <c r="BT95" s="80" t="e">
        <f t="shared" si="85"/>
        <v>#REF!</v>
      </c>
      <c r="BU95" s="80" t="e">
        <f t="shared" si="85"/>
        <v>#REF!</v>
      </c>
      <c r="BV95" s="80" t="e">
        <f t="shared" si="85"/>
        <v>#REF!</v>
      </c>
      <c r="BW95" s="80" t="e">
        <f t="shared" si="85"/>
        <v>#REF!</v>
      </c>
      <c r="BX95" s="80" t="e">
        <f t="shared" si="85"/>
        <v>#REF!</v>
      </c>
      <c r="BY95" s="80" t="e">
        <f t="shared" ref="BY95:BZ95" si="86">-BY60/BY10</f>
        <v>#REF!</v>
      </c>
      <c r="BZ95" s="80" t="e">
        <f t="shared" si="86"/>
        <v>#REF!</v>
      </c>
    </row>
    <row r="96" spans="2:78">
      <c r="B96" s="7" t="s">
        <v>88</v>
      </c>
      <c r="D96" s="80" t="e">
        <f t="shared" ref="D96:AI96" si="87">-D60/D26</f>
        <v>#DIV/0!</v>
      </c>
      <c r="E96" s="80" t="e">
        <f t="shared" si="87"/>
        <v>#REF!</v>
      </c>
      <c r="F96" s="80" t="e">
        <f t="shared" si="87"/>
        <v>#REF!</v>
      </c>
      <c r="G96" s="80" t="e">
        <f t="shared" si="87"/>
        <v>#REF!</v>
      </c>
      <c r="H96" s="80" t="e">
        <f t="shared" si="87"/>
        <v>#REF!</v>
      </c>
      <c r="I96" s="80" t="e">
        <f t="shared" si="87"/>
        <v>#REF!</v>
      </c>
      <c r="J96" s="80" t="e">
        <f t="shared" si="87"/>
        <v>#REF!</v>
      </c>
      <c r="K96" s="80" t="e">
        <f t="shared" si="87"/>
        <v>#REF!</v>
      </c>
      <c r="L96" s="80" t="e">
        <f t="shared" si="87"/>
        <v>#REF!</v>
      </c>
      <c r="M96" s="80" t="e">
        <f t="shared" si="87"/>
        <v>#REF!</v>
      </c>
      <c r="N96" s="80" t="e">
        <f t="shared" si="87"/>
        <v>#REF!</v>
      </c>
      <c r="O96" s="80" t="e">
        <f t="shared" si="87"/>
        <v>#REF!</v>
      </c>
      <c r="P96" s="80" t="e">
        <f t="shared" si="87"/>
        <v>#REF!</v>
      </c>
      <c r="Q96" s="80" t="e">
        <f t="shared" si="87"/>
        <v>#REF!</v>
      </c>
      <c r="R96" s="80" t="e">
        <f t="shared" si="87"/>
        <v>#REF!</v>
      </c>
      <c r="S96" s="80" t="e">
        <f t="shared" si="87"/>
        <v>#REF!</v>
      </c>
      <c r="T96" s="80" t="e">
        <f t="shared" si="87"/>
        <v>#REF!</v>
      </c>
      <c r="U96" s="80" t="e">
        <f t="shared" si="87"/>
        <v>#REF!</v>
      </c>
      <c r="V96" s="80" t="e">
        <f t="shared" si="87"/>
        <v>#REF!</v>
      </c>
      <c r="W96" s="80" t="e">
        <f t="shared" si="87"/>
        <v>#REF!</v>
      </c>
      <c r="X96" s="80" t="e">
        <f t="shared" si="87"/>
        <v>#REF!</v>
      </c>
      <c r="Y96" s="80" t="e">
        <f t="shared" si="87"/>
        <v>#REF!</v>
      </c>
      <c r="Z96" s="80" t="e">
        <f t="shared" si="87"/>
        <v>#REF!</v>
      </c>
      <c r="AA96" s="80" t="e">
        <f t="shared" si="87"/>
        <v>#REF!</v>
      </c>
      <c r="AB96" s="80" t="e">
        <f t="shared" si="87"/>
        <v>#REF!</v>
      </c>
      <c r="AC96" s="80" t="e">
        <f t="shared" si="87"/>
        <v>#REF!</v>
      </c>
      <c r="AD96" s="80" t="e">
        <f t="shared" si="87"/>
        <v>#REF!</v>
      </c>
      <c r="AE96" s="80" t="e">
        <f t="shared" si="87"/>
        <v>#REF!</v>
      </c>
      <c r="AF96" s="80" t="e">
        <f t="shared" si="87"/>
        <v>#REF!</v>
      </c>
      <c r="AG96" s="80" t="e">
        <f t="shared" si="87"/>
        <v>#REF!</v>
      </c>
      <c r="AH96" s="80" t="e">
        <f t="shared" si="87"/>
        <v>#REF!</v>
      </c>
      <c r="AI96" s="80" t="e">
        <f t="shared" si="87"/>
        <v>#REF!</v>
      </c>
      <c r="AJ96" s="80" t="e">
        <f t="shared" ref="AJ96:BO96" si="88">-AJ60/AJ26</f>
        <v>#REF!</v>
      </c>
      <c r="AK96" s="80" t="e">
        <f t="shared" si="88"/>
        <v>#REF!</v>
      </c>
      <c r="AL96" s="80" t="e">
        <f t="shared" si="88"/>
        <v>#REF!</v>
      </c>
      <c r="AM96" s="80" t="e">
        <f t="shared" si="88"/>
        <v>#REF!</v>
      </c>
      <c r="AN96" s="80" t="e">
        <f t="shared" si="88"/>
        <v>#REF!</v>
      </c>
      <c r="AO96" s="80" t="e">
        <f t="shared" si="88"/>
        <v>#REF!</v>
      </c>
      <c r="AP96" s="80" t="e">
        <f t="shared" si="88"/>
        <v>#REF!</v>
      </c>
      <c r="AQ96" s="80" t="e">
        <f t="shared" si="88"/>
        <v>#REF!</v>
      </c>
      <c r="AR96" s="80" t="e">
        <f t="shared" si="88"/>
        <v>#REF!</v>
      </c>
      <c r="AS96" s="80" t="e">
        <f t="shared" si="88"/>
        <v>#REF!</v>
      </c>
      <c r="AT96" s="80" t="e">
        <f t="shared" si="88"/>
        <v>#REF!</v>
      </c>
      <c r="AU96" s="80" t="e">
        <f t="shared" si="88"/>
        <v>#REF!</v>
      </c>
      <c r="AV96" s="80" t="e">
        <f t="shared" si="88"/>
        <v>#REF!</v>
      </c>
      <c r="AW96" s="80" t="e">
        <f t="shared" si="88"/>
        <v>#REF!</v>
      </c>
      <c r="AX96" s="80" t="e">
        <f t="shared" si="88"/>
        <v>#REF!</v>
      </c>
      <c r="AY96" s="80" t="e">
        <f t="shared" si="88"/>
        <v>#REF!</v>
      </c>
      <c r="AZ96" s="80" t="e">
        <f t="shared" si="88"/>
        <v>#REF!</v>
      </c>
      <c r="BA96" s="80" t="e">
        <f t="shared" si="88"/>
        <v>#REF!</v>
      </c>
      <c r="BB96" s="80" t="e">
        <f t="shared" si="88"/>
        <v>#REF!</v>
      </c>
      <c r="BC96" s="80" t="e">
        <f t="shared" si="88"/>
        <v>#REF!</v>
      </c>
      <c r="BD96" s="80" t="e">
        <f t="shared" si="88"/>
        <v>#REF!</v>
      </c>
      <c r="BE96" s="80" t="e">
        <f t="shared" si="88"/>
        <v>#REF!</v>
      </c>
      <c r="BF96" s="80" t="e">
        <f t="shared" si="88"/>
        <v>#REF!</v>
      </c>
      <c r="BG96" s="80" t="e">
        <f t="shared" si="88"/>
        <v>#REF!</v>
      </c>
      <c r="BH96" s="80" t="e">
        <f t="shared" si="88"/>
        <v>#REF!</v>
      </c>
      <c r="BI96" s="80" t="e">
        <f t="shared" si="88"/>
        <v>#REF!</v>
      </c>
      <c r="BJ96" s="80" t="e">
        <f t="shared" si="88"/>
        <v>#REF!</v>
      </c>
      <c r="BK96" s="80" t="e">
        <f t="shared" si="88"/>
        <v>#REF!</v>
      </c>
      <c r="BL96" s="80" t="e">
        <f t="shared" si="88"/>
        <v>#REF!</v>
      </c>
      <c r="BM96" s="80" t="e">
        <f t="shared" si="88"/>
        <v>#REF!</v>
      </c>
      <c r="BN96" s="80" t="e">
        <f t="shared" si="88"/>
        <v>#REF!</v>
      </c>
      <c r="BO96" s="80" t="e">
        <f t="shared" si="88"/>
        <v>#REF!</v>
      </c>
      <c r="BP96" s="80" t="e">
        <f t="shared" ref="BP96:BX96" si="89">-BP60/BP26</f>
        <v>#REF!</v>
      </c>
      <c r="BQ96" s="80" t="e">
        <f t="shared" si="89"/>
        <v>#REF!</v>
      </c>
      <c r="BR96" s="80" t="e">
        <f t="shared" si="89"/>
        <v>#REF!</v>
      </c>
      <c r="BS96" s="80" t="e">
        <f t="shared" si="89"/>
        <v>#REF!</v>
      </c>
      <c r="BT96" s="80" t="e">
        <f t="shared" si="89"/>
        <v>#REF!</v>
      </c>
      <c r="BU96" s="80" t="e">
        <f t="shared" si="89"/>
        <v>#REF!</v>
      </c>
      <c r="BV96" s="80" t="e">
        <f t="shared" si="89"/>
        <v>#REF!</v>
      </c>
      <c r="BW96" s="80" t="e">
        <f t="shared" si="89"/>
        <v>#REF!</v>
      </c>
      <c r="BX96" s="80" t="e">
        <f t="shared" si="89"/>
        <v>#REF!</v>
      </c>
      <c r="BY96" s="80" t="e">
        <f t="shared" ref="BY96:BZ96" si="90">-BY60/BY26</f>
        <v>#REF!</v>
      </c>
      <c r="BZ96" s="80" t="e">
        <f t="shared" si="90"/>
        <v>#REF!</v>
      </c>
    </row>
    <row r="97" spans="2:78">
      <c r="B97" s="37" t="s">
        <v>89</v>
      </c>
      <c r="C97" s="37"/>
      <c r="D97" s="81" t="e">
        <f t="shared" ref="D97:AI97" si="91">D60/D28</f>
        <v>#DIV/0!</v>
      </c>
      <c r="E97" s="81" t="e">
        <f t="shared" si="91"/>
        <v>#REF!</v>
      </c>
      <c r="F97" s="81" t="e">
        <f t="shared" si="91"/>
        <v>#REF!</v>
      </c>
      <c r="G97" s="81" t="e">
        <f t="shared" si="91"/>
        <v>#REF!</v>
      </c>
      <c r="H97" s="81" t="e">
        <f t="shared" si="91"/>
        <v>#REF!</v>
      </c>
      <c r="I97" s="81" t="e">
        <f t="shared" si="91"/>
        <v>#REF!</v>
      </c>
      <c r="J97" s="81" t="e">
        <f t="shared" si="91"/>
        <v>#REF!</v>
      </c>
      <c r="K97" s="81" t="e">
        <f t="shared" si="91"/>
        <v>#REF!</v>
      </c>
      <c r="L97" s="81" t="e">
        <f t="shared" si="91"/>
        <v>#REF!</v>
      </c>
      <c r="M97" s="81" t="e">
        <f t="shared" si="91"/>
        <v>#REF!</v>
      </c>
      <c r="N97" s="81" t="e">
        <f t="shared" si="91"/>
        <v>#REF!</v>
      </c>
      <c r="O97" s="81" t="e">
        <f t="shared" si="91"/>
        <v>#REF!</v>
      </c>
      <c r="P97" s="81" t="e">
        <f t="shared" si="91"/>
        <v>#REF!</v>
      </c>
      <c r="Q97" s="81" t="e">
        <f t="shared" si="91"/>
        <v>#REF!</v>
      </c>
      <c r="R97" s="81" t="e">
        <f t="shared" si="91"/>
        <v>#REF!</v>
      </c>
      <c r="S97" s="81" t="e">
        <f t="shared" si="91"/>
        <v>#REF!</v>
      </c>
      <c r="T97" s="81" t="e">
        <f t="shared" si="91"/>
        <v>#REF!</v>
      </c>
      <c r="U97" s="81" t="e">
        <f t="shared" si="91"/>
        <v>#REF!</v>
      </c>
      <c r="V97" s="81" t="e">
        <f t="shared" si="91"/>
        <v>#REF!</v>
      </c>
      <c r="W97" s="81" t="e">
        <f t="shared" si="91"/>
        <v>#REF!</v>
      </c>
      <c r="X97" s="81" t="e">
        <f t="shared" si="91"/>
        <v>#REF!</v>
      </c>
      <c r="Y97" s="81" t="e">
        <f t="shared" si="91"/>
        <v>#REF!</v>
      </c>
      <c r="Z97" s="81" t="e">
        <f t="shared" si="91"/>
        <v>#REF!</v>
      </c>
      <c r="AA97" s="81" t="e">
        <f t="shared" si="91"/>
        <v>#REF!</v>
      </c>
      <c r="AB97" s="81" t="e">
        <f t="shared" si="91"/>
        <v>#REF!</v>
      </c>
      <c r="AC97" s="81" t="e">
        <f t="shared" si="91"/>
        <v>#REF!</v>
      </c>
      <c r="AD97" s="81" t="e">
        <f t="shared" si="91"/>
        <v>#REF!</v>
      </c>
      <c r="AE97" s="81" t="e">
        <f t="shared" si="91"/>
        <v>#REF!</v>
      </c>
      <c r="AF97" s="81" t="e">
        <f t="shared" si="91"/>
        <v>#REF!</v>
      </c>
      <c r="AG97" s="81" t="e">
        <f t="shared" si="91"/>
        <v>#REF!</v>
      </c>
      <c r="AH97" s="81" t="e">
        <f t="shared" si="91"/>
        <v>#REF!</v>
      </c>
      <c r="AI97" s="81" t="e">
        <f t="shared" si="91"/>
        <v>#REF!</v>
      </c>
      <c r="AJ97" s="81" t="e">
        <f t="shared" ref="AJ97:BO97" si="92">AJ60/AJ28</f>
        <v>#REF!</v>
      </c>
      <c r="AK97" s="81" t="e">
        <f t="shared" si="92"/>
        <v>#REF!</v>
      </c>
      <c r="AL97" s="81" t="e">
        <f t="shared" si="92"/>
        <v>#REF!</v>
      </c>
      <c r="AM97" s="81" t="e">
        <f t="shared" si="92"/>
        <v>#REF!</v>
      </c>
      <c r="AN97" s="81" t="e">
        <f t="shared" si="92"/>
        <v>#REF!</v>
      </c>
      <c r="AO97" s="81" t="e">
        <f t="shared" si="92"/>
        <v>#REF!</v>
      </c>
      <c r="AP97" s="81" t="e">
        <f t="shared" si="92"/>
        <v>#REF!</v>
      </c>
      <c r="AQ97" s="81" t="e">
        <f t="shared" si="92"/>
        <v>#REF!</v>
      </c>
      <c r="AR97" s="81" t="e">
        <f t="shared" si="92"/>
        <v>#REF!</v>
      </c>
      <c r="AS97" s="81" t="e">
        <f t="shared" si="92"/>
        <v>#REF!</v>
      </c>
      <c r="AT97" s="81" t="e">
        <f t="shared" si="92"/>
        <v>#REF!</v>
      </c>
      <c r="AU97" s="81" t="e">
        <f t="shared" si="92"/>
        <v>#REF!</v>
      </c>
      <c r="AV97" s="81" t="e">
        <f t="shared" si="92"/>
        <v>#REF!</v>
      </c>
      <c r="AW97" s="81" t="e">
        <f t="shared" si="92"/>
        <v>#REF!</v>
      </c>
      <c r="AX97" s="81" t="e">
        <f t="shared" si="92"/>
        <v>#REF!</v>
      </c>
      <c r="AY97" s="81" t="e">
        <f t="shared" si="92"/>
        <v>#REF!</v>
      </c>
      <c r="AZ97" s="81" t="e">
        <f t="shared" si="92"/>
        <v>#REF!</v>
      </c>
      <c r="BA97" s="81" t="e">
        <f t="shared" si="92"/>
        <v>#REF!</v>
      </c>
      <c r="BB97" s="81" t="e">
        <f t="shared" si="92"/>
        <v>#REF!</v>
      </c>
      <c r="BC97" s="81" t="e">
        <f t="shared" si="92"/>
        <v>#REF!</v>
      </c>
      <c r="BD97" s="81" t="e">
        <f t="shared" si="92"/>
        <v>#REF!</v>
      </c>
      <c r="BE97" s="81" t="e">
        <f t="shared" si="92"/>
        <v>#REF!</v>
      </c>
      <c r="BF97" s="81" t="e">
        <f t="shared" si="92"/>
        <v>#REF!</v>
      </c>
      <c r="BG97" s="81" t="e">
        <f t="shared" si="92"/>
        <v>#REF!</v>
      </c>
      <c r="BH97" s="81" t="e">
        <f t="shared" si="92"/>
        <v>#REF!</v>
      </c>
      <c r="BI97" s="81" t="e">
        <f t="shared" si="92"/>
        <v>#REF!</v>
      </c>
      <c r="BJ97" s="81" t="e">
        <f t="shared" si="92"/>
        <v>#REF!</v>
      </c>
      <c r="BK97" s="81" t="e">
        <f t="shared" si="92"/>
        <v>#REF!</v>
      </c>
      <c r="BL97" s="81" t="e">
        <f t="shared" si="92"/>
        <v>#REF!</v>
      </c>
      <c r="BM97" s="81" t="e">
        <f t="shared" si="92"/>
        <v>#REF!</v>
      </c>
      <c r="BN97" s="81" t="e">
        <f t="shared" si="92"/>
        <v>#REF!</v>
      </c>
      <c r="BO97" s="81" t="e">
        <f t="shared" si="92"/>
        <v>#REF!</v>
      </c>
      <c r="BP97" s="81" t="e">
        <f t="shared" ref="BP97:BX97" si="93">BP60/BP28</f>
        <v>#REF!</v>
      </c>
      <c r="BQ97" s="81" t="e">
        <f t="shared" si="93"/>
        <v>#REF!</v>
      </c>
      <c r="BR97" s="81" t="e">
        <f t="shared" si="93"/>
        <v>#REF!</v>
      </c>
      <c r="BS97" s="81" t="e">
        <f t="shared" si="93"/>
        <v>#REF!</v>
      </c>
      <c r="BT97" s="81" t="e">
        <f t="shared" si="93"/>
        <v>#REF!</v>
      </c>
      <c r="BU97" s="81" t="e">
        <f t="shared" si="93"/>
        <v>#REF!</v>
      </c>
      <c r="BV97" s="81" t="e">
        <f t="shared" si="93"/>
        <v>#REF!</v>
      </c>
      <c r="BW97" s="81" t="e">
        <f t="shared" si="93"/>
        <v>#REF!</v>
      </c>
      <c r="BX97" s="81" t="e">
        <f t="shared" si="93"/>
        <v>#REF!</v>
      </c>
      <c r="BY97" s="81" t="e">
        <f t="shared" ref="BY97:BZ97" si="94">BY60/BY28</f>
        <v>#REF!</v>
      </c>
      <c r="BZ97" s="81" t="e">
        <f t="shared" si="94"/>
        <v>#REF!</v>
      </c>
    </row>
    <row r="98" spans="2:78">
      <c r="B98" s="7" t="s">
        <v>90</v>
      </c>
      <c r="D98" s="27" t="e">
        <f t="shared" ref="D98:AI98" si="95">1-D54/D55</f>
        <v>#DIV/0!</v>
      </c>
      <c r="E98" s="27" t="e">
        <f t="shared" si="95"/>
        <v>#REF!</v>
      </c>
      <c r="F98" s="27" t="e">
        <f t="shared" si="95"/>
        <v>#REF!</v>
      </c>
      <c r="G98" s="27" t="e">
        <f t="shared" si="95"/>
        <v>#REF!</v>
      </c>
      <c r="H98" s="27" t="e">
        <f t="shared" si="95"/>
        <v>#REF!</v>
      </c>
      <c r="I98" s="27" t="e">
        <f t="shared" si="95"/>
        <v>#REF!</v>
      </c>
      <c r="J98" s="27" t="e">
        <f t="shared" si="95"/>
        <v>#REF!</v>
      </c>
      <c r="K98" s="27" t="e">
        <f t="shared" si="95"/>
        <v>#REF!</v>
      </c>
      <c r="L98" s="27" t="e">
        <f t="shared" si="95"/>
        <v>#REF!</v>
      </c>
      <c r="M98" s="27" t="e">
        <f t="shared" si="95"/>
        <v>#REF!</v>
      </c>
      <c r="N98" s="27" t="e">
        <f t="shared" si="95"/>
        <v>#REF!</v>
      </c>
      <c r="O98" s="27" t="e">
        <f t="shared" si="95"/>
        <v>#REF!</v>
      </c>
      <c r="P98" s="27" t="e">
        <f t="shared" si="95"/>
        <v>#REF!</v>
      </c>
      <c r="Q98" s="27" t="e">
        <f t="shared" si="95"/>
        <v>#REF!</v>
      </c>
      <c r="R98" s="27" t="e">
        <f t="shared" si="95"/>
        <v>#REF!</v>
      </c>
      <c r="S98" s="27" t="e">
        <f t="shared" si="95"/>
        <v>#REF!</v>
      </c>
      <c r="T98" s="27" t="e">
        <f t="shared" si="95"/>
        <v>#REF!</v>
      </c>
      <c r="U98" s="27" t="e">
        <f t="shared" si="95"/>
        <v>#REF!</v>
      </c>
      <c r="V98" s="27" t="e">
        <f t="shared" si="95"/>
        <v>#REF!</v>
      </c>
      <c r="W98" s="27" t="e">
        <f t="shared" si="95"/>
        <v>#REF!</v>
      </c>
      <c r="X98" s="27" t="e">
        <f t="shared" si="95"/>
        <v>#REF!</v>
      </c>
      <c r="Y98" s="27" t="e">
        <f t="shared" si="95"/>
        <v>#REF!</v>
      </c>
      <c r="Z98" s="27" t="e">
        <f t="shared" si="95"/>
        <v>#REF!</v>
      </c>
      <c r="AA98" s="27" t="e">
        <f t="shared" si="95"/>
        <v>#REF!</v>
      </c>
      <c r="AB98" s="27" t="e">
        <f t="shared" si="95"/>
        <v>#REF!</v>
      </c>
      <c r="AC98" s="27" t="e">
        <f t="shared" si="95"/>
        <v>#REF!</v>
      </c>
      <c r="AD98" s="27" t="e">
        <f t="shared" si="95"/>
        <v>#REF!</v>
      </c>
      <c r="AE98" s="27" t="e">
        <f t="shared" si="95"/>
        <v>#REF!</v>
      </c>
      <c r="AF98" s="27" t="e">
        <f t="shared" si="95"/>
        <v>#REF!</v>
      </c>
      <c r="AG98" s="27" t="e">
        <f t="shared" si="95"/>
        <v>#REF!</v>
      </c>
      <c r="AH98" s="27" t="e">
        <f t="shared" si="95"/>
        <v>#REF!</v>
      </c>
      <c r="AI98" s="27" t="e">
        <f t="shared" si="95"/>
        <v>#REF!</v>
      </c>
      <c r="AJ98" s="27" t="e">
        <f t="shared" ref="AJ98:BO98" si="96">1-AJ54/AJ55</f>
        <v>#REF!</v>
      </c>
      <c r="AK98" s="27" t="e">
        <f t="shared" si="96"/>
        <v>#REF!</v>
      </c>
      <c r="AL98" s="27" t="e">
        <f t="shared" si="96"/>
        <v>#REF!</v>
      </c>
      <c r="AM98" s="27" t="e">
        <f t="shared" si="96"/>
        <v>#REF!</v>
      </c>
      <c r="AN98" s="27" t="e">
        <f t="shared" si="96"/>
        <v>#REF!</v>
      </c>
      <c r="AO98" s="27" t="e">
        <f t="shared" si="96"/>
        <v>#REF!</v>
      </c>
      <c r="AP98" s="27" t="e">
        <f t="shared" si="96"/>
        <v>#REF!</v>
      </c>
      <c r="AQ98" s="27" t="e">
        <f t="shared" si="96"/>
        <v>#REF!</v>
      </c>
      <c r="AR98" s="27" t="e">
        <f t="shared" si="96"/>
        <v>#REF!</v>
      </c>
      <c r="AS98" s="27" t="e">
        <f t="shared" si="96"/>
        <v>#REF!</v>
      </c>
      <c r="AT98" s="27" t="e">
        <f t="shared" si="96"/>
        <v>#REF!</v>
      </c>
      <c r="AU98" s="27" t="e">
        <f t="shared" si="96"/>
        <v>#REF!</v>
      </c>
      <c r="AV98" s="27" t="e">
        <f t="shared" si="96"/>
        <v>#REF!</v>
      </c>
      <c r="AW98" s="27" t="e">
        <f t="shared" si="96"/>
        <v>#REF!</v>
      </c>
      <c r="AX98" s="27" t="e">
        <f t="shared" si="96"/>
        <v>#REF!</v>
      </c>
      <c r="AY98" s="27" t="e">
        <f t="shared" si="96"/>
        <v>#REF!</v>
      </c>
      <c r="AZ98" s="27" t="e">
        <f t="shared" si="96"/>
        <v>#REF!</v>
      </c>
      <c r="BA98" s="27" t="e">
        <f t="shared" si="96"/>
        <v>#REF!</v>
      </c>
      <c r="BB98" s="27" t="e">
        <f t="shared" si="96"/>
        <v>#REF!</v>
      </c>
      <c r="BC98" s="27" t="e">
        <f t="shared" si="96"/>
        <v>#REF!</v>
      </c>
      <c r="BD98" s="27" t="e">
        <f t="shared" si="96"/>
        <v>#REF!</v>
      </c>
      <c r="BE98" s="27" t="e">
        <f t="shared" si="96"/>
        <v>#REF!</v>
      </c>
      <c r="BF98" s="27" t="e">
        <f t="shared" si="96"/>
        <v>#REF!</v>
      </c>
      <c r="BG98" s="27" t="e">
        <f t="shared" si="96"/>
        <v>#REF!</v>
      </c>
      <c r="BH98" s="27" t="e">
        <f t="shared" si="96"/>
        <v>#REF!</v>
      </c>
      <c r="BI98" s="27" t="e">
        <f t="shared" si="96"/>
        <v>#REF!</v>
      </c>
      <c r="BJ98" s="27" t="e">
        <f t="shared" si="96"/>
        <v>#REF!</v>
      </c>
      <c r="BK98" s="27" t="e">
        <f t="shared" si="96"/>
        <v>#REF!</v>
      </c>
      <c r="BL98" s="27" t="e">
        <f t="shared" si="96"/>
        <v>#REF!</v>
      </c>
      <c r="BM98" s="27" t="e">
        <f t="shared" si="96"/>
        <v>#REF!</v>
      </c>
      <c r="BN98" s="27" t="e">
        <f t="shared" si="96"/>
        <v>#REF!</v>
      </c>
      <c r="BO98" s="27" t="e">
        <f t="shared" si="96"/>
        <v>#REF!</v>
      </c>
      <c r="BP98" s="27" t="e">
        <f t="shared" ref="BP98:BX98" si="97">1-BP54/BP55</f>
        <v>#REF!</v>
      </c>
      <c r="BQ98" s="27" t="e">
        <f t="shared" si="97"/>
        <v>#REF!</v>
      </c>
      <c r="BR98" s="27" t="e">
        <f t="shared" si="97"/>
        <v>#REF!</v>
      </c>
      <c r="BS98" s="27" t="e">
        <f t="shared" si="97"/>
        <v>#REF!</v>
      </c>
      <c r="BT98" s="27" t="e">
        <f t="shared" si="97"/>
        <v>#REF!</v>
      </c>
      <c r="BU98" s="27" t="e">
        <f t="shared" si="97"/>
        <v>#REF!</v>
      </c>
      <c r="BV98" s="27" t="e">
        <f t="shared" si="97"/>
        <v>#REF!</v>
      </c>
      <c r="BW98" s="27" t="e">
        <f t="shared" si="97"/>
        <v>#REF!</v>
      </c>
      <c r="BX98" s="27" t="e">
        <f t="shared" si="97"/>
        <v>#REF!</v>
      </c>
      <c r="BY98" s="27" t="e">
        <f t="shared" ref="BY98:BZ98" si="98">1-BY54/BY55</f>
        <v>#REF!</v>
      </c>
      <c r="BZ98" s="27" t="e">
        <f t="shared" si="98"/>
        <v>#REF!</v>
      </c>
    </row>
    <row r="99" spans="2:78">
      <c r="B99" s="7" t="s">
        <v>91</v>
      </c>
      <c r="D99" s="27" t="e">
        <f t="shared" ref="D99:AI99" si="99">-D52/D54</f>
        <v>#DIV/0!</v>
      </c>
      <c r="E99" s="27" t="e">
        <f t="shared" si="99"/>
        <v>#REF!</v>
      </c>
      <c r="F99" s="27" t="e">
        <f t="shared" si="99"/>
        <v>#REF!</v>
      </c>
      <c r="G99" s="27" t="e">
        <f t="shared" si="99"/>
        <v>#REF!</v>
      </c>
      <c r="H99" s="27" t="e">
        <f t="shared" si="99"/>
        <v>#REF!</v>
      </c>
      <c r="I99" s="27" t="e">
        <f t="shared" si="99"/>
        <v>#REF!</v>
      </c>
      <c r="J99" s="27" t="e">
        <f t="shared" si="99"/>
        <v>#REF!</v>
      </c>
      <c r="K99" s="27" t="e">
        <f t="shared" si="99"/>
        <v>#REF!</v>
      </c>
      <c r="L99" s="27" t="e">
        <f t="shared" si="99"/>
        <v>#REF!</v>
      </c>
      <c r="M99" s="27" t="e">
        <f t="shared" si="99"/>
        <v>#REF!</v>
      </c>
      <c r="N99" s="27" t="e">
        <f t="shared" si="99"/>
        <v>#REF!</v>
      </c>
      <c r="O99" s="27" t="e">
        <f t="shared" si="99"/>
        <v>#REF!</v>
      </c>
      <c r="P99" s="27" t="e">
        <f t="shared" si="99"/>
        <v>#REF!</v>
      </c>
      <c r="Q99" s="27" t="e">
        <f t="shared" si="99"/>
        <v>#REF!</v>
      </c>
      <c r="R99" s="27" t="e">
        <f t="shared" si="99"/>
        <v>#REF!</v>
      </c>
      <c r="S99" s="27" t="e">
        <f t="shared" si="99"/>
        <v>#REF!</v>
      </c>
      <c r="T99" s="27" t="e">
        <f t="shared" si="99"/>
        <v>#REF!</v>
      </c>
      <c r="U99" s="27" t="e">
        <f t="shared" si="99"/>
        <v>#REF!</v>
      </c>
      <c r="V99" s="27" t="e">
        <f t="shared" si="99"/>
        <v>#REF!</v>
      </c>
      <c r="W99" s="27" t="e">
        <f t="shared" si="99"/>
        <v>#REF!</v>
      </c>
      <c r="X99" s="27" t="e">
        <f t="shared" si="99"/>
        <v>#REF!</v>
      </c>
      <c r="Y99" s="27" t="e">
        <f t="shared" si="99"/>
        <v>#REF!</v>
      </c>
      <c r="Z99" s="27" t="e">
        <f t="shared" si="99"/>
        <v>#REF!</v>
      </c>
      <c r="AA99" s="27" t="e">
        <f t="shared" si="99"/>
        <v>#REF!</v>
      </c>
      <c r="AB99" s="27" t="e">
        <f t="shared" si="99"/>
        <v>#REF!</v>
      </c>
      <c r="AC99" s="27" t="e">
        <f t="shared" si="99"/>
        <v>#REF!</v>
      </c>
      <c r="AD99" s="27" t="e">
        <f t="shared" si="99"/>
        <v>#REF!</v>
      </c>
      <c r="AE99" s="27" t="e">
        <f t="shared" si="99"/>
        <v>#REF!</v>
      </c>
      <c r="AF99" s="27" t="e">
        <f t="shared" si="99"/>
        <v>#REF!</v>
      </c>
      <c r="AG99" s="27" t="e">
        <f t="shared" si="99"/>
        <v>#REF!</v>
      </c>
      <c r="AH99" s="27" t="e">
        <f t="shared" si="99"/>
        <v>#REF!</v>
      </c>
      <c r="AI99" s="27" t="e">
        <f t="shared" si="99"/>
        <v>#REF!</v>
      </c>
      <c r="AJ99" s="27" t="e">
        <f t="shared" ref="AJ99:BO99" si="100">-AJ52/AJ54</f>
        <v>#REF!</v>
      </c>
      <c r="AK99" s="27" t="e">
        <f t="shared" si="100"/>
        <v>#REF!</v>
      </c>
      <c r="AL99" s="27" t="e">
        <f t="shared" si="100"/>
        <v>#REF!</v>
      </c>
      <c r="AM99" s="27" t="e">
        <f t="shared" si="100"/>
        <v>#REF!</v>
      </c>
      <c r="AN99" s="27" t="e">
        <f t="shared" si="100"/>
        <v>#REF!</v>
      </c>
      <c r="AO99" s="27" t="e">
        <f t="shared" si="100"/>
        <v>#REF!</v>
      </c>
      <c r="AP99" s="27" t="e">
        <f t="shared" si="100"/>
        <v>#REF!</v>
      </c>
      <c r="AQ99" s="27" t="e">
        <f t="shared" si="100"/>
        <v>#REF!</v>
      </c>
      <c r="AR99" s="27" t="e">
        <f t="shared" si="100"/>
        <v>#REF!</v>
      </c>
      <c r="AS99" s="27" t="e">
        <f t="shared" si="100"/>
        <v>#REF!</v>
      </c>
      <c r="AT99" s="27" t="e">
        <f t="shared" si="100"/>
        <v>#REF!</v>
      </c>
      <c r="AU99" s="27" t="e">
        <f t="shared" si="100"/>
        <v>#REF!</v>
      </c>
      <c r="AV99" s="27" t="e">
        <f t="shared" si="100"/>
        <v>#REF!</v>
      </c>
      <c r="AW99" s="27" t="e">
        <f t="shared" si="100"/>
        <v>#REF!</v>
      </c>
      <c r="AX99" s="27" t="e">
        <f t="shared" si="100"/>
        <v>#REF!</v>
      </c>
      <c r="AY99" s="27" t="e">
        <f t="shared" si="100"/>
        <v>#REF!</v>
      </c>
      <c r="AZ99" s="27" t="e">
        <f t="shared" si="100"/>
        <v>#REF!</v>
      </c>
      <c r="BA99" s="27" t="e">
        <f t="shared" si="100"/>
        <v>#REF!</v>
      </c>
      <c r="BB99" s="27" t="e">
        <f t="shared" si="100"/>
        <v>#REF!</v>
      </c>
      <c r="BC99" s="27" t="e">
        <f t="shared" si="100"/>
        <v>#REF!</v>
      </c>
      <c r="BD99" s="27" t="e">
        <f t="shared" si="100"/>
        <v>#REF!</v>
      </c>
      <c r="BE99" s="27" t="e">
        <f t="shared" si="100"/>
        <v>#REF!</v>
      </c>
      <c r="BF99" s="27" t="e">
        <f t="shared" si="100"/>
        <v>#REF!</v>
      </c>
      <c r="BG99" s="27" t="e">
        <f t="shared" si="100"/>
        <v>#REF!</v>
      </c>
      <c r="BH99" s="27" t="e">
        <f t="shared" si="100"/>
        <v>#REF!</v>
      </c>
      <c r="BI99" s="27" t="e">
        <f t="shared" si="100"/>
        <v>#REF!</v>
      </c>
      <c r="BJ99" s="27" t="e">
        <f t="shared" si="100"/>
        <v>#REF!</v>
      </c>
      <c r="BK99" s="27" t="e">
        <f t="shared" si="100"/>
        <v>#REF!</v>
      </c>
      <c r="BL99" s="27" t="e">
        <f t="shared" si="100"/>
        <v>#REF!</v>
      </c>
      <c r="BM99" s="27" t="e">
        <f t="shared" si="100"/>
        <v>#REF!</v>
      </c>
      <c r="BN99" s="27" t="e">
        <f t="shared" si="100"/>
        <v>#REF!</v>
      </c>
      <c r="BO99" s="27" t="e">
        <f t="shared" si="100"/>
        <v>#REF!</v>
      </c>
      <c r="BP99" s="27" t="e">
        <f t="shared" ref="BP99:BX99" si="101">-BP52/BP54</f>
        <v>#REF!</v>
      </c>
      <c r="BQ99" s="27" t="e">
        <f t="shared" si="101"/>
        <v>#REF!</v>
      </c>
      <c r="BR99" s="27" t="e">
        <f t="shared" si="101"/>
        <v>#REF!</v>
      </c>
      <c r="BS99" s="27" t="e">
        <f t="shared" si="101"/>
        <v>#REF!</v>
      </c>
      <c r="BT99" s="27" t="e">
        <f t="shared" si="101"/>
        <v>#REF!</v>
      </c>
      <c r="BU99" s="27" t="e">
        <f t="shared" si="101"/>
        <v>#REF!</v>
      </c>
      <c r="BV99" s="27" t="e">
        <f t="shared" si="101"/>
        <v>#REF!</v>
      </c>
      <c r="BW99" s="27" t="e">
        <f t="shared" si="101"/>
        <v>#REF!</v>
      </c>
      <c r="BX99" s="27" t="e">
        <f t="shared" si="101"/>
        <v>#REF!</v>
      </c>
      <c r="BY99" s="27" t="e">
        <f t="shared" ref="BY99:BZ99" si="102">-BY52/BY54</f>
        <v>#REF!</v>
      </c>
      <c r="BZ99" s="27" t="e">
        <f t="shared" si="102"/>
        <v>#REF!</v>
      </c>
    </row>
    <row r="100" spans="2:78">
      <c r="B100" s="37" t="s">
        <v>92</v>
      </c>
      <c r="C100" s="37"/>
      <c r="D100" s="82" t="e">
        <f t="shared" ref="D100:AI100" si="103">-D26/D31</f>
        <v>#DIV/0!</v>
      </c>
      <c r="E100" s="82" t="e">
        <f t="shared" si="103"/>
        <v>#REF!</v>
      </c>
      <c r="F100" s="82" t="e">
        <f t="shared" si="103"/>
        <v>#REF!</v>
      </c>
      <c r="G100" s="82" t="e">
        <f t="shared" si="103"/>
        <v>#REF!</v>
      </c>
      <c r="H100" s="82" t="e">
        <f t="shared" si="103"/>
        <v>#REF!</v>
      </c>
      <c r="I100" s="82" t="e">
        <f t="shared" si="103"/>
        <v>#REF!</v>
      </c>
      <c r="J100" s="82" t="e">
        <f t="shared" si="103"/>
        <v>#REF!</v>
      </c>
      <c r="K100" s="82" t="e">
        <f t="shared" si="103"/>
        <v>#REF!</v>
      </c>
      <c r="L100" s="82" t="e">
        <f t="shared" si="103"/>
        <v>#REF!</v>
      </c>
      <c r="M100" s="82" t="e">
        <f t="shared" si="103"/>
        <v>#REF!</v>
      </c>
      <c r="N100" s="82" t="e">
        <f t="shared" si="103"/>
        <v>#REF!</v>
      </c>
      <c r="O100" s="82" t="e">
        <f t="shared" si="103"/>
        <v>#REF!</v>
      </c>
      <c r="P100" s="82" t="e">
        <f t="shared" si="103"/>
        <v>#REF!</v>
      </c>
      <c r="Q100" s="82" t="e">
        <f t="shared" si="103"/>
        <v>#REF!</v>
      </c>
      <c r="R100" s="82" t="e">
        <f t="shared" si="103"/>
        <v>#REF!</v>
      </c>
      <c r="S100" s="82" t="e">
        <f t="shared" si="103"/>
        <v>#REF!</v>
      </c>
      <c r="T100" s="82" t="e">
        <f t="shared" si="103"/>
        <v>#REF!</v>
      </c>
      <c r="U100" s="82" t="e">
        <f t="shared" si="103"/>
        <v>#REF!</v>
      </c>
      <c r="V100" s="82" t="e">
        <f t="shared" si="103"/>
        <v>#REF!</v>
      </c>
      <c r="W100" s="82" t="e">
        <f t="shared" si="103"/>
        <v>#REF!</v>
      </c>
      <c r="X100" s="82" t="e">
        <f t="shared" si="103"/>
        <v>#REF!</v>
      </c>
      <c r="Y100" s="82" t="e">
        <f t="shared" si="103"/>
        <v>#REF!</v>
      </c>
      <c r="Z100" s="82" t="e">
        <f t="shared" si="103"/>
        <v>#REF!</v>
      </c>
      <c r="AA100" s="82" t="e">
        <f t="shared" si="103"/>
        <v>#REF!</v>
      </c>
      <c r="AB100" s="82" t="e">
        <f t="shared" si="103"/>
        <v>#REF!</v>
      </c>
      <c r="AC100" s="82" t="e">
        <f t="shared" si="103"/>
        <v>#REF!</v>
      </c>
      <c r="AD100" s="82" t="e">
        <f t="shared" si="103"/>
        <v>#REF!</v>
      </c>
      <c r="AE100" s="82" t="e">
        <f t="shared" si="103"/>
        <v>#REF!</v>
      </c>
      <c r="AF100" s="82" t="e">
        <f t="shared" si="103"/>
        <v>#REF!</v>
      </c>
      <c r="AG100" s="82" t="e">
        <f t="shared" si="103"/>
        <v>#REF!</v>
      </c>
      <c r="AH100" s="82" t="e">
        <f t="shared" si="103"/>
        <v>#REF!</v>
      </c>
      <c r="AI100" s="82" t="e">
        <f t="shared" si="103"/>
        <v>#REF!</v>
      </c>
      <c r="AJ100" s="82" t="e">
        <f t="shared" ref="AJ100:BO100" si="104">-AJ26/AJ31</f>
        <v>#REF!</v>
      </c>
      <c r="AK100" s="82" t="e">
        <f t="shared" si="104"/>
        <v>#REF!</v>
      </c>
      <c r="AL100" s="82" t="e">
        <f t="shared" si="104"/>
        <v>#REF!</v>
      </c>
      <c r="AM100" s="82" t="e">
        <f t="shared" si="104"/>
        <v>#REF!</v>
      </c>
      <c r="AN100" s="82" t="e">
        <f t="shared" si="104"/>
        <v>#REF!</v>
      </c>
      <c r="AO100" s="82" t="e">
        <f t="shared" si="104"/>
        <v>#REF!</v>
      </c>
      <c r="AP100" s="82" t="e">
        <f t="shared" si="104"/>
        <v>#REF!</v>
      </c>
      <c r="AQ100" s="82" t="e">
        <f t="shared" si="104"/>
        <v>#REF!</v>
      </c>
      <c r="AR100" s="82" t="e">
        <f t="shared" si="104"/>
        <v>#REF!</v>
      </c>
      <c r="AS100" s="82" t="e">
        <f t="shared" si="104"/>
        <v>#REF!</v>
      </c>
      <c r="AT100" s="82" t="e">
        <f t="shared" si="104"/>
        <v>#REF!</v>
      </c>
      <c r="AU100" s="82" t="e">
        <f t="shared" si="104"/>
        <v>#REF!</v>
      </c>
      <c r="AV100" s="82" t="e">
        <f t="shared" si="104"/>
        <v>#REF!</v>
      </c>
      <c r="AW100" s="82" t="e">
        <f t="shared" si="104"/>
        <v>#REF!</v>
      </c>
      <c r="AX100" s="82" t="e">
        <f t="shared" si="104"/>
        <v>#REF!</v>
      </c>
      <c r="AY100" s="82" t="e">
        <f t="shared" si="104"/>
        <v>#REF!</v>
      </c>
      <c r="AZ100" s="82" t="e">
        <f t="shared" si="104"/>
        <v>#REF!</v>
      </c>
      <c r="BA100" s="82" t="e">
        <f t="shared" si="104"/>
        <v>#REF!</v>
      </c>
      <c r="BB100" s="82" t="e">
        <f t="shared" si="104"/>
        <v>#REF!</v>
      </c>
      <c r="BC100" s="82" t="e">
        <f t="shared" si="104"/>
        <v>#REF!</v>
      </c>
      <c r="BD100" s="82" t="e">
        <f t="shared" si="104"/>
        <v>#REF!</v>
      </c>
      <c r="BE100" s="82" t="e">
        <f t="shared" si="104"/>
        <v>#REF!</v>
      </c>
      <c r="BF100" s="82" t="e">
        <f t="shared" si="104"/>
        <v>#REF!</v>
      </c>
      <c r="BG100" s="82" t="e">
        <f t="shared" si="104"/>
        <v>#REF!</v>
      </c>
      <c r="BH100" s="82" t="e">
        <f t="shared" si="104"/>
        <v>#REF!</v>
      </c>
      <c r="BI100" s="82" t="e">
        <f t="shared" si="104"/>
        <v>#REF!</v>
      </c>
      <c r="BJ100" s="82" t="e">
        <f t="shared" si="104"/>
        <v>#REF!</v>
      </c>
      <c r="BK100" s="82" t="e">
        <f t="shared" si="104"/>
        <v>#REF!</v>
      </c>
      <c r="BL100" s="82" t="e">
        <f t="shared" si="104"/>
        <v>#REF!</v>
      </c>
      <c r="BM100" s="82" t="e">
        <f t="shared" si="104"/>
        <v>#REF!</v>
      </c>
      <c r="BN100" s="82" t="e">
        <f t="shared" si="104"/>
        <v>#REF!</v>
      </c>
      <c r="BO100" s="82" t="e">
        <f t="shared" si="104"/>
        <v>#REF!</v>
      </c>
      <c r="BP100" s="82" t="e">
        <f t="shared" ref="BP100:BX100" si="105">-BP26/BP31</f>
        <v>#REF!</v>
      </c>
      <c r="BQ100" s="82" t="e">
        <f t="shared" si="105"/>
        <v>#REF!</v>
      </c>
      <c r="BR100" s="82" t="e">
        <f t="shared" si="105"/>
        <v>#REF!</v>
      </c>
      <c r="BS100" s="82" t="e">
        <f t="shared" si="105"/>
        <v>#REF!</v>
      </c>
      <c r="BT100" s="82" t="e">
        <f t="shared" si="105"/>
        <v>#REF!</v>
      </c>
      <c r="BU100" s="82" t="e">
        <f t="shared" si="105"/>
        <v>#REF!</v>
      </c>
      <c r="BV100" s="82" t="e">
        <f t="shared" si="105"/>
        <v>#REF!</v>
      </c>
      <c r="BW100" s="82" t="e">
        <f t="shared" si="105"/>
        <v>#REF!</v>
      </c>
      <c r="BX100" s="82" t="e">
        <f t="shared" si="105"/>
        <v>#REF!</v>
      </c>
      <c r="BY100" s="82" t="e">
        <f t="shared" ref="BY100:BZ100" si="106">-BY26/BY31</f>
        <v>#REF!</v>
      </c>
      <c r="BZ100" s="82" t="e">
        <f t="shared" si="106"/>
        <v>#REF!</v>
      </c>
    </row>
  </sheetData>
  <phoneticPr fontId="25" type="noConversion"/>
  <printOptions horizontalCentered="1"/>
  <pageMargins left="0.118110236220472" right="0.118110236220472" top="0" bottom="0" header="0.118110236220472" footer="0.118110236220472"/>
  <pageSetup paperSize="9" scale="10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3" name="Drop Down 11">
              <controlPr defaultSize="0" autoLine="0" autoPict="0">
                <anchor moveWithCells="1">
                  <from>
                    <xdr:col>75</xdr:col>
                    <xdr:colOff>201930</xdr:colOff>
                    <xdr:row>1</xdr:row>
                    <xdr:rowOff>133350</xdr:rowOff>
                  </from>
                  <to>
                    <xdr:col>77</xdr:col>
                    <xdr:colOff>381000</xdr:colOff>
                    <xdr:row>4</xdr:row>
                    <xdr:rowOff>125730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08314B-02ED-4524-A254-0E480B36C16B}">
  <sheetPr codeName="Sheet2">
    <tabColor theme="4"/>
  </sheetPr>
  <dimension ref="A1:CM645"/>
  <sheetViews>
    <sheetView zoomScale="85" zoomScaleNormal="85" workbookViewId="0">
      <pane xSplit="2" ySplit="4" topLeftCell="BK5" activePane="bottomRight" state="frozen"/>
      <selection pane="topRight" activeCell="C1" sqref="C1"/>
      <selection pane="bottomLeft" activeCell="A5" sqref="A5"/>
      <selection pane="bottomRight" activeCell="BM21" sqref="BM21"/>
    </sheetView>
  </sheetViews>
  <sheetFormatPr defaultColWidth="9.27734375" defaultRowHeight="12.3" outlineLevelCol="1"/>
  <cols>
    <col min="1" max="1" width="19.44140625" style="168" customWidth="1"/>
    <col min="2" max="2" width="50.1640625" style="85" bestFit="1" customWidth="1"/>
    <col min="3" max="3" width="10" style="85" customWidth="1"/>
    <col min="4" max="7" width="8" style="83" customWidth="1" outlineLevel="1"/>
    <col min="8" max="8" width="7" style="83" customWidth="1" outlineLevel="1"/>
    <col min="9" max="9" width="8" style="83" customWidth="1" outlineLevel="1" collapsed="1"/>
    <col min="10" max="11" width="8" style="83" customWidth="1" outlineLevel="1"/>
    <col min="12" max="15" width="8.83203125" style="83" customWidth="1" outlineLevel="1"/>
    <col min="16" max="20" width="8" style="83" customWidth="1" outlineLevel="1"/>
    <col min="21" max="21" width="14.71875" style="83" customWidth="1"/>
    <col min="22" max="22" width="14.71875" style="325" hidden="1" customWidth="1" outlineLevel="1"/>
    <col min="23" max="27" width="14.71875" style="83" hidden="1" customWidth="1" outlineLevel="1"/>
    <col min="28" max="28" width="14.71875" style="83" customWidth="1" collapsed="1"/>
    <col min="29" max="29" width="14.71875" style="325" hidden="1" customWidth="1" outlineLevel="1"/>
    <col min="30" max="34" width="14.71875" style="83" hidden="1" customWidth="1" outlineLevel="1"/>
    <col min="35" max="35" width="14.71875" style="83" customWidth="1" collapsed="1"/>
    <col min="36" max="36" width="14.71875" style="325" hidden="1" customWidth="1" outlineLevel="1"/>
    <col min="37" max="41" width="14.71875" style="83" hidden="1" customWidth="1" outlineLevel="1"/>
    <col min="42" max="42" width="14.71875" style="83" customWidth="1" collapsed="1"/>
    <col min="43" max="43" width="14.71875" style="325" hidden="1" customWidth="1" outlineLevel="1"/>
    <col min="44" max="48" width="14.71875" style="83" hidden="1" customWidth="1" outlineLevel="1"/>
    <col min="49" max="49" width="14.71875" style="83" customWidth="1" collapsed="1"/>
    <col min="50" max="50" width="14.71875" style="325" hidden="1" customWidth="1" outlineLevel="1"/>
    <col min="51" max="55" width="14.71875" style="83" hidden="1" customWidth="1" outlineLevel="1"/>
    <col min="56" max="56" width="14.71875" style="99" customWidth="1" collapsed="1"/>
    <col min="57" max="57" width="14.71875" style="325" hidden="1" customWidth="1" outlineLevel="1"/>
    <col min="58" max="62" width="14.71875" style="83" hidden="1" customWidth="1" outlineLevel="1"/>
    <col min="63" max="63" width="14.71875" style="99" customWidth="1" collapsed="1"/>
    <col min="64" max="70" width="14.71875" style="83" customWidth="1"/>
    <col min="71" max="71" width="9.27734375" style="119"/>
    <col min="72" max="72" width="11.5546875" style="100" customWidth="1"/>
    <col min="73" max="91" width="9.27734375" style="119"/>
    <col min="92" max="16384" width="9.27734375" style="83"/>
  </cols>
  <sheetData>
    <row r="1" spans="1:91">
      <c r="A1" s="171"/>
      <c r="B1" s="172" t="s">
        <v>0</v>
      </c>
      <c r="C1" s="173"/>
      <c r="U1" s="275">
        <f ca="1">TODAY()</f>
        <v>46196</v>
      </c>
      <c r="V1" s="234"/>
      <c r="W1" s="119"/>
      <c r="X1" s="119"/>
      <c r="Y1" s="119"/>
      <c r="Z1" s="119"/>
      <c r="AA1" s="119"/>
      <c r="AB1" s="119"/>
      <c r="AC1" s="234"/>
      <c r="AD1" s="119"/>
      <c r="AE1" s="119"/>
      <c r="AF1" s="119"/>
      <c r="AG1" s="119"/>
      <c r="AH1" s="119"/>
      <c r="AI1" s="119"/>
      <c r="AJ1" s="234"/>
      <c r="AK1" s="119"/>
      <c r="AL1" s="119"/>
      <c r="AM1" s="119"/>
      <c r="AN1" s="119"/>
      <c r="AO1" s="119"/>
      <c r="AP1" s="119"/>
      <c r="AQ1" s="234"/>
      <c r="AR1" s="119"/>
      <c r="AS1" s="119"/>
      <c r="AT1" s="119"/>
      <c r="AU1" s="119"/>
      <c r="AV1" s="119"/>
      <c r="AW1" s="119"/>
      <c r="AX1" s="234"/>
      <c r="AY1" s="119"/>
      <c r="AZ1" s="119"/>
      <c r="BA1" s="119"/>
      <c r="BB1" s="119"/>
      <c r="BC1" s="119"/>
      <c r="BD1" s="120"/>
      <c r="BE1" s="234"/>
      <c r="BF1" s="119"/>
      <c r="BG1" s="119"/>
      <c r="BH1" s="119"/>
      <c r="BI1" s="119"/>
      <c r="BJ1" s="119"/>
      <c r="BK1" s="120"/>
      <c r="BL1" s="119"/>
      <c r="BM1" s="119"/>
      <c r="BN1" s="119"/>
      <c r="BO1" s="119"/>
      <c r="BP1" s="119"/>
      <c r="BQ1" s="119"/>
      <c r="BR1" s="119"/>
      <c r="BT1" s="121"/>
    </row>
    <row r="2" spans="1:91">
      <c r="A2" s="171"/>
      <c r="B2" s="148" t="s">
        <v>8</v>
      </c>
      <c r="C2" s="149"/>
      <c r="D2" s="174">
        <v>2001</v>
      </c>
      <c r="E2" s="174">
        <v>2002</v>
      </c>
      <c r="F2" s="174">
        <v>2003</v>
      </c>
      <c r="G2" s="174">
        <v>2004</v>
      </c>
      <c r="H2" s="174">
        <v>2005</v>
      </c>
      <c r="I2" s="174">
        <v>2006</v>
      </c>
      <c r="J2" s="174">
        <v>2007</v>
      </c>
      <c r="K2" s="174">
        <v>2008</v>
      </c>
      <c r="L2" s="174">
        <v>2009</v>
      </c>
      <c r="M2" s="174">
        <v>2010</v>
      </c>
      <c r="N2" s="174">
        <v>2011</v>
      </c>
      <c r="O2" s="174">
        <v>2012</v>
      </c>
      <c r="P2" s="174">
        <v>2013</v>
      </c>
      <c r="Q2" s="174">
        <v>2014</v>
      </c>
      <c r="R2" s="174">
        <v>2015</v>
      </c>
      <c r="S2" s="174">
        <v>2016</v>
      </c>
      <c r="T2" s="174">
        <v>2017</v>
      </c>
      <c r="U2" s="174">
        <v>2018</v>
      </c>
      <c r="V2" s="317"/>
      <c r="W2" s="174"/>
      <c r="X2" s="174"/>
      <c r="Y2" s="174"/>
      <c r="Z2" s="174"/>
      <c r="AA2" s="174"/>
      <c r="AB2" s="174">
        <v>2019</v>
      </c>
      <c r="AC2" s="317"/>
      <c r="AD2" s="174"/>
      <c r="AE2" s="174"/>
      <c r="AF2" s="174"/>
      <c r="AG2" s="174"/>
      <c r="AH2" s="174"/>
      <c r="AI2" s="174">
        <v>2020</v>
      </c>
      <c r="AJ2" s="317"/>
      <c r="AK2" s="174"/>
      <c r="AL2" s="174"/>
      <c r="AM2" s="174"/>
      <c r="AN2" s="174"/>
      <c r="AO2" s="174"/>
      <c r="AP2" s="174">
        <v>2021</v>
      </c>
      <c r="AQ2" s="317"/>
      <c r="AR2" s="174"/>
      <c r="AS2" s="174"/>
      <c r="AT2" s="174"/>
      <c r="AU2" s="174"/>
      <c r="AV2" s="174"/>
      <c r="AW2" s="174">
        <v>2022</v>
      </c>
      <c r="AX2" s="317"/>
      <c r="AY2" s="174"/>
      <c r="AZ2" s="174"/>
      <c r="BA2" s="174"/>
      <c r="BB2" s="174"/>
      <c r="BC2" s="174"/>
      <c r="BD2" s="359">
        <v>2023</v>
      </c>
      <c r="BE2" s="317"/>
      <c r="BF2" s="174"/>
      <c r="BG2" s="174"/>
      <c r="BH2" s="174"/>
      <c r="BI2" s="174"/>
      <c r="BJ2" s="174"/>
      <c r="BK2" s="359">
        <v>2024</v>
      </c>
      <c r="BL2" s="359">
        <v>2025</v>
      </c>
      <c r="BM2" s="104">
        <v>2026</v>
      </c>
      <c r="BN2" s="104">
        <v>2027</v>
      </c>
      <c r="BO2" s="104">
        <v>2028</v>
      </c>
      <c r="BP2" s="104">
        <v>2029</v>
      </c>
      <c r="BQ2" s="104">
        <v>2030</v>
      </c>
      <c r="BR2" s="104">
        <v>2031</v>
      </c>
      <c r="BT2" s="121"/>
    </row>
    <row r="3" spans="1:91" s="84" customFormat="1">
      <c r="A3" s="175"/>
      <c r="B3" s="89" t="str">
        <f>Summary!BM2</f>
        <v>002946.SZ</v>
      </c>
      <c r="C3" s="176"/>
      <c r="D3" s="155">
        <v>37256</v>
      </c>
      <c r="E3" s="155">
        <v>37621</v>
      </c>
      <c r="F3" s="155">
        <v>37986</v>
      </c>
      <c r="G3" s="155">
        <v>38352</v>
      </c>
      <c r="H3" s="155">
        <v>38717</v>
      </c>
      <c r="I3" s="155">
        <v>39082</v>
      </c>
      <c r="J3" s="155">
        <v>39447</v>
      </c>
      <c r="K3" s="155">
        <v>39813</v>
      </c>
      <c r="L3" s="155">
        <v>40178</v>
      </c>
      <c r="M3" s="155">
        <v>40543</v>
      </c>
      <c r="N3" s="155">
        <v>40908</v>
      </c>
      <c r="O3" s="155">
        <v>41274</v>
      </c>
      <c r="P3" s="155">
        <v>41639</v>
      </c>
      <c r="Q3" s="155">
        <v>42004</v>
      </c>
      <c r="R3" s="155">
        <v>42369</v>
      </c>
      <c r="S3" s="155">
        <v>42735</v>
      </c>
      <c r="T3" s="155">
        <v>43100</v>
      </c>
      <c r="U3" s="155">
        <v>43465</v>
      </c>
      <c r="V3" s="140">
        <v>43555</v>
      </c>
      <c r="W3" s="116">
        <v>43646</v>
      </c>
      <c r="X3" s="298">
        <v>43646</v>
      </c>
      <c r="Y3" s="116">
        <v>43738</v>
      </c>
      <c r="Z3" s="116">
        <v>43830</v>
      </c>
      <c r="AA3" s="297">
        <v>43830</v>
      </c>
      <c r="AB3" s="155">
        <v>43830</v>
      </c>
      <c r="AC3" s="140">
        <v>43921</v>
      </c>
      <c r="AD3" s="116">
        <v>44012</v>
      </c>
      <c r="AE3" s="298">
        <v>44012</v>
      </c>
      <c r="AF3" s="116">
        <v>44104</v>
      </c>
      <c r="AG3" s="116">
        <v>44196</v>
      </c>
      <c r="AH3" s="297">
        <v>44196</v>
      </c>
      <c r="AI3" s="155">
        <v>44196</v>
      </c>
      <c r="AJ3" s="140">
        <v>44286</v>
      </c>
      <c r="AK3" s="116">
        <v>44377</v>
      </c>
      <c r="AL3" s="298">
        <v>44377</v>
      </c>
      <c r="AM3" s="116">
        <v>44469</v>
      </c>
      <c r="AN3" s="116">
        <v>44561</v>
      </c>
      <c r="AO3" s="297">
        <v>44561</v>
      </c>
      <c r="AP3" s="155">
        <v>44561</v>
      </c>
      <c r="AQ3" s="140">
        <v>44651</v>
      </c>
      <c r="AR3" s="116">
        <v>44742</v>
      </c>
      <c r="AS3" s="298">
        <v>44742</v>
      </c>
      <c r="AT3" s="116">
        <v>44834</v>
      </c>
      <c r="AU3" s="116">
        <v>44926</v>
      </c>
      <c r="AV3" s="297">
        <v>44926</v>
      </c>
      <c r="AW3" s="155">
        <v>44926</v>
      </c>
      <c r="AX3" s="140">
        <v>45016</v>
      </c>
      <c r="AY3" s="116">
        <v>45107</v>
      </c>
      <c r="AZ3" s="298">
        <v>45107</v>
      </c>
      <c r="BA3" s="116">
        <v>45199</v>
      </c>
      <c r="BB3" s="116">
        <v>45291</v>
      </c>
      <c r="BC3" s="297">
        <v>45291</v>
      </c>
      <c r="BD3" s="360">
        <v>45291</v>
      </c>
      <c r="BE3" s="140">
        <v>45382</v>
      </c>
      <c r="BF3" s="116">
        <v>45473</v>
      </c>
      <c r="BG3" s="298">
        <v>45473</v>
      </c>
      <c r="BH3" s="116">
        <v>45565</v>
      </c>
      <c r="BI3" s="116">
        <v>45657</v>
      </c>
      <c r="BJ3" s="297">
        <v>45657</v>
      </c>
      <c r="BK3" s="360">
        <v>45657</v>
      </c>
      <c r="BL3" s="155">
        <v>46022</v>
      </c>
      <c r="BM3" s="155">
        <v>46387</v>
      </c>
      <c r="BN3" s="155">
        <v>46752</v>
      </c>
      <c r="BO3" s="155">
        <v>47118</v>
      </c>
      <c r="BP3" s="155">
        <v>47483</v>
      </c>
      <c r="BQ3" s="155">
        <v>47848</v>
      </c>
      <c r="BR3" s="155">
        <v>48213</v>
      </c>
      <c r="BS3" s="122"/>
      <c r="BT3" s="126"/>
      <c r="BU3" s="122"/>
      <c r="BV3" s="122"/>
      <c r="BW3" s="122"/>
      <c r="BX3" s="122"/>
      <c r="BY3" s="122"/>
      <c r="BZ3" s="122"/>
      <c r="CA3" s="122"/>
      <c r="CB3" s="122"/>
      <c r="CC3" s="122"/>
      <c r="CD3" s="122"/>
      <c r="CE3" s="122"/>
      <c r="CF3" s="122"/>
      <c r="CG3" s="122"/>
      <c r="CH3" s="122"/>
      <c r="CI3" s="122"/>
      <c r="CJ3" s="122"/>
      <c r="CK3" s="122"/>
      <c r="CL3" s="122"/>
      <c r="CM3" s="122"/>
    </row>
    <row r="4" spans="1:91" s="84" customFormat="1">
      <c r="A4" s="91" t="s">
        <v>221</v>
      </c>
      <c r="B4" s="148" t="s">
        <v>12</v>
      </c>
      <c r="C4" s="149"/>
      <c r="D4" s="87">
        <f t="shared" ref="D4:P4" si="0">D2</f>
        <v>2001</v>
      </c>
      <c r="E4" s="87">
        <f t="shared" si="0"/>
        <v>2002</v>
      </c>
      <c r="F4" s="87">
        <f t="shared" si="0"/>
        <v>2003</v>
      </c>
      <c r="G4" s="87">
        <f t="shared" si="0"/>
        <v>2004</v>
      </c>
      <c r="H4" s="87">
        <f t="shared" si="0"/>
        <v>2005</v>
      </c>
      <c r="I4" s="87">
        <f t="shared" si="0"/>
        <v>2006</v>
      </c>
      <c r="J4" s="87">
        <f t="shared" si="0"/>
        <v>2007</v>
      </c>
      <c r="K4" s="87">
        <f t="shared" si="0"/>
        <v>2008</v>
      </c>
      <c r="L4" s="87">
        <f t="shared" si="0"/>
        <v>2009</v>
      </c>
      <c r="M4" s="87">
        <f t="shared" si="0"/>
        <v>2010</v>
      </c>
      <c r="N4" s="87">
        <f t="shared" si="0"/>
        <v>2011</v>
      </c>
      <c r="O4" s="87">
        <f t="shared" si="0"/>
        <v>2012</v>
      </c>
      <c r="P4" s="87">
        <f t="shared" si="0"/>
        <v>2013</v>
      </c>
      <c r="Q4" s="87">
        <f t="shared" ref="Q4:AW4" si="1">Q2</f>
        <v>2014</v>
      </c>
      <c r="R4" s="87">
        <f t="shared" si="1"/>
        <v>2015</v>
      </c>
      <c r="S4" s="87">
        <f t="shared" si="1"/>
        <v>2016</v>
      </c>
      <c r="T4" s="87">
        <f t="shared" si="1"/>
        <v>2017</v>
      </c>
      <c r="U4" s="87">
        <f t="shared" si="1"/>
        <v>2018</v>
      </c>
      <c r="V4" s="142" t="e">
        <f>INDEX(#REF!, MATCH($A4,#REF!, 0), MATCH(V$3,#REF!, 0))</f>
        <v>#REF!</v>
      </c>
      <c r="W4" s="87" t="e">
        <f>INDEX(#REF!, MATCH($A4,#REF!, 0), MATCH(W$3,#REF!, 0))</f>
        <v>#REF!</v>
      </c>
      <c r="X4" s="300" t="str">
        <f t="shared" ref="X4" si="2">IF(MONTH(X3)&lt;=6, "1H", "2H") &amp; TEXT(X3, "YYYY")</f>
        <v>1H2019</v>
      </c>
      <c r="Y4" s="87" t="e">
        <f>INDEX(#REF!, MATCH($A4,#REF!, 0), MATCH(Y$3,#REF!, 0))</f>
        <v>#REF!</v>
      </c>
      <c r="Z4" s="87" t="e">
        <f>INDEX(#REF!, MATCH($A4,#REF!, 0), MATCH(Z$3,#REF!, 0))</f>
        <v>#REF!</v>
      </c>
      <c r="AA4" s="87" t="str">
        <f t="shared" ref="AA4" si="3">IF(MONTH(AA3)&lt;=6, "1H", "2H") &amp; TEXT(AA3, "YYYY")</f>
        <v>2H2019</v>
      </c>
      <c r="AB4" s="316">
        <f t="shared" si="1"/>
        <v>2019</v>
      </c>
      <c r="AC4" s="142" t="e">
        <f>INDEX(#REF!, MATCH($A4,#REF!, 0), MATCH(AC$3,#REF!, 0))</f>
        <v>#REF!</v>
      </c>
      <c r="AD4" s="87" t="e">
        <f>INDEX(#REF!, MATCH($A4,#REF!, 0), MATCH(AD$3,#REF!, 0))</f>
        <v>#REF!</v>
      </c>
      <c r="AE4" s="300" t="str">
        <f t="shared" ref="AE4" si="4">IF(MONTH(AE3)&lt;=6, "1H", "2H") &amp; TEXT(AE3, "YYYY")</f>
        <v>1H2020</v>
      </c>
      <c r="AF4" s="87" t="e">
        <f>INDEX(#REF!, MATCH($A4,#REF!, 0), MATCH(AF$3,#REF!, 0))</f>
        <v>#REF!</v>
      </c>
      <c r="AG4" s="87" t="e">
        <f>INDEX(#REF!, MATCH($A4,#REF!, 0), MATCH(AG$3,#REF!, 0))</f>
        <v>#REF!</v>
      </c>
      <c r="AH4" s="87" t="str">
        <f t="shared" ref="AH4" si="5">IF(MONTH(AH3)&lt;=6, "1H", "2H") &amp; TEXT(AH3, "YYYY")</f>
        <v>2H2020</v>
      </c>
      <c r="AI4" s="316">
        <f t="shared" si="1"/>
        <v>2020</v>
      </c>
      <c r="AJ4" s="142" t="e">
        <f>INDEX(#REF!, MATCH($A4,#REF!, 0), MATCH(AJ$3,#REF!, 0))</f>
        <v>#REF!</v>
      </c>
      <c r="AK4" s="87" t="e">
        <f>INDEX(#REF!, MATCH($A4,#REF!, 0), MATCH(AK$3,#REF!, 0))</f>
        <v>#REF!</v>
      </c>
      <c r="AL4" s="300" t="str">
        <f t="shared" ref="AL4" si="6">IF(MONTH(AL3)&lt;=6, "1H", "2H") &amp; TEXT(AL3, "YYYY")</f>
        <v>1H2021</v>
      </c>
      <c r="AM4" s="87" t="e">
        <f>INDEX(#REF!, MATCH($A4,#REF!, 0), MATCH(AM$3,#REF!, 0))</f>
        <v>#REF!</v>
      </c>
      <c r="AN4" s="87" t="e">
        <f>INDEX(#REF!, MATCH($A4,#REF!, 0), MATCH(AN$3,#REF!, 0))</f>
        <v>#REF!</v>
      </c>
      <c r="AO4" s="87" t="str">
        <f t="shared" ref="AO4" si="7">IF(MONTH(AO3)&lt;=6, "1H", "2H") &amp; TEXT(AO3, "YYYY")</f>
        <v>2H2021</v>
      </c>
      <c r="AP4" s="316">
        <f t="shared" si="1"/>
        <v>2021</v>
      </c>
      <c r="AQ4" s="142" t="e">
        <f>INDEX(#REF!, MATCH($A4,#REF!, 0), MATCH(AQ$3,#REF!, 0))</f>
        <v>#REF!</v>
      </c>
      <c r="AR4" s="87" t="e">
        <f>INDEX(#REF!, MATCH($A4,#REF!, 0), MATCH(AR$3,#REF!, 0))</f>
        <v>#REF!</v>
      </c>
      <c r="AS4" s="300" t="str">
        <f t="shared" ref="AS4" si="8">IF(MONTH(AS3)&lt;=6, "1H", "2H") &amp; TEXT(AS3, "YYYY")</f>
        <v>1H2022</v>
      </c>
      <c r="AT4" s="87" t="e">
        <f>INDEX(#REF!, MATCH($A4,#REF!, 0), MATCH(AT$3,#REF!, 0))</f>
        <v>#REF!</v>
      </c>
      <c r="AU4" s="87" t="e">
        <f>INDEX(#REF!, MATCH($A4,#REF!, 0), MATCH(AU$3,#REF!, 0))</f>
        <v>#REF!</v>
      </c>
      <c r="AV4" s="87" t="str">
        <f t="shared" ref="AV4" si="9">IF(MONTH(AV3)&lt;=6, "1H", "2H") &amp; TEXT(AV3, "YYYY")</f>
        <v>2H2022</v>
      </c>
      <c r="AW4" s="316">
        <f t="shared" si="1"/>
        <v>2022</v>
      </c>
      <c r="AX4" s="142" t="e">
        <f>INDEX(#REF!, MATCH($A4,#REF!, 0), MATCH(AX$3,#REF!, 0))</f>
        <v>#REF!</v>
      </c>
      <c r="AY4" s="87" t="e">
        <f>INDEX(#REF!, MATCH($A4,#REF!, 0), MATCH(AY$3,#REF!, 0))</f>
        <v>#REF!</v>
      </c>
      <c r="AZ4" s="300" t="str">
        <f t="shared" ref="AZ4" si="10">IF(MONTH(AZ3)&lt;=6, "1H", "2H") &amp; TEXT(AZ3, "YYYY")</f>
        <v>1H2023</v>
      </c>
      <c r="BA4" s="87" t="e">
        <f>INDEX(#REF!, MATCH($A4,#REF!, 0), MATCH(BA$3,#REF!, 0))</f>
        <v>#REF!</v>
      </c>
      <c r="BB4" s="87" t="e">
        <f>INDEX(#REF!, MATCH($A4,#REF!, 0), MATCH(BB$3,#REF!, 0))</f>
        <v>#REF!</v>
      </c>
      <c r="BC4" s="87" t="str">
        <f t="shared" ref="BC4" si="11">IF(MONTH(BC3)&lt;=6, "1H", "2H") &amp; TEXT(BC3, "YYYY")</f>
        <v>2H2023</v>
      </c>
      <c r="BD4" s="361">
        <f t="shared" ref="BD4" si="12">BD2</f>
        <v>2023</v>
      </c>
      <c r="BE4" s="142" t="e">
        <f>INDEX(#REF!, MATCH($A4,#REF!, 0), MATCH(BE$3,#REF!, 0))</f>
        <v>#REF!</v>
      </c>
      <c r="BF4" s="87" t="e">
        <f>INDEX(#REF!, MATCH($A4,#REF!, 0), MATCH(BF$3,#REF!, 0))</f>
        <v>#REF!</v>
      </c>
      <c r="BG4" s="300" t="str">
        <f t="shared" ref="BG4" si="13">IF(MONTH(BG3)&lt;=6, "1H", "2H") &amp; TEXT(BG3, "YYYY")</f>
        <v>1H2024</v>
      </c>
      <c r="BH4" s="87" t="e">
        <f>INDEX(#REF!, MATCH($A4,#REF!, 0), MATCH(BH$3,#REF!, 0))</f>
        <v>#REF!</v>
      </c>
      <c r="BI4" s="87" t="e">
        <f>INDEX(#REF!, MATCH($A4,#REF!, 0), MATCH(BI$3,#REF!, 0))</f>
        <v>#REF!</v>
      </c>
      <c r="BJ4" s="87" t="str">
        <f t="shared" ref="BJ4" si="14">IF(MONTH(BJ3)&lt;=6, "1H", "2H") &amp; TEXT(BJ3, "YYYY")</f>
        <v>2H2024</v>
      </c>
      <c r="BK4" s="361">
        <f t="shared" ref="BK4" si="15">BK2</f>
        <v>2024</v>
      </c>
      <c r="BL4" s="359">
        <v>2025</v>
      </c>
      <c r="BM4" s="104">
        <v>2026</v>
      </c>
      <c r="BN4" s="104">
        <v>2027</v>
      </c>
      <c r="BO4" s="104">
        <v>2028</v>
      </c>
      <c r="BP4" s="104">
        <v>2029</v>
      </c>
      <c r="BQ4" s="104">
        <v>2030</v>
      </c>
      <c r="BR4" s="104">
        <v>2031</v>
      </c>
      <c r="BS4" s="122"/>
      <c r="BT4" s="223" t="s">
        <v>260</v>
      </c>
      <c r="BU4" s="122"/>
      <c r="BV4" s="122"/>
      <c r="BW4" s="122"/>
      <c r="BX4" s="122"/>
      <c r="BY4" s="122"/>
      <c r="BZ4" s="122"/>
      <c r="CA4" s="122"/>
      <c r="CB4" s="122"/>
      <c r="CC4" s="122"/>
      <c r="CD4" s="122"/>
      <c r="CE4" s="122"/>
      <c r="CF4" s="122"/>
      <c r="CG4" s="122"/>
      <c r="CH4" s="122"/>
      <c r="CI4" s="122"/>
      <c r="CJ4" s="122"/>
      <c r="CK4" s="122"/>
      <c r="CL4" s="122"/>
      <c r="CM4" s="122"/>
    </row>
    <row r="5" spans="1:91" s="84" customFormat="1" ht="12.9">
      <c r="A5" s="175" t="s">
        <v>252</v>
      </c>
      <c r="B5" s="186" t="s">
        <v>13</v>
      </c>
      <c r="C5" s="186"/>
      <c r="D5" s="266" t="e">
        <f>INDEX(#REF!, MATCH($A5,#REF!, 0), MATCH(D$4,#REF!, 0))</f>
        <v>#REF!</v>
      </c>
      <c r="E5" s="266" t="e">
        <f>INDEX(#REF!, MATCH($A5,#REF!, 0), MATCH(E$4,#REF!, 0))</f>
        <v>#REF!</v>
      </c>
      <c r="F5" s="266" t="e">
        <f>INDEX(#REF!, MATCH($A5,#REF!, 0), MATCH(F$4,#REF!, 0))</f>
        <v>#REF!</v>
      </c>
      <c r="G5" s="266" t="e">
        <f>INDEX(#REF!, MATCH($A5,#REF!, 0), MATCH(G$4,#REF!, 0))</f>
        <v>#REF!</v>
      </c>
      <c r="H5" s="266" t="e">
        <f>INDEX(#REF!, MATCH($A5,#REF!, 0), MATCH(H$4,#REF!, 0))</f>
        <v>#REF!</v>
      </c>
      <c r="I5" s="266" t="e">
        <f>INDEX(#REF!, MATCH($A5,#REF!, 0), MATCH(I$4,#REF!, 0))</f>
        <v>#REF!</v>
      </c>
      <c r="J5" s="266" t="e">
        <f>INDEX(#REF!, MATCH($A5,#REF!, 0), MATCH(J$4,#REF!, 0))</f>
        <v>#REF!</v>
      </c>
      <c r="K5" s="266" t="e">
        <f>INDEX(#REF!, MATCH($A5,#REF!, 0), MATCH(K$4,#REF!, 0))</f>
        <v>#REF!</v>
      </c>
      <c r="L5" s="266" t="e">
        <f>INDEX(#REF!, MATCH($A5,#REF!, 0), MATCH(L$4,#REF!, 0))</f>
        <v>#REF!</v>
      </c>
      <c r="M5" s="266" t="e">
        <f>INDEX(#REF!, MATCH($A5,#REF!, 0), MATCH(M$4,#REF!, 0))</f>
        <v>#REF!</v>
      </c>
      <c r="N5" s="266" t="e">
        <f>INDEX(#REF!, MATCH($A5,#REF!, 0), MATCH(N$4,#REF!, 0))</f>
        <v>#REF!</v>
      </c>
      <c r="O5" s="266" t="e">
        <f>INDEX(#REF!, MATCH($A5,#REF!, 0), MATCH(O$4,#REF!, 0))</f>
        <v>#REF!</v>
      </c>
      <c r="P5" s="266" t="e">
        <f>INDEX(#REF!, MATCH($A5,#REF!, 0), MATCH(P$4,#REF!, 0))</f>
        <v>#REF!</v>
      </c>
      <c r="Q5" s="266" t="e">
        <f>INDEX(#REF!, MATCH($A5,#REF!, 0), MATCH(Q$4,#REF!, 0))</f>
        <v>#REF!</v>
      </c>
      <c r="R5" s="266" t="e">
        <f>INDEX(#REF!, MATCH($A5,#REF!, 0), MATCH(R$4,#REF!, 0))</f>
        <v>#REF!</v>
      </c>
      <c r="S5" s="266" t="e">
        <f>INDEX(#REF!, MATCH($A5,#REF!, 0), MATCH(S$4,#REF!, 0))</f>
        <v>#REF!</v>
      </c>
      <c r="T5" s="266" t="e">
        <f>INDEX(#REF!, MATCH($A5,#REF!, 0), MATCH(T$4,#REF!, 0))</f>
        <v>#REF!</v>
      </c>
      <c r="U5" s="266" t="e">
        <f>INDEX(#REF!, MATCH($A5,#REF!, 0), MATCH(U$4,#REF!, 0))</f>
        <v>#REF!</v>
      </c>
      <c r="V5" s="318" t="e">
        <f>INDEX(#REF!, MATCH($A5,#REF!, 0), MATCH(V$4,#REF!, 0))</f>
        <v>#REF!</v>
      </c>
      <c r="W5" s="266" t="e">
        <f>INDEX(#REF!, MATCH($A5,#REF!, 0), MATCH(W$4,#REF!, 0))</f>
        <v>#REF!</v>
      </c>
      <c r="X5" s="266" t="e">
        <f>INDEX(#REF!, MATCH($A5,#REF!, 0), MATCH(X$4,#REF!, 0))</f>
        <v>#REF!</v>
      </c>
      <c r="Y5" s="266" t="e">
        <f>INDEX(#REF!, MATCH($A5,#REF!, 0), MATCH(Y$4,#REF!, 0))</f>
        <v>#REF!</v>
      </c>
      <c r="Z5" s="266" t="e">
        <f>INDEX(#REF!, MATCH($A5,#REF!, 0), MATCH(Z$4,#REF!, 0))</f>
        <v>#REF!</v>
      </c>
      <c r="AA5" s="266" t="e">
        <f>INDEX(#REF!, MATCH($A5,#REF!, 0), MATCH(AA$4,#REF!, 0))</f>
        <v>#REF!</v>
      </c>
      <c r="AB5" s="266" t="e">
        <f>INDEX(#REF!, MATCH($A5,#REF!, 0), MATCH(AB$4,#REF!, 0))</f>
        <v>#REF!</v>
      </c>
      <c r="AC5" s="318" t="e">
        <f>INDEX(#REF!, MATCH($A5,#REF!, 0), MATCH(AC$4,#REF!, 0))</f>
        <v>#REF!</v>
      </c>
      <c r="AD5" s="266" t="e">
        <f>INDEX(#REF!, MATCH($A5,#REF!, 0), MATCH(AD$4,#REF!, 0))</f>
        <v>#REF!</v>
      </c>
      <c r="AE5" s="266" t="e">
        <f>INDEX(#REF!, MATCH($A5,#REF!, 0), MATCH(AE$4,#REF!, 0))</f>
        <v>#REF!</v>
      </c>
      <c r="AF5" s="266" t="e">
        <f>INDEX(#REF!, MATCH($A5,#REF!, 0), MATCH(AF$4,#REF!, 0))</f>
        <v>#REF!</v>
      </c>
      <c r="AG5" s="266" t="e">
        <f>INDEX(#REF!, MATCH($A5,#REF!, 0), MATCH(AG$4,#REF!, 0))</f>
        <v>#REF!</v>
      </c>
      <c r="AH5" s="266" t="e">
        <f>INDEX(#REF!, MATCH($A5,#REF!, 0), MATCH(AH$4,#REF!, 0))</f>
        <v>#REF!</v>
      </c>
      <c r="AI5" s="266" t="e">
        <f>INDEX(#REF!, MATCH($A5,#REF!, 0), MATCH(AI$4,#REF!, 0))</f>
        <v>#REF!</v>
      </c>
      <c r="AJ5" s="318" t="e">
        <f>INDEX(#REF!, MATCH($A5,#REF!, 0), MATCH(AJ$4,#REF!, 0))</f>
        <v>#REF!</v>
      </c>
      <c r="AK5" s="266" t="e">
        <f>INDEX(#REF!, MATCH($A5,#REF!, 0), MATCH(AK$4,#REF!, 0))</f>
        <v>#REF!</v>
      </c>
      <c r="AL5" s="266" t="e">
        <f>INDEX(#REF!, MATCH($A5,#REF!, 0), MATCH(AL$4,#REF!, 0))</f>
        <v>#REF!</v>
      </c>
      <c r="AM5" s="266" t="e">
        <f>INDEX(#REF!, MATCH($A5,#REF!, 0), MATCH(AM$4,#REF!, 0))</f>
        <v>#REF!</v>
      </c>
      <c r="AN5" s="266" t="e">
        <f>INDEX(#REF!, MATCH($A5,#REF!, 0), MATCH(AN$4,#REF!, 0))</f>
        <v>#REF!</v>
      </c>
      <c r="AO5" s="266" t="e">
        <f>INDEX(#REF!, MATCH($A5,#REF!, 0), MATCH(AO$4,#REF!, 0))</f>
        <v>#REF!</v>
      </c>
      <c r="AP5" s="266" t="e">
        <f>INDEX(#REF!, MATCH($A5,#REF!, 0), MATCH(AP$4,#REF!, 0))</f>
        <v>#REF!</v>
      </c>
      <c r="AQ5" s="318" t="e">
        <f>INDEX(#REF!, MATCH($A5,#REF!, 0), MATCH(AQ$4,#REF!, 0))</f>
        <v>#REF!</v>
      </c>
      <c r="AR5" s="266" t="e">
        <f>INDEX(#REF!, MATCH($A5,#REF!, 0), MATCH(AR$4,#REF!, 0))</f>
        <v>#REF!</v>
      </c>
      <c r="AS5" s="266" t="e">
        <f>INDEX(#REF!, MATCH($A5,#REF!, 0), MATCH(AS$4,#REF!, 0))</f>
        <v>#REF!</v>
      </c>
      <c r="AT5" s="266" t="e">
        <f>INDEX(#REF!, MATCH($A5,#REF!, 0), MATCH(AT$4,#REF!, 0))</f>
        <v>#REF!</v>
      </c>
      <c r="AU5" s="266" t="e">
        <f>INDEX(#REF!, MATCH($A5,#REF!, 0), MATCH(AU$4,#REF!, 0))</f>
        <v>#REF!</v>
      </c>
      <c r="AV5" s="266" t="e">
        <f>INDEX(#REF!, MATCH($A5,#REF!, 0), MATCH(AV$4,#REF!, 0))</f>
        <v>#REF!</v>
      </c>
      <c r="AW5" s="266" t="e">
        <f>INDEX(#REF!, MATCH($A5,#REF!, 0), MATCH(AW$4,#REF!, 0))</f>
        <v>#REF!</v>
      </c>
      <c r="AX5" s="318" t="e">
        <f>INDEX(#REF!, MATCH($A5,#REF!, 0), MATCH(AX$4,#REF!, 0))</f>
        <v>#REF!</v>
      </c>
      <c r="AY5" s="266" t="e">
        <f>INDEX(#REF!, MATCH($A5,#REF!, 0), MATCH(AY$4,#REF!, 0))</f>
        <v>#REF!</v>
      </c>
      <c r="AZ5" s="266" t="e">
        <f>INDEX(#REF!, MATCH($A5,#REF!, 0), MATCH(AZ$4,#REF!, 0))</f>
        <v>#REF!</v>
      </c>
      <c r="BA5" s="266" t="e">
        <f>INDEX(#REF!, MATCH($A5,#REF!, 0), MATCH(BA$4,#REF!, 0))</f>
        <v>#REF!</v>
      </c>
      <c r="BB5" s="266" t="e">
        <f>INDEX(#REF!, MATCH($A5,#REF!, 0), MATCH(BB$4,#REF!, 0))</f>
        <v>#REF!</v>
      </c>
      <c r="BC5" s="266" t="e">
        <f>INDEX(#REF!, MATCH($A5,#REF!, 0), MATCH(BC$4,#REF!, 0))</f>
        <v>#REF!</v>
      </c>
      <c r="BD5" s="362" t="e">
        <f>INDEX(#REF!, MATCH($A5,#REF!, 0), MATCH(BD$4,#REF!, 0))</f>
        <v>#REF!</v>
      </c>
      <c r="BE5" s="318" t="e">
        <f>INDEX(#REF!, MATCH($A5,#REF!, 0), MATCH(BE$4,#REF!, 0))</f>
        <v>#REF!</v>
      </c>
      <c r="BF5" s="266" t="e">
        <f>INDEX(#REF!, MATCH($A5,#REF!, 0), MATCH(BF$4,#REF!, 0))</f>
        <v>#REF!</v>
      </c>
      <c r="BG5" s="266" t="e">
        <f>INDEX(#REF!, MATCH($A5,#REF!, 0), MATCH(BG$4,#REF!, 0))</f>
        <v>#REF!</v>
      </c>
      <c r="BH5" s="266" t="e">
        <f>INDEX(#REF!, MATCH($A5,#REF!, 0), MATCH(BH$4,#REF!, 0))</f>
        <v>#REF!</v>
      </c>
      <c r="BI5" s="266" t="e">
        <f>INDEX(#REF!, MATCH($A5,#REF!, 0), MATCH(BI$4,#REF!, 0))</f>
        <v>#REF!</v>
      </c>
      <c r="BJ5" s="266" t="e">
        <f>INDEX(#REF!, MATCH($A5,#REF!, 0), MATCH(BJ$4,#REF!, 0))</f>
        <v>#REF!</v>
      </c>
      <c r="BK5" s="362" t="e">
        <f>INDEX(#REF!, MATCH($A5,#REF!, 0), MATCH(BK$4,#REF!, 0))</f>
        <v>#REF!</v>
      </c>
      <c r="BL5" s="266" t="e">
        <f>INDEX(#REF!, MATCH($BT5,#REF!, 0), MATCH(BL$4,#REF!, 0))</f>
        <v>#REF!</v>
      </c>
      <c r="BM5" s="266" t="e">
        <f>INDEX(#REF!, MATCH($BT5,#REF!, 0), MATCH(BM$4,#REF!, 0))</f>
        <v>#REF!</v>
      </c>
      <c r="BN5" s="266" t="e">
        <f>INDEX(#REF!, MATCH($BT5,#REF!, 0), MATCH(BN$4,#REF!, 0))</f>
        <v>#REF!</v>
      </c>
      <c r="BO5" s="266" t="e">
        <f>INDEX(#REF!, MATCH($BT5,#REF!, 0), MATCH(BO$4,#REF!, 0))</f>
        <v>#REF!</v>
      </c>
      <c r="BP5" s="266" t="e">
        <f>INDEX(#REF!, MATCH($BT5,#REF!, 0), MATCH(BP$4,#REF!, 0))</f>
        <v>#REF!</v>
      </c>
      <c r="BQ5" s="266" t="e">
        <f>INDEX(#REF!, MATCH($BT5,#REF!, 0), MATCH(BQ$4,#REF!, 0))</f>
        <v>#REF!</v>
      </c>
      <c r="BR5" s="266" t="e">
        <f>INDEX(#REF!, MATCH($BT5,#REF!, 0), MATCH(BR$4,#REF!, 0))</f>
        <v>#REF!</v>
      </c>
      <c r="BS5" s="122"/>
      <c r="BT5" s="105" t="s">
        <v>158</v>
      </c>
      <c r="BU5" s="122"/>
      <c r="BV5" s="122"/>
      <c r="BW5" s="122"/>
      <c r="BX5" s="122"/>
      <c r="BY5" s="122"/>
      <c r="BZ5" s="122"/>
      <c r="CA5" s="122"/>
      <c r="CB5" s="122"/>
      <c r="CC5" s="122"/>
      <c r="CD5" s="122"/>
      <c r="CE5" s="122"/>
      <c r="CF5" s="122"/>
      <c r="CG5" s="122"/>
      <c r="CH5" s="122"/>
      <c r="CI5" s="122"/>
      <c r="CJ5" s="122"/>
      <c r="CK5" s="122"/>
      <c r="CL5" s="122"/>
      <c r="CM5" s="122"/>
    </row>
    <row r="6" spans="1:91" s="84" customFormat="1" ht="12.6">
      <c r="A6" s="175"/>
      <c r="B6" s="144" t="s">
        <v>14</v>
      </c>
      <c r="C6" s="144"/>
      <c r="D6" s="98" t="e">
        <f t="shared" ref="D6:BR6" si="16">D5/C5-1</f>
        <v>#REF!</v>
      </c>
      <c r="E6" s="98" t="e">
        <f t="shared" si="16"/>
        <v>#REF!</v>
      </c>
      <c r="F6" s="98" t="e">
        <f t="shared" si="16"/>
        <v>#REF!</v>
      </c>
      <c r="G6" s="98" t="e">
        <f t="shared" si="16"/>
        <v>#REF!</v>
      </c>
      <c r="H6" s="98" t="e">
        <f t="shared" si="16"/>
        <v>#REF!</v>
      </c>
      <c r="I6" s="98" t="e">
        <f t="shared" si="16"/>
        <v>#REF!</v>
      </c>
      <c r="J6" s="98" t="e">
        <f t="shared" si="16"/>
        <v>#REF!</v>
      </c>
      <c r="K6" s="98" t="e">
        <f t="shared" si="16"/>
        <v>#REF!</v>
      </c>
      <c r="L6" s="98" t="e">
        <f t="shared" si="16"/>
        <v>#REF!</v>
      </c>
      <c r="M6" s="98" t="e">
        <f t="shared" si="16"/>
        <v>#REF!</v>
      </c>
      <c r="N6" s="98" t="e">
        <f t="shared" si="16"/>
        <v>#REF!</v>
      </c>
      <c r="O6" s="98" t="e">
        <f t="shared" si="16"/>
        <v>#REF!</v>
      </c>
      <c r="P6" s="98" t="e">
        <f t="shared" si="16"/>
        <v>#REF!</v>
      </c>
      <c r="Q6" s="98" t="e">
        <f t="shared" si="16"/>
        <v>#REF!</v>
      </c>
      <c r="R6" s="98" t="e">
        <f t="shared" si="16"/>
        <v>#REF!</v>
      </c>
      <c r="S6" s="98" t="e">
        <f t="shared" si="16"/>
        <v>#REF!</v>
      </c>
      <c r="T6" s="98" t="e">
        <f t="shared" si="16"/>
        <v>#REF!</v>
      </c>
      <c r="U6" s="98" t="e">
        <f t="shared" si="16"/>
        <v>#REF!</v>
      </c>
      <c r="V6" s="319" t="e">
        <f t="shared" ref="V6:AA6" si="17">V5/O5-1</f>
        <v>#REF!</v>
      </c>
      <c r="W6" s="98" t="e">
        <f t="shared" si="17"/>
        <v>#REF!</v>
      </c>
      <c r="X6" s="98" t="e">
        <f t="shared" si="17"/>
        <v>#REF!</v>
      </c>
      <c r="Y6" s="98" t="e">
        <f t="shared" si="17"/>
        <v>#REF!</v>
      </c>
      <c r="Z6" s="98" t="e">
        <f t="shared" si="17"/>
        <v>#REF!</v>
      </c>
      <c r="AA6" s="98" t="e">
        <f t="shared" si="17"/>
        <v>#REF!</v>
      </c>
      <c r="AB6" s="98"/>
      <c r="AC6" s="319" t="e">
        <f t="shared" ref="AC6:BD6" si="18">AC5/V5-1</f>
        <v>#REF!</v>
      </c>
      <c r="AD6" s="98" t="e">
        <f t="shared" si="18"/>
        <v>#REF!</v>
      </c>
      <c r="AE6" s="98" t="e">
        <f t="shared" si="18"/>
        <v>#REF!</v>
      </c>
      <c r="AF6" s="98" t="e">
        <f t="shared" si="18"/>
        <v>#REF!</v>
      </c>
      <c r="AG6" s="98" t="e">
        <f t="shared" si="18"/>
        <v>#REF!</v>
      </c>
      <c r="AH6" s="98" t="e">
        <f t="shared" si="18"/>
        <v>#REF!</v>
      </c>
      <c r="AI6" s="98" t="e">
        <f t="shared" si="18"/>
        <v>#REF!</v>
      </c>
      <c r="AJ6" s="319" t="e">
        <f t="shared" si="18"/>
        <v>#REF!</v>
      </c>
      <c r="AK6" s="98" t="e">
        <f t="shared" si="18"/>
        <v>#REF!</v>
      </c>
      <c r="AL6" s="98" t="e">
        <f t="shared" si="18"/>
        <v>#REF!</v>
      </c>
      <c r="AM6" s="98" t="e">
        <f t="shared" si="18"/>
        <v>#REF!</v>
      </c>
      <c r="AN6" s="98" t="e">
        <f t="shared" si="18"/>
        <v>#REF!</v>
      </c>
      <c r="AO6" s="98" t="e">
        <f t="shared" si="18"/>
        <v>#REF!</v>
      </c>
      <c r="AP6" s="98" t="e">
        <f t="shared" si="18"/>
        <v>#REF!</v>
      </c>
      <c r="AQ6" s="319" t="e">
        <f t="shared" si="18"/>
        <v>#REF!</v>
      </c>
      <c r="AR6" s="98" t="e">
        <f t="shared" si="18"/>
        <v>#REF!</v>
      </c>
      <c r="AS6" s="98" t="e">
        <f t="shared" si="18"/>
        <v>#REF!</v>
      </c>
      <c r="AT6" s="98" t="e">
        <f t="shared" si="18"/>
        <v>#REF!</v>
      </c>
      <c r="AU6" s="98" t="e">
        <f t="shared" si="18"/>
        <v>#REF!</v>
      </c>
      <c r="AV6" s="98" t="e">
        <f t="shared" si="18"/>
        <v>#REF!</v>
      </c>
      <c r="AW6" s="98" t="e">
        <f t="shared" si="18"/>
        <v>#REF!</v>
      </c>
      <c r="AX6" s="319" t="e">
        <f t="shared" si="18"/>
        <v>#REF!</v>
      </c>
      <c r="AY6" s="98" t="e">
        <f t="shared" si="18"/>
        <v>#REF!</v>
      </c>
      <c r="AZ6" s="98" t="e">
        <f t="shared" si="18"/>
        <v>#REF!</v>
      </c>
      <c r="BA6" s="98" t="e">
        <f t="shared" si="18"/>
        <v>#REF!</v>
      </c>
      <c r="BB6" s="98" t="e">
        <f t="shared" si="18"/>
        <v>#REF!</v>
      </c>
      <c r="BC6" s="98" t="e">
        <f t="shared" si="18"/>
        <v>#REF!</v>
      </c>
      <c r="BD6" s="363" t="e">
        <f t="shared" si="18"/>
        <v>#REF!</v>
      </c>
      <c r="BE6" s="319" t="e">
        <f t="shared" ref="BE6" si="19">BE5/AX5-1</f>
        <v>#REF!</v>
      </c>
      <c r="BF6" s="98" t="e">
        <f t="shared" ref="BF6" si="20">BF5/AY5-1</f>
        <v>#REF!</v>
      </c>
      <c r="BG6" s="98" t="e">
        <f t="shared" ref="BG6" si="21">BG5/AZ5-1</f>
        <v>#REF!</v>
      </c>
      <c r="BH6" s="98" t="e">
        <f t="shared" ref="BH6" si="22">BH5/BA5-1</f>
        <v>#REF!</v>
      </c>
      <c r="BI6" s="98" t="e">
        <f t="shared" ref="BI6" si="23">BI5/BB5-1</f>
        <v>#REF!</v>
      </c>
      <c r="BJ6" s="98" t="e">
        <f t="shared" ref="BJ6" si="24">BJ5/BC5-1</f>
        <v>#REF!</v>
      </c>
      <c r="BK6" s="363" t="e">
        <f t="shared" ref="BK6" si="25">BK5/BD5-1</f>
        <v>#REF!</v>
      </c>
      <c r="BL6" s="98" t="e">
        <f>BL5/BK5-1</f>
        <v>#REF!</v>
      </c>
      <c r="BM6" s="98" t="e">
        <f t="shared" si="16"/>
        <v>#REF!</v>
      </c>
      <c r="BN6" s="98" t="e">
        <f t="shared" si="16"/>
        <v>#REF!</v>
      </c>
      <c r="BO6" s="98" t="e">
        <f t="shared" si="16"/>
        <v>#REF!</v>
      </c>
      <c r="BP6" s="98" t="e">
        <f t="shared" si="16"/>
        <v>#REF!</v>
      </c>
      <c r="BQ6" s="98" t="e">
        <f t="shared" si="16"/>
        <v>#REF!</v>
      </c>
      <c r="BR6" s="98" t="e">
        <f t="shared" si="16"/>
        <v>#REF!</v>
      </c>
      <c r="BS6" s="122"/>
      <c r="BT6" s="126"/>
      <c r="BU6" s="122"/>
      <c r="BV6" s="122"/>
      <c r="BW6" s="122"/>
      <c r="BX6" s="122"/>
      <c r="BY6" s="122"/>
      <c r="BZ6" s="122"/>
      <c r="CA6" s="122"/>
      <c r="CB6" s="122"/>
      <c r="CC6" s="122"/>
      <c r="CD6" s="122"/>
      <c r="CE6" s="122"/>
      <c r="CF6" s="122"/>
      <c r="CG6" s="122"/>
      <c r="CH6" s="122"/>
      <c r="CI6" s="122"/>
      <c r="CJ6" s="122"/>
      <c r="CK6" s="122"/>
      <c r="CL6" s="122"/>
      <c r="CM6" s="122"/>
    </row>
    <row r="7" spans="1:91" s="84" customFormat="1">
      <c r="A7" s="105" t="s">
        <v>159</v>
      </c>
      <c r="B7" s="117" t="s">
        <v>93</v>
      </c>
      <c r="C7" s="117"/>
      <c r="D7" s="146" t="e">
        <f>INDEX(#REF!, MATCH($A7,#REF!, 0), MATCH(D$4,#REF!, 0))</f>
        <v>#REF!</v>
      </c>
      <c r="E7" s="146" t="e">
        <f>INDEX(#REF!, MATCH($A7,#REF!, 0), MATCH(E$4,#REF!, 0))</f>
        <v>#REF!</v>
      </c>
      <c r="F7" s="146" t="e">
        <f>INDEX(#REF!, MATCH($A7,#REF!, 0), MATCH(F$4,#REF!, 0))</f>
        <v>#REF!</v>
      </c>
      <c r="G7" s="146" t="e">
        <f>INDEX(#REF!, MATCH($A7,#REF!, 0), MATCH(G$4,#REF!, 0))</f>
        <v>#REF!</v>
      </c>
      <c r="H7" s="146" t="e">
        <f>INDEX(#REF!, MATCH($A7,#REF!, 0), MATCH(H$4,#REF!, 0))</f>
        <v>#REF!</v>
      </c>
      <c r="I7" s="146" t="e">
        <f>INDEX(#REF!, MATCH($A7,#REF!, 0), MATCH(I$4,#REF!, 0))</f>
        <v>#REF!</v>
      </c>
      <c r="J7" s="146" t="e">
        <f>INDEX(#REF!, MATCH($A7,#REF!, 0), MATCH(J$4,#REF!, 0))</f>
        <v>#REF!</v>
      </c>
      <c r="K7" s="146" t="e">
        <f>INDEX(#REF!, MATCH($A7,#REF!, 0), MATCH(K$4,#REF!, 0))</f>
        <v>#REF!</v>
      </c>
      <c r="L7" s="146" t="e">
        <f>INDEX(#REF!, MATCH($A7,#REF!, 0), MATCH(L$4,#REF!, 0))</f>
        <v>#REF!</v>
      </c>
      <c r="M7" s="146" t="e">
        <f>INDEX(#REF!, MATCH($A7,#REF!, 0), MATCH(M$4,#REF!, 0))</f>
        <v>#REF!</v>
      </c>
      <c r="N7" s="146" t="e">
        <f>INDEX(#REF!, MATCH($A7,#REF!, 0), MATCH(N$4,#REF!, 0))</f>
        <v>#REF!</v>
      </c>
      <c r="O7" s="146" t="e">
        <f>INDEX(#REF!, MATCH($A7,#REF!, 0), MATCH(O$4,#REF!, 0))</f>
        <v>#REF!</v>
      </c>
      <c r="P7" s="146" t="e">
        <f>INDEX(#REF!, MATCH($A7,#REF!, 0), MATCH(P$4,#REF!, 0))</f>
        <v>#REF!</v>
      </c>
      <c r="Q7" s="146" t="e">
        <f>INDEX(#REF!, MATCH($A7,#REF!, 0), MATCH(Q$4,#REF!, 0))</f>
        <v>#REF!</v>
      </c>
      <c r="R7" s="146" t="e">
        <f>INDEX(#REF!, MATCH($A7,#REF!, 0), MATCH(R$4,#REF!, 0))</f>
        <v>#REF!</v>
      </c>
      <c r="S7" s="146" t="e">
        <f>INDEX(#REF!, MATCH($A7,#REF!, 0), MATCH(S$4,#REF!, 0))</f>
        <v>#REF!</v>
      </c>
      <c r="T7" s="146" t="e">
        <f>INDEX(#REF!, MATCH($A7,#REF!, 0), MATCH(T$4,#REF!, 0))</f>
        <v>#REF!</v>
      </c>
      <c r="U7" s="146" t="e">
        <f>INDEX(#REF!, MATCH($A7,#REF!, 0), MATCH(U$4,#REF!, 0))</f>
        <v>#REF!</v>
      </c>
      <c r="V7" s="318" t="e">
        <f>INDEX(#REF!, MATCH($A7,#REF!, 0), MATCH(V$4,#REF!, 0))</f>
        <v>#REF!</v>
      </c>
      <c r="W7" s="266" t="e">
        <f>INDEX(#REF!, MATCH($A7,#REF!, 0), MATCH(W$4,#REF!, 0))</f>
        <v>#REF!</v>
      </c>
      <c r="X7" s="266" t="e">
        <f>INDEX(#REF!, MATCH($A7,#REF!, 0), MATCH(X$4,#REF!, 0))</f>
        <v>#REF!</v>
      </c>
      <c r="Y7" s="266" t="e">
        <f>INDEX(#REF!, MATCH($A7,#REF!, 0), MATCH(Y$4,#REF!, 0))</f>
        <v>#REF!</v>
      </c>
      <c r="Z7" s="266" t="e">
        <f>INDEX(#REF!, MATCH($A7,#REF!, 0), MATCH(Z$4,#REF!, 0))</f>
        <v>#REF!</v>
      </c>
      <c r="AA7" s="266" t="e">
        <f>INDEX(#REF!, MATCH($A7,#REF!, 0), MATCH(AA$4,#REF!, 0))</f>
        <v>#REF!</v>
      </c>
      <c r="AB7" s="146" t="e">
        <f>INDEX(#REF!, MATCH($A7,#REF!, 0), MATCH(AB$4,#REF!, 0))</f>
        <v>#REF!</v>
      </c>
      <c r="AC7" s="318" t="e">
        <f>INDEX(#REF!, MATCH($A7,#REF!, 0), MATCH(AC$4,#REF!, 0))</f>
        <v>#REF!</v>
      </c>
      <c r="AD7" s="266" t="e">
        <f>INDEX(#REF!, MATCH($A7,#REF!, 0), MATCH(AD$4,#REF!, 0))</f>
        <v>#REF!</v>
      </c>
      <c r="AE7" s="266" t="e">
        <f>INDEX(#REF!, MATCH($A7,#REF!, 0), MATCH(AE$4,#REF!, 0))</f>
        <v>#REF!</v>
      </c>
      <c r="AF7" s="266" t="e">
        <f>INDEX(#REF!, MATCH($A7,#REF!, 0), MATCH(AF$4,#REF!, 0))</f>
        <v>#REF!</v>
      </c>
      <c r="AG7" s="266" t="e">
        <f>INDEX(#REF!, MATCH($A7,#REF!, 0), MATCH(AG$4,#REF!, 0))</f>
        <v>#REF!</v>
      </c>
      <c r="AH7" s="266" t="e">
        <f>INDEX(#REF!, MATCH($A7,#REF!, 0), MATCH(AH$4,#REF!, 0))</f>
        <v>#REF!</v>
      </c>
      <c r="AI7" s="146" t="e">
        <f>INDEX(#REF!, MATCH($A7,#REF!, 0), MATCH(AI$4,#REF!, 0))</f>
        <v>#REF!</v>
      </c>
      <c r="AJ7" s="318" t="e">
        <f>INDEX(#REF!, MATCH($A7,#REF!, 0), MATCH(AJ$4,#REF!, 0))</f>
        <v>#REF!</v>
      </c>
      <c r="AK7" s="266" t="e">
        <f>INDEX(#REF!, MATCH($A7,#REF!, 0), MATCH(AK$4,#REF!, 0))</f>
        <v>#REF!</v>
      </c>
      <c r="AL7" s="266" t="e">
        <f>INDEX(#REF!, MATCH($A7,#REF!, 0), MATCH(AL$4,#REF!, 0))</f>
        <v>#REF!</v>
      </c>
      <c r="AM7" s="266" t="e">
        <f>INDEX(#REF!, MATCH($A7,#REF!, 0), MATCH(AM$4,#REF!, 0))</f>
        <v>#REF!</v>
      </c>
      <c r="AN7" s="266" t="e">
        <f>INDEX(#REF!, MATCH($A7,#REF!, 0), MATCH(AN$4,#REF!, 0))</f>
        <v>#REF!</v>
      </c>
      <c r="AO7" s="266" t="e">
        <f>INDEX(#REF!, MATCH($A7,#REF!, 0), MATCH(AO$4,#REF!, 0))</f>
        <v>#REF!</v>
      </c>
      <c r="AP7" s="146" t="e">
        <f>INDEX(#REF!, MATCH($A7,#REF!, 0), MATCH(AP$4,#REF!, 0))</f>
        <v>#REF!</v>
      </c>
      <c r="AQ7" s="318" t="e">
        <f>INDEX(#REF!, MATCH($A7,#REF!, 0), MATCH(AQ$4,#REF!, 0))</f>
        <v>#REF!</v>
      </c>
      <c r="AR7" s="266" t="e">
        <f>INDEX(#REF!, MATCH($A7,#REF!, 0), MATCH(AR$4,#REF!, 0))</f>
        <v>#REF!</v>
      </c>
      <c r="AS7" s="266" t="e">
        <f>INDEX(#REF!, MATCH($A7,#REF!, 0), MATCH(AS$4,#REF!, 0))</f>
        <v>#REF!</v>
      </c>
      <c r="AT7" s="266" t="e">
        <f>INDEX(#REF!, MATCH($A7,#REF!, 0), MATCH(AT$4,#REF!, 0))</f>
        <v>#REF!</v>
      </c>
      <c r="AU7" s="266" t="e">
        <f>INDEX(#REF!, MATCH($A7,#REF!, 0), MATCH(AU$4,#REF!, 0))</f>
        <v>#REF!</v>
      </c>
      <c r="AV7" s="266" t="e">
        <f>INDEX(#REF!, MATCH($A7,#REF!, 0), MATCH(AV$4,#REF!, 0))</f>
        <v>#REF!</v>
      </c>
      <c r="AW7" s="146" t="e">
        <f>INDEX(#REF!, MATCH($A7,#REF!, 0), MATCH(AW$4,#REF!, 0))</f>
        <v>#REF!</v>
      </c>
      <c r="AX7" s="318" t="e">
        <f>INDEX(#REF!, MATCH($A7,#REF!, 0), MATCH(AX$4,#REF!, 0))</f>
        <v>#REF!</v>
      </c>
      <c r="AY7" s="266" t="e">
        <f>INDEX(#REF!, MATCH($A7,#REF!, 0), MATCH(AY$4,#REF!, 0))</f>
        <v>#REF!</v>
      </c>
      <c r="AZ7" s="266" t="e">
        <f>INDEX(#REF!, MATCH($A7,#REF!, 0), MATCH(AZ$4,#REF!, 0))</f>
        <v>#REF!</v>
      </c>
      <c r="BA7" s="266" t="e">
        <f>INDEX(#REF!, MATCH($A7,#REF!, 0), MATCH(BA$4,#REF!, 0))</f>
        <v>#REF!</v>
      </c>
      <c r="BB7" s="266" t="e">
        <f>INDEX(#REF!, MATCH($A7,#REF!, 0), MATCH(BB$4,#REF!, 0))</f>
        <v>#REF!</v>
      </c>
      <c r="BC7" s="266" t="e">
        <f>INDEX(#REF!, MATCH($A7,#REF!, 0), MATCH(BC$4,#REF!, 0))</f>
        <v>#REF!</v>
      </c>
      <c r="BD7" s="364" t="e">
        <f>INDEX(#REF!, MATCH($A7,#REF!, 0), MATCH(BD$4,#REF!, 0))</f>
        <v>#REF!</v>
      </c>
      <c r="BE7" s="318" t="e">
        <f>INDEX(#REF!, MATCH($A7,#REF!, 0), MATCH(BE$4,#REF!, 0))</f>
        <v>#REF!</v>
      </c>
      <c r="BF7" s="266" t="e">
        <f>INDEX(#REF!, MATCH($A7,#REF!, 0), MATCH(BF$4,#REF!, 0))</f>
        <v>#REF!</v>
      </c>
      <c r="BG7" s="266" t="e">
        <f>INDEX(#REF!, MATCH($A7,#REF!, 0), MATCH(BG$4,#REF!, 0))</f>
        <v>#REF!</v>
      </c>
      <c r="BH7" s="266" t="e">
        <f>INDEX(#REF!, MATCH($A7,#REF!, 0), MATCH(BH$4,#REF!, 0))</f>
        <v>#REF!</v>
      </c>
      <c r="BI7" s="266" t="e">
        <f>INDEX(#REF!, MATCH($A7,#REF!, 0), MATCH(BI$4,#REF!, 0))</f>
        <v>#REF!</v>
      </c>
      <c r="BJ7" s="266" t="e">
        <f>INDEX(#REF!, MATCH($A7,#REF!, 0), MATCH(BJ$4,#REF!, 0))</f>
        <v>#REF!</v>
      </c>
      <c r="BK7" s="364" t="e">
        <f>INDEX(#REF!, MATCH($A7,#REF!, 0), MATCH(BK$4,#REF!, 0))</f>
        <v>#REF!</v>
      </c>
      <c r="BL7" s="146" t="e">
        <f>INDEX(#REF!, MATCH($BT7,#REF!, 0), MATCH(BL$4,#REF!, 0))</f>
        <v>#REF!</v>
      </c>
      <c r="BM7" s="146" t="e">
        <f>INDEX(#REF!, MATCH($BT7,#REF!, 0), MATCH(BM$4,#REF!, 0))</f>
        <v>#REF!</v>
      </c>
      <c r="BN7" s="146" t="e">
        <f>INDEX(#REF!, MATCH($BT7,#REF!, 0), MATCH(BN$4,#REF!, 0))</f>
        <v>#REF!</v>
      </c>
      <c r="BO7" s="146" t="e">
        <f>INDEX(#REF!, MATCH($BT7,#REF!, 0), MATCH(BO$4,#REF!, 0))</f>
        <v>#REF!</v>
      </c>
      <c r="BP7" s="146" t="e">
        <f>INDEX(#REF!, MATCH($BT7,#REF!, 0), MATCH(BP$4,#REF!, 0))</f>
        <v>#REF!</v>
      </c>
      <c r="BQ7" s="146" t="e">
        <f>INDEX(#REF!, MATCH($BT7,#REF!, 0), MATCH(BQ$4,#REF!, 0))</f>
        <v>#REF!</v>
      </c>
      <c r="BR7" s="146" t="e">
        <f>INDEX(#REF!, MATCH($BT7,#REF!, 0), MATCH(BR$4,#REF!, 0))</f>
        <v>#REF!</v>
      </c>
      <c r="BS7" s="122"/>
      <c r="BT7" s="105" t="s">
        <v>159</v>
      </c>
      <c r="BU7" s="122"/>
      <c r="BV7" s="122"/>
      <c r="BW7" s="122"/>
      <c r="BX7" s="122"/>
      <c r="BY7" s="122"/>
      <c r="BZ7" s="122"/>
      <c r="CA7" s="122"/>
      <c r="CB7" s="122"/>
      <c r="CC7" s="122"/>
      <c r="CD7" s="122"/>
      <c r="CE7" s="122"/>
      <c r="CF7" s="122"/>
      <c r="CG7" s="122"/>
      <c r="CH7" s="122"/>
      <c r="CI7" s="122"/>
      <c r="CJ7" s="122"/>
      <c r="CK7" s="122"/>
      <c r="CL7" s="122"/>
      <c r="CM7" s="122"/>
    </row>
    <row r="8" spans="1:91" ht="12.6">
      <c r="A8" s="130"/>
      <c r="B8" s="144" t="s">
        <v>22</v>
      </c>
      <c r="C8" s="144"/>
      <c r="D8" s="98" t="e">
        <f t="shared" ref="D8:P8" si="26">D7/D5</f>
        <v>#REF!</v>
      </c>
      <c r="E8" s="98" t="e">
        <f t="shared" si="26"/>
        <v>#REF!</v>
      </c>
      <c r="F8" s="98" t="e">
        <f t="shared" si="26"/>
        <v>#REF!</v>
      </c>
      <c r="G8" s="98" t="e">
        <f t="shared" si="26"/>
        <v>#REF!</v>
      </c>
      <c r="H8" s="98" t="e">
        <f t="shared" si="26"/>
        <v>#REF!</v>
      </c>
      <c r="I8" s="98" t="e">
        <f t="shared" si="26"/>
        <v>#REF!</v>
      </c>
      <c r="J8" s="98" t="e">
        <f t="shared" si="26"/>
        <v>#REF!</v>
      </c>
      <c r="K8" s="98" t="e">
        <f t="shared" si="26"/>
        <v>#REF!</v>
      </c>
      <c r="L8" s="98" t="e">
        <f t="shared" si="26"/>
        <v>#REF!</v>
      </c>
      <c r="M8" s="98" t="e">
        <f t="shared" si="26"/>
        <v>#REF!</v>
      </c>
      <c r="N8" s="98" t="e">
        <f t="shared" si="26"/>
        <v>#REF!</v>
      </c>
      <c r="O8" s="98" t="e">
        <f t="shared" si="26"/>
        <v>#REF!</v>
      </c>
      <c r="P8" s="98" t="e">
        <f t="shared" si="26"/>
        <v>#REF!</v>
      </c>
      <c r="Q8" s="98" t="e">
        <f t="shared" ref="Q8:AW8" si="27">Q7/Q5</f>
        <v>#REF!</v>
      </c>
      <c r="R8" s="98" t="e">
        <f t="shared" si="27"/>
        <v>#REF!</v>
      </c>
      <c r="S8" s="98" t="e">
        <f t="shared" si="27"/>
        <v>#REF!</v>
      </c>
      <c r="T8" s="98" t="e">
        <f t="shared" si="27"/>
        <v>#REF!</v>
      </c>
      <c r="U8" s="98" t="e">
        <f t="shared" si="27"/>
        <v>#REF!</v>
      </c>
      <c r="V8" s="319" t="e">
        <f t="shared" ref="V8:AA8" si="28">V7/V5</f>
        <v>#REF!</v>
      </c>
      <c r="W8" s="98" t="e">
        <f t="shared" si="28"/>
        <v>#REF!</v>
      </c>
      <c r="X8" s="98" t="e">
        <f t="shared" si="28"/>
        <v>#REF!</v>
      </c>
      <c r="Y8" s="98" t="e">
        <f t="shared" si="28"/>
        <v>#REF!</v>
      </c>
      <c r="Z8" s="98" t="e">
        <f t="shared" si="28"/>
        <v>#REF!</v>
      </c>
      <c r="AA8" s="98" t="e">
        <f t="shared" si="28"/>
        <v>#REF!</v>
      </c>
      <c r="AB8" s="98" t="e">
        <f t="shared" si="27"/>
        <v>#REF!</v>
      </c>
      <c r="AC8" s="319" t="e">
        <f t="shared" ref="AC8:AH8" si="29">AC7/AC5</f>
        <v>#REF!</v>
      </c>
      <c r="AD8" s="98" t="e">
        <f t="shared" si="29"/>
        <v>#REF!</v>
      </c>
      <c r="AE8" s="98" t="e">
        <f t="shared" si="29"/>
        <v>#REF!</v>
      </c>
      <c r="AF8" s="98" t="e">
        <f t="shared" si="29"/>
        <v>#REF!</v>
      </c>
      <c r="AG8" s="98" t="e">
        <f t="shared" si="29"/>
        <v>#REF!</v>
      </c>
      <c r="AH8" s="98" t="e">
        <f t="shared" si="29"/>
        <v>#REF!</v>
      </c>
      <c r="AI8" s="98" t="e">
        <f t="shared" si="27"/>
        <v>#REF!</v>
      </c>
      <c r="AJ8" s="319" t="e">
        <f t="shared" ref="AJ8:AO8" si="30">AJ7/AJ5</f>
        <v>#REF!</v>
      </c>
      <c r="AK8" s="98" t="e">
        <f t="shared" si="30"/>
        <v>#REF!</v>
      </c>
      <c r="AL8" s="98" t="e">
        <f t="shared" si="30"/>
        <v>#REF!</v>
      </c>
      <c r="AM8" s="98" t="e">
        <f t="shared" si="30"/>
        <v>#REF!</v>
      </c>
      <c r="AN8" s="98" t="e">
        <f t="shared" si="30"/>
        <v>#REF!</v>
      </c>
      <c r="AO8" s="98" t="e">
        <f t="shared" si="30"/>
        <v>#REF!</v>
      </c>
      <c r="AP8" s="98" t="e">
        <f t="shared" si="27"/>
        <v>#REF!</v>
      </c>
      <c r="AQ8" s="319" t="e">
        <f t="shared" ref="AQ8:AV8" si="31">AQ7/AQ5</f>
        <v>#REF!</v>
      </c>
      <c r="AR8" s="98" t="e">
        <f t="shared" si="31"/>
        <v>#REF!</v>
      </c>
      <c r="AS8" s="98" t="e">
        <f t="shared" si="31"/>
        <v>#REF!</v>
      </c>
      <c r="AT8" s="98" t="e">
        <f t="shared" si="31"/>
        <v>#REF!</v>
      </c>
      <c r="AU8" s="98" t="e">
        <f t="shared" si="31"/>
        <v>#REF!</v>
      </c>
      <c r="AV8" s="98" t="e">
        <f t="shared" si="31"/>
        <v>#REF!</v>
      </c>
      <c r="AW8" s="98" t="e">
        <f t="shared" si="27"/>
        <v>#REF!</v>
      </c>
      <c r="AX8" s="319" t="e">
        <f t="shared" ref="AX8:BD8" si="32">AX7/AX5</f>
        <v>#REF!</v>
      </c>
      <c r="AY8" s="98" t="e">
        <f t="shared" si="32"/>
        <v>#REF!</v>
      </c>
      <c r="AZ8" s="98" t="e">
        <f t="shared" si="32"/>
        <v>#REF!</v>
      </c>
      <c r="BA8" s="98" t="e">
        <f t="shared" si="32"/>
        <v>#REF!</v>
      </c>
      <c r="BB8" s="98" t="e">
        <f t="shared" si="32"/>
        <v>#REF!</v>
      </c>
      <c r="BC8" s="98" t="e">
        <f t="shared" si="32"/>
        <v>#REF!</v>
      </c>
      <c r="BD8" s="363" t="e">
        <f t="shared" si="32"/>
        <v>#REF!</v>
      </c>
      <c r="BE8" s="319" t="e">
        <f t="shared" ref="BE8:BK8" si="33">BE7/BE5</f>
        <v>#REF!</v>
      </c>
      <c r="BF8" s="98" t="e">
        <f t="shared" si="33"/>
        <v>#REF!</v>
      </c>
      <c r="BG8" s="98" t="e">
        <f t="shared" si="33"/>
        <v>#REF!</v>
      </c>
      <c r="BH8" s="98" t="e">
        <f t="shared" si="33"/>
        <v>#REF!</v>
      </c>
      <c r="BI8" s="98" t="e">
        <f t="shared" si="33"/>
        <v>#REF!</v>
      </c>
      <c r="BJ8" s="98" t="e">
        <f t="shared" si="33"/>
        <v>#REF!</v>
      </c>
      <c r="BK8" s="363" t="e">
        <f t="shared" si="33"/>
        <v>#REF!</v>
      </c>
      <c r="BL8" s="98" t="e">
        <f t="shared" ref="BL8:BO8" si="34">BL7/BL5</f>
        <v>#REF!</v>
      </c>
      <c r="BM8" s="98" t="e">
        <f t="shared" si="34"/>
        <v>#REF!</v>
      </c>
      <c r="BN8" s="98" t="e">
        <f t="shared" si="34"/>
        <v>#REF!</v>
      </c>
      <c r="BO8" s="98" t="e">
        <f t="shared" si="34"/>
        <v>#REF!</v>
      </c>
      <c r="BP8" s="98" t="e">
        <f>BP7/BP5</f>
        <v>#REF!</v>
      </c>
      <c r="BQ8" s="98" t="e">
        <f>BQ7/BQ5</f>
        <v>#REF!</v>
      </c>
      <c r="BR8" s="98" t="e">
        <f>BR7/BR5</f>
        <v>#REF!</v>
      </c>
      <c r="BT8" s="121"/>
    </row>
    <row r="9" spans="1:91">
      <c r="A9" s="105" t="s">
        <v>160</v>
      </c>
      <c r="B9" s="117" t="s">
        <v>94</v>
      </c>
      <c r="C9" s="117"/>
      <c r="D9" s="146" t="e">
        <f>INDEX(#REF!, MATCH($A9,#REF!, 0), MATCH(D$4,#REF!, 0))</f>
        <v>#REF!</v>
      </c>
      <c r="E9" s="146" t="e">
        <f>INDEX(#REF!, MATCH($A9,#REF!, 0), MATCH(E$4,#REF!, 0))</f>
        <v>#REF!</v>
      </c>
      <c r="F9" s="146" t="e">
        <f>INDEX(#REF!, MATCH($A9,#REF!, 0), MATCH(F$4,#REF!, 0))</f>
        <v>#REF!</v>
      </c>
      <c r="G9" s="146" t="e">
        <f>INDEX(#REF!, MATCH($A9,#REF!, 0), MATCH(G$4,#REF!, 0))</f>
        <v>#REF!</v>
      </c>
      <c r="H9" s="146" t="e">
        <f>INDEX(#REF!, MATCH($A9,#REF!, 0), MATCH(H$4,#REF!, 0))</f>
        <v>#REF!</v>
      </c>
      <c r="I9" s="146" t="e">
        <f>INDEX(#REF!, MATCH($A9,#REF!, 0), MATCH(I$4,#REF!, 0))</f>
        <v>#REF!</v>
      </c>
      <c r="J9" s="146" t="e">
        <f>INDEX(#REF!, MATCH($A9,#REF!, 0), MATCH(J$4,#REF!, 0))</f>
        <v>#REF!</v>
      </c>
      <c r="K9" s="146" t="e">
        <f>INDEX(#REF!, MATCH($A9,#REF!, 0), MATCH(K$4,#REF!, 0))</f>
        <v>#REF!</v>
      </c>
      <c r="L9" s="146" t="e">
        <f>INDEX(#REF!, MATCH($A9,#REF!, 0), MATCH(L$4,#REF!, 0))</f>
        <v>#REF!</v>
      </c>
      <c r="M9" s="146" t="e">
        <f>INDEX(#REF!, MATCH($A9,#REF!, 0), MATCH(M$4,#REF!, 0))</f>
        <v>#REF!</v>
      </c>
      <c r="N9" s="146" t="e">
        <f>INDEX(#REF!, MATCH($A9,#REF!, 0), MATCH(N$4,#REF!, 0))</f>
        <v>#REF!</v>
      </c>
      <c r="O9" s="146" t="e">
        <f>INDEX(#REF!, MATCH($A9,#REF!, 0), MATCH(O$4,#REF!, 0))</f>
        <v>#REF!</v>
      </c>
      <c r="P9" s="146" t="e">
        <f>INDEX(#REF!, MATCH($A9,#REF!, 0), MATCH(P$4,#REF!, 0))</f>
        <v>#REF!</v>
      </c>
      <c r="Q9" s="146" t="e">
        <f>INDEX(#REF!, MATCH($A9,#REF!, 0), MATCH(Q$4,#REF!, 0))</f>
        <v>#REF!</v>
      </c>
      <c r="R9" s="146" t="e">
        <f>INDEX(#REF!, MATCH($A9,#REF!, 0), MATCH(R$4,#REF!, 0))</f>
        <v>#REF!</v>
      </c>
      <c r="S9" s="146" t="e">
        <f>INDEX(#REF!, MATCH($A9,#REF!, 0), MATCH(S$4,#REF!, 0))</f>
        <v>#REF!</v>
      </c>
      <c r="T9" s="146" t="e">
        <f>INDEX(#REF!, MATCH($A9,#REF!, 0), MATCH(T$4,#REF!, 0))</f>
        <v>#REF!</v>
      </c>
      <c r="U9" s="146" t="e">
        <f>INDEX(#REF!, MATCH($A9,#REF!, 0), MATCH(U$4,#REF!, 0))</f>
        <v>#REF!</v>
      </c>
      <c r="V9" s="318" t="e">
        <f>INDEX(#REF!, MATCH($A9,#REF!, 0), MATCH(V$4,#REF!, 0))</f>
        <v>#REF!</v>
      </c>
      <c r="W9" s="266" t="e">
        <f>INDEX(#REF!, MATCH($A9,#REF!, 0), MATCH(W$4,#REF!, 0))</f>
        <v>#REF!</v>
      </c>
      <c r="X9" s="266" t="e">
        <f>INDEX(#REF!, MATCH($A9,#REF!, 0), MATCH(X$4,#REF!, 0))</f>
        <v>#REF!</v>
      </c>
      <c r="Y9" s="266" t="e">
        <f>INDEX(#REF!, MATCH($A9,#REF!, 0), MATCH(Y$4,#REF!, 0))</f>
        <v>#REF!</v>
      </c>
      <c r="Z9" s="266" t="e">
        <f>INDEX(#REF!, MATCH($A9,#REF!, 0), MATCH(Z$4,#REF!, 0))</f>
        <v>#REF!</v>
      </c>
      <c r="AA9" s="266" t="e">
        <f>INDEX(#REF!, MATCH($A9,#REF!, 0), MATCH(AA$4,#REF!, 0))</f>
        <v>#REF!</v>
      </c>
      <c r="AB9" s="146" t="e">
        <f>INDEX(#REF!, MATCH($A9,#REF!, 0), MATCH(AB$4,#REF!, 0))</f>
        <v>#REF!</v>
      </c>
      <c r="AC9" s="318" t="e">
        <f>INDEX(#REF!, MATCH($A9,#REF!, 0), MATCH(AC$4,#REF!, 0))</f>
        <v>#REF!</v>
      </c>
      <c r="AD9" s="266" t="e">
        <f>INDEX(#REF!, MATCH($A9,#REF!, 0), MATCH(AD$4,#REF!, 0))</f>
        <v>#REF!</v>
      </c>
      <c r="AE9" s="266" t="e">
        <f>INDEX(#REF!, MATCH($A9,#REF!, 0), MATCH(AE$4,#REF!, 0))</f>
        <v>#REF!</v>
      </c>
      <c r="AF9" s="266" t="e">
        <f>INDEX(#REF!, MATCH($A9,#REF!, 0), MATCH(AF$4,#REF!, 0))</f>
        <v>#REF!</v>
      </c>
      <c r="AG9" s="266" t="e">
        <f>INDEX(#REF!, MATCH($A9,#REF!, 0), MATCH(AG$4,#REF!, 0))</f>
        <v>#REF!</v>
      </c>
      <c r="AH9" s="266" t="e">
        <f>INDEX(#REF!, MATCH($A9,#REF!, 0), MATCH(AH$4,#REF!, 0))</f>
        <v>#REF!</v>
      </c>
      <c r="AI9" s="146" t="e">
        <f>INDEX(#REF!, MATCH($A9,#REF!, 0), MATCH(AI$4,#REF!, 0))</f>
        <v>#REF!</v>
      </c>
      <c r="AJ9" s="318" t="e">
        <f>INDEX(#REF!, MATCH($A9,#REF!, 0), MATCH(AJ$4,#REF!, 0))</f>
        <v>#REF!</v>
      </c>
      <c r="AK9" s="266" t="e">
        <f>INDEX(#REF!, MATCH($A9,#REF!, 0), MATCH(AK$4,#REF!, 0))</f>
        <v>#REF!</v>
      </c>
      <c r="AL9" s="266" t="e">
        <f>INDEX(#REF!, MATCH($A9,#REF!, 0), MATCH(AL$4,#REF!, 0))</f>
        <v>#REF!</v>
      </c>
      <c r="AM9" s="266" t="e">
        <f>INDEX(#REF!, MATCH($A9,#REF!, 0), MATCH(AM$4,#REF!, 0))</f>
        <v>#REF!</v>
      </c>
      <c r="AN9" s="266" t="e">
        <f>INDEX(#REF!, MATCH($A9,#REF!, 0), MATCH(AN$4,#REF!, 0))</f>
        <v>#REF!</v>
      </c>
      <c r="AO9" s="266" t="e">
        <f>INDEX(#REF!, MATCH($A9,#REF!, 0), MATCH(AO$4,#REF!, 0))</f>
        <v>#REF!</v>
      </c>
      <c r="AP9" s="146" t="e">
        <f>INDEX(#REF!, MATCH($A9,#REF!, 0), MATCH(AP$4,#REF!, 0))</f>
        <v>#REF!</v>
      </c>
      <c r="AQ9" s="318" t="e">
        <f>INDEX(#REF!, MATCH($A9,#REF!, 0), MATCH(AQ$4,#REF!, 0))</f>
        <v>#REF!</v>
      </c>
      <c r="AR9" s="266" t="e">
        <f>INDEX(#REF!, MATCH($A9,#REF!, 0), MATCH(AR$4,#REF!, 0))</f>
        <v>#REF!</v>
      </c>
      <c r="AS9" s="266" t="e">
        <f>INDEX(#REF!, MATCH($A9,#REF!, 0), MATCH(AS$4,#REF!, 0))</f>
        <v>#REF!</v>
      </c>
      <c r="AT9" s="266" t="e">
        <f>INDEX(#REF!, MATCH($A9,#REF!, 0), MATCH(AT$4,#REF!, 0))</f>
        <v>#REF!</v>
      </c>
      <c r="AU9" s="266" t="e">
        <f>INDEX(#REF!, MATCH($A9,#REF!, 0), MATCH(AU$4,#REF!, 0))</f>
        <v>#REF!</v>
      </c>
      <c r="AV9" s="266" t="e">
        <f>INDEX(#REF!, MATCH($A9,#REF!, 0), MATCH(AV$4,#REF!, 0))</f>
        <v>#REF!</v>
      </c>
      <c r="AW9" s="146" t="e">
        <f>INDEX(#REF!, MATCH($A9,#REF!, 0), MATCH(AW$4,#REF!, 0))</f>
        <v>#REF!</v>
      </c>
      <c r="AX9" s="318" t="e">
        <f>INDEX(#REF!, MATCH($A9,#REF!, 0), MATCH(AX$4,#REF!, 0))</f>
        <v>#REF!</v>
      </c>
      <c r="AY9" s="266" t="e">
        <f>INDEX(#REF!, MATCH($A9,#REF!, 0), MATCH(AY$4,#REF!, 0))</f>
        <v>#REF!</v>
      </c>
      <c r="AZ9" s="266" t="e">
        <f>INDEX(#REF!, MATCH($A9,#REF!, 0), MATCH(AZ$4,#REF!, 0))</f>
        <v>#REF!</v>
      </c>
      <c r="BA9" s="266" t="e">
        <f>INDEX(#REF!, MATCH($A9,#REF!, 0), MATCH(BA$4,#REF!, 0))</f>
        <v>#REF!</v>
      </c>
      <c r="BB9" s="266" t="e">
        <f>INDEX(#REF!, MATCH($A9,#REF!, 0), MATCH(BB$4,#REF!, 0))</f>
        <v>#REF!</v>
      </c>
      <c r="BC9" s="266" t="e">
        <f>INDEX(#REF!, MATCH($A9,#REF!, 0), MATCH(BC$4,#REF!, 0))</f>
        <v>#REF!</v>
      </c>
      <c r="BD9" s="364" t="e">
        <f>INDEX(#REF!, MATCH($A9,#REF!, 0), MATCH(BD$4,#REF!, 0))</f>
        <v>#REF!</v>
      </c>
      <c r="BE9" s="318" t="e">
        <f>INDEX(#REF!, MATCH($A9,#REF!, 0), MATCH(BE$4,#REF!, 0))</f>
        <v>#REF!</v>
      </c>
      <c r="BF9" s="266" t="e">
        <f>INDEX(#REF!, MATCH($A9,#REF!, 0), MATCH(BF$4,#REF!, 0))</f>
        <v>#REF!</v>
      </c>
      <c r="BG9" s="266" t="e">
        <f>INDEX(#REF!, MATCH($A9,#REF!, 0), MATCH(BG$4,#REF!, 0))</f>
        <v>#REF!</v>
      </c>
      <c r="BH9" s="266" t="e">
        <f>INDEX(#REF!, MATCH($A9,#REF!, 0), MATCH(BH$4,#REF!, 0))</f>
        <v>#REF!</v>
      </c>
      <c r="BI9" s="266" t="e">
        <f>INDEX(#REF!, MATCH($A9,#REF!, 0), MATCH(BI$4,#REF!, 0))</f>
        <v>#REF!</v>
      </c>
      <c r="BJ9" s="266" t="e">
        <f>INDEX(#REF!, MATCH($A9,#REF!, 0), MATCH(BJ$4,#REF!, 0))</f>
        <v>#REF!</v>
      </c>
      <c r="BK9" s="364" t="e">
        <f>INDEX(#REF!, MATCH($A9,#REF!, 0), MATCH(BK$4,#REF!, 0))</f>
        <v>#REF!</v>
      </c>
      <c r="BL9" s="146" t="e">
        <f>INDEX(#REF!, MATCH($BT9,#REF!, 0), MATCH(BL$4,#REF!, 0))</f>
        <v>#REF!</v>
      </c>
      <c r="BM9" s="146" t="e">
        <f>INDEX(#REF!, MATCH($BT9,#REF!, 0), MATCH(BM$4,#REF!, 0))</f>
        <v>#REF!</v>
      </c>
      <c r="BN9" s="146" t="e">
        <f>INDEX(#REF!, MATCH($BT9,#REF!, 0), MATCH(BN$4,#REF!, 0))</f>
        <v>#REF!</v>
      </c>
      <c r="BO9" s="146" t="e">
        <f>INDEX(#REF!, MATCH($BT9,#REF!, 0), MATCH(BO$4,#REF!, 0))</f>
        <v>#REF!</v>
      </c>
      <c r="BP9" s="146" t="e">
        <f>INDEX(#REF!, MATCH($BT9,#REF!, 0), MATCH(BP$4,#REF!, 0))</f>
        <v>#REF!</v>
      </c>
      <c r="BQ9" s="146" t="e">
        <f>INDEX(#REF!, MATCH($BT9,#REF!, 0), MATCH(BQ$4,#REF!, 0))</f>
        <v>#REF!</v>
      </c>
      <c r="BR9" s="146" t="e">
        <f>INDEX(#REF!, MATCH($BT9,#REF!, 0), MATCH(BR$4,#REF!, 0))</f>
        <v>#REF!</v>
      </c>
      <c r="BT9" s="105" t="s">
        <v>160</v>
      </c>
    </row>
    <row r="10" spans="1:91" ht="12.6">
      <c r="A10" s="130"/>
      <c r="B10" s="144" t="s">
        <v>22</v>
      </c>
      <c r="C10" s="144"/>
      <c r="D10" s="98" t="e">
        <f t="shared" ref="D10:P10" si="35">-D9/D5</f>
        <v>#REF!</v>
      </c>
      <c r="E10" s="98" t="e">
        <f t="shared" si="35"/>
        <v>#REF!</v>
      </c>
      <c r="F10" s="98" t="e">
        <f t="shared" si="35"/>
        <v>#REF!</v>
      </c>
      <c r="G10" s="98" t="e">
        <f t="shared" si="35"/>
        <v>#REF!</v>
      </c>
      <c r="H10" s="98" t="e">
        <f t="shared" si="35"/>
        <v>#REF!</v>
      </c>
      <c r="I10" s="98" t="e">
        <f t="shared" si="35"/>
        <v>#REF!</v>
      </c>
      <c r="J10" s="98" t="e">
        <f t="shared" si="35"/>
        <v>#REF!</v>
      </c>
      <c r="K10" s="98" t="e">
        <f t="shared" si="35"/>
        <v>#REF!</v>
      </c>
      <c r="L10" s="98" t="e">
        <f t="shared" si="35"/>
        <v>#REF!</v>
      </c>
      <c r="M10" s="98" t="e">
        <f t="shared" si="35"/>
        <v>#REF!</v>
      </c>
      <c r="N10" s="98" t="e">
        <f t="shared" si="35"/>
        <v>#REF!</v>
      </c>
      <c r="O10" s="98" t="e">
        <f t="shared" si="35"/>
        <v>#REF!</v>
      </c>
      <c r="P10" s="98" t="e">
        <f t="shared" si="35"/>
        <v>#REF!</v>
      </c>
      <c r="Q10" s="98" t="e">
        <f>-Q9/Q5</f>
        <v>#REF!</v>
      </c>
      <c r="R10" s="98" t="e">
        <f>-R9/R5</f>
        <v>#REF!</v>
      </c>
      <c r="S10" s="98" t="e">
        <f>-S9/S5</f>
        <v>#REF!</v>
      </c>
      <c r="T10" s="98" t="e">
        <f>-T9/T5</f>
        <v>#REF!</v>
      </c>
      <c r="U10" s="98" t="e">
        <f t="shared" ref="U10:BO10" si="36">-U9/U5</f>
        <v>#REF!</v>
      </c>
      <c r="V10" s="319" t="e">
        <f t="shared" ref="V10:AA10" si="37">-V9/V5</f>
        <v>#REF!</v>
      </c>
      <c r="W10" s="98" t="e">
        <f t="shared" si="37"/>
        <v>#REF!</v>
      </c>
      <c r="X10" s="98" t="e">
        <f t="shared" si="37"/>
        <v>#REF!</v>
      </c>
      <c r="Y10" s="98" t="e">
        <f t="shared" si="37"/>
        <v>#REF!</v>
      </c>
      <c r="Z10" s="98" t="e">
        <f t="shared" si="37"/>
        <v>#REF!</v>
      </c>
      <c r="AA10" s="98" t="e">
        <f t="shared" si="37"/>
        <v>#REF!</v>
      </c>
      <c r="AB10" s="98" t="e">
        <f t="shared" si="36"/>
        <v>#REF!</v>
      </c>
      <c r="AC10" s="319" t="e">
        <f t="shared" ref="AC10:AH10" si="38">-AC9/AC5</f>
        <v>#REF!</v>
      </c>
      <c r="AD10" s="98" t="e">
        <f t="shared" si="38"/>
        <v>#REF!</v>
      </c>
      <c r="AE10" s="98" t="e">
        <f t="shared" si="38"/>
        <v>#REF!</v>
      </c>
      <c r="AF10" s="98" t="e">
        <f t="shared" si="38"/>
        <v>#REF!</v>
      </c>
      <c r="AG10" s="98" t="e">
        <f t="shared" si="38"/>
        <v>#REF!</v>
      </c>
      <c r="AH10" s="98" t="e">
        <f t="shared" si="38"/>
        <v>#REF!</v>
      </c>
      <c r="AI10" s="98" t="e">
        <f t="shared" si="36"/>
        <v>#REF!</v>
      </c>
      <c r="AJ10" s="319" t="e">
        <f t="shared" ref="AJ10:AO10" si="39">-AJ9/AJ5</f>
        <v>#REF!</v>
      </c>
      <c r="AK10" s="98" t="e">
        <f t="shared" si="39"/>
        <v>#REF!</v>
      </c>
      <c r="AL10" s="98" t="e">
        <f t="shared" si="39"/>
        <v>#REF!</v>
      </c>
      <c r="AM10" s="98" t="e">
        <f t="shared" si="39"/>
        <v>#REF!</v>
      </c>
      <c r="AN10" s="98" t="e">
        <f t="shared" si="39"/>
        <v>#REF!</v>
      </c>
      <c r="AO10" s="98" t="e">
        <f t="shared" si="39"/>
        <v>#REF!</v>
      </c>
      <c r="AP10" s="98" t="e">
        <f t="shared" si="36"/>
        <v>#REF!</v>
      </c>
      <c r="AQ10" s="319" t="e">
        <f t="shared" ref="AQ10:AV10" si="40">-AQ9/AQ5</f>
        <v>#REF!</v>
      </c>
      <c r="AR10" s="98" t="e">
        <f t="shared" si="40"/>
        <v>#REF!</v>
      </c>
      <c r="AS10" s="98" t="e">
        <f t="shared" si="40"/>
        <v>#REF!</v>
      </c>
      <c r="AT10" s="98" t="e">
        <f t="shared" si="40"/>
        <v>#REF!</v>
      </c>
      <c r="AU10" s="98" t="e">
        <f t="shared" si="40"/>
        <v>#REF!</v>
      </c>
      <c r="AV10" s="98" t="e">
        <f t="shared" si="40"/>
        <v>#REF!</v>
      </c>
      <c r="AW10" s="98" t="e">
        <f t="shared" si="36"/>
        <v>#REF!</v>
      </c>
      <c r="AX10" s="319" t="e">
        <f t="shared" si="36"/>
        <v>#REF!</v>
      </c>
      <c r="AY10" s="98" t="e">
        <f t="shared" si="36"/>
        <v>#REF!</v>
      </c>
      <c r="AZ10" s="98" t="e">
        <f t="shared" si="36"/>
        <v>#REF!</v>
      </c>
      <c r="BA10" s="98" t="e">
        <f t="shared" ref="BA10:BC10" si="41">-BA9/BA5</f>
        <v>#REF!</v>
      </c>
      <c r="BB10" s="98" t="e">
        <f t="shared" si="41"/>
        <v>#REF!</v>
      </c>
      <c r="BC10" s="98" t="e">
        <f t="shared" si="41"/>
        <v>#REF!</v>
      </c>
      <c r="BD10" s="363" t="e">
        <f t="shared" ref="BD10:BJ10" si="42">-BD9/BD5</f>
        <v>#REF!</v>
      </c>
      <c r="BE10" s="319" t="e">
        <f t="shared" si="42"/>
        <v>#REF!</v>
      </c>
      <c r="BF10" s="98" t="e">
        <f t="shared" si="42"/>
        <v>#REF!</v>
      </c>
      <c r="BG10" s="98" t="e">
        <f t="shared" si="42"/>
        <v>#REF!</v>
      </c>
      <c r="BH10" s="98" t="e">
        <f t="shared" si="42"/>
        <v>#REF!</v>
      </c>
      <c r="BI10" s="98" t="e">
        <f t="shared" si="42"/>
        <v>#REF!</v>
      </c>
      <c r="BJ10" s="98" t="e">
        <f t="shared" si="42"/>
        <v>#REF!</v>
      </c>
      <c r="BK10" s="363" t="e">
        <f t="shared" ref="BK10" si="43">-BK9/BK5</f>
        <v>#REF!</v>
      </c>
      <c r="BL10" s="98" t="e">
        <f t="shared" si="36"/>
        <v>#REF!</v>
      </c>
      <c r="BM10" s="98" t="e">
        <f t="shared" si="36"/>
        <v>#REF!</v>
      </c>
      <c r="BN10" s="98" t="e">
        <f t="shared" si="36"/>
        <v>#REF!</v>
      </c>
      <c r="BO10" s="98" t="e">
        <f t="shared" si="36"/>
        <v>#REF!</v>
      </c>
      <c r="BP10" s="98" t="e">
        <f>-BP9/BP5</f>
        <v>#REF!</v>
      </c>
      <c r="BQ10" s="98" t="e">
        <f>-BQ9/BQ5</f>
        <v>#REF!</v>
      </c>
      <c r="BR10" s="98" t="e">
        <f>-BR9/BR5</f>
        <v>#REF!</v>
      </c>
      <c r="BT10" s="121"/>
    </row>
    <row r="11" spans="1:91">
      <c r="A11" s="177"/>
      <c r="B11" s="178" t="s">
        <v>95</v>
      </c>
      <c r="C11" s="178"/>
      <c r="D11" s="146" t="e">
        <f t="shared" ref="D11:P11" si="44">D5-D7-D9</f>
        <v>#REF!</v>
      </c>
      <c r="E11" s="146" t="e">
        <f t="shared" si="44"/>
        <v>#REF!</v>
      </c>
      <c r="F11" s="146" t="e">
        <f t="shared" si="44"/>
        <v>#REF!</v>
      </c>
      <c r="G11" s="146" t="e">
        <f t="shared" si="44"/>
        <v>#REF!</v>
      </c>
      <c r="H11" s="146" t="e">
        <f t="shared" si="44"/>
        <v>#REF!</v>
      </c>
      <c r="I11" s="146" t="e">
        <f t="shared" si="44"/>
        <v>#REF!</v>
      </c>
      <c r="J11" s="146" t="e">
        <f t="shared" si="44"/>
        <v>#REF!</v>
      </c>
      <c r="K11" s="146" t="e">
        <f t="shared" si="44"/>
        <v>#REF!</v>
      </c>
      <c r="L11" s="146" t="e">
        <f t="shared" si="44"/>
        <v>#REF!</v>
      </c>
      <c r="M11" s="146" t="e">
        <f t="shared" si="44"/>
        <v>#REF!</v>
      </c>
      <c r="N11" s="146" t="e">
        <f t="shared" si="44"/>
        <v>#REF!</v>
      </c>
      <c r="O11" s="146" t="e">
        <f t="shared" si="44"/>
        <v>#REF!</v>
      </c>
      <c r="P11" s="146" t="e">
        <f t="shared" si="44"/>
        <v>#REF!</v>
      </c>
      <c r="Q11" s="146" t="e">
        <f t="shared" ref="Q11:BR11" si="45">Q5-Q7-Q9</f>
        <v>#REF!</v>
      </c>
      <c r="R11" s="146" t="e">
        <f t="shared" si="45"/>
        <v>#REF!</v>
      </c>
      <c r="S11" s="146" t="e">
        <f t="shared" si="45"/>
        <v>#REF!</v>
      </c>
      <c r="T11" s="146" t="e">
        <f t="shared" si="45"/>
        <v>#REF!</v>
      </c>
      <c r="U11" s="146" t="e">
        <f t="shared" si="45"/>
        <v>#REF!</v>
      </c>
      <c r="V11" s="320" t="e">
        <f t="shared" ref="V11:AA11" si="46">V5-V7-V9</f>
        <v>#REF!</v>
      </c>
      <c r="W11" s="146" t="e">
        <f t="shared" si="46"/>
        <v>#REF!</v>
      </c>
      <c r="X11" s="146" t="e">
        <f t="shared" si="46"/>
        <v>#REF!</v>
      </c>
      <c r="Y11" s="146" t="e">
        <f t="shared" si="46"/>
        <v>#REF!</v>
      </c>
      <c r="Z11" s="146" t="e">
        <f t="shared" si="46"/>
        <v>#REF!</v>
      </c>
      <c r="AA11" s="146" t="e">
        <f t="shared" si="46"/>
        <v>#REF!</v>
      </c>
      <c r="AB11" s="146" t="e">
        <f t="shared" si="45"/>
        <v>#REF!</v>
      </c>
      <c r="AC11" s="320" t="e">
        <f t="shared" ref="AC11:AH11" si="47">AC5-AC7-AC9</f>
        <v>#REF!</v>
      </c>
      <c r="AD11" s="146" t="e">
        <f t="shared" si="47"/>
        <v>#REF!</v>
      </c>
      <c r="AE11" s="146" t="e">
        <f t="shared" si="47"/>
        <v>#REF!</v>
      </c>
      <c r="AF11" s="146" t="e">
        <f t="shared" si="47"/>
        <v>#REF!</v>
      </c>
      <c r="AG11" s="146" t="e">
        <f t="shared" si="47"/>
        <v>#REF!</v>
      </c>
      <c r="AH11" s="146" t="e">
        <f t="shared" si="47"/>
        <v>#REF!</v>
      </c>
      <c r="AI11" s="146" t="e">
        <f t="shared" si="45"/>
        <v>#REF!</v>
      </c>
      <c r="AJ11" s="320" t="e">
        <f t="shared" ref="AJ11:AO11" si="48">AJ5-AJ7-AJ9</f>
        <v>#REF!</v>
      </c>
      <c r="AK11" s="146" t="e">
        <f t="shared" si="48"/>
        <v>#REF!</v>
      </c>
      <c r="AL11" s="146" t="e">
        <f t="shared" si="48"/>
        <v>#REF!</v>
      </c>
      <c r="AM11" s="146" t="e">
        <f t="shared" si="48"/>
        <v>#REF!</v>
      </c>
      <c r="AN11" s="146" t="e">
        <f t="shared" si="48"/>
        <v>#REF!</v>
      </c>
      <c r="AO11" s="146" t="e">
        <f t="shared" si="48"/>
        <v>#REF!</v>
      </c>
      <c r="AP11" s="146" t="e">
        <f t="shared" si="45"/>
        <v>#REF!</v>
      </c>
      <c r="AQ11" s="320" t="e">
        <f t="shared" ref="AQ11:AV11" si="49">AQ5-AQ7-AQ9</f>
        <v>#REF!</v>
      </c>
      <c r="AR11" s="146" t="e">
        <f t="shared" si="49"/>
        <v>#REF!</v>
      </c>
      <c r="AS11" s="146" t="e">
        <f t="shared" si="49"/>
        <v>#REF!</v>
      </c>
      <c r="AT11" s="146" t="e">
        <f t="shared" si="49"/>
        <v>#REF!</v>
      </c>
      <c r="AU11" s="146" t="e">
        <f t="shared" si="49"/>
        <v>#REF!</v>
      </c>
      <c r="AV11" s="146" t="e">
        <f t="shared" si="49"/>
        <v>#REF!</v>
      </c>
      <c r="AW11" s="146" t="e">
        <f t="shared" si="45"/>
        <v>#REF!</v>
      </c>
      <c r="AX11" s="320" t="e">
        <f t="shared" si="45"/>
        <v>#REF!</v>
      </c>
      <c r="AY11" s="146" t="e">
        <f t="shared" si="45"/>
        <v>#REF!</v>
      </c>
      <c r="AZ11" s="146" t="e">
        <f t="shared" si="45"/>
        <v>#REF!</v>
      </c>
      <c r="BA11" s="146" t="e">
        <f t="shared" ref="BA11:BC11" si="50">BA5-BA7-BA9</f>
        <v>#REF!</v>
      </c>
      <c r="BB11" s="146" t="e">
        <f t="shared" si="50"/>
        <v>#REF!</v>
      </c>
      <c r="BC11" s="146" t="e">
        <f t="shared" si="50"/>
        <v>#REF!</v>
      </c>
      <c r="BD11" s="364" t="e">
        <f t="shared" ref="BD11:BJ11" si="51">BD5-BD7-BD9</f>
        <v>#REF!</v>
      </c>
      <c r="BE11" s="320" t="e">
        <f t="shared" si="51"/>
        <v>#REF!</v>
      </c>
      <c r="BF11" s="146" t="e">
        <f t="shared" si="51"/>
        <v>#REF!</v>
      </c>
      <c r="BG11" s="146" t="e">
        <f t="shared" si="51"/>
        <v>#REF!</v>
      </c>
      <c r="BH11" s="146" t="e">
        <f t="shared" si="51"/>
        <v>#REF!</v>
      </c>
      <c r="BI11" s="146" t="e">
        <f t="shared" si="51"/>
        <v>#REF!</v>
      </c>
      <c r="BJ11" s="146" t="e">
        <f t="shared" si="51"/>
        <v>#REF!</v>
      </c>
      <c r="BK11" s="364" t="e">
        <f t="shared" ref="BK11" si="52">BK5-BK7-BK9</f>
        <v>#REF!</v>
      </c>
      <c r="BL11" s="146" t="e">
        <f t="shared" si="45"/>
        <v>#REF!</v>
      </c>
      <c r="BM11" s="146" t="e">
        <f t="shared" si="45"/>
        <v>#REF!</v>
      </c>
      <c r="BN11" s="146" t="e">
        <f t="shared" si="45"/>
        <v>#REF!</v>
      </c>
      <c r="BO11" s="146" t="e">
        <f t="shared" si="45"/>
        <v>#REF!</v>
      </c>
      <c r="BP11" s="146" t="e">
        <f t="shared" si="45"/>
        <v>#REF!</v>
      </c>
      <c r="BQ11" s="146" t="e">
        <f t="shared" si="45"/>
        <v>#REF!</v>
      </c>
      <c r="BR11" s="146" t="e">
        <f t="shared" si="45"/>
        <v>#REF!</v>
      </c>
      <c r="BT11" s="121"/>
    </row>
    <row r="12" spans="1:91" ht="12.6">
      <c r="A12" s="130"/>
      <c r="B12" s="144" t="s">
        <v>22</v>
      </c>
      <c r="C12" s="144"/>
      <c r="D12" s="98" t="e">
        <f t="shared" ref="D12:P12" si="53">D11/D5</f>
        <v>#REF!</v>
      </c>
      <c r="E12" s="98" t="e">
        <f t="shared" si="53"/>
        <v>#REF!</v>
      </c>
      <c r="F12" s="98" t="e">
        <f t="shared" si="53"/>
        <v>#REF!</v>
      </c>
      <c r="G12" s="98" t="e">
        <f t="shared" si="53"/>
        <v>#REF!</v>
      </c>
      <c r="H12" s="98" t="e">
        <f t="shared" si="53"/>
        <v>#REF!</v>
      </c>
      <c r="I12" s="98" t="e">
        <f t="shared" si="53"/>
        <v>#REF!</v>
      </c>
      <c r="J12" s="98" t="e">
        <f t="shared" si="53"/>
        <v>#REF!</v>
      </c>
      <c r="K12" s="98" t="e">
        <f t="shared" si="53"/>
        <v>#REF!</v>
      </c>
      <c r="L12" s="98" t="e">
        <f t="shared" si="53"/>
        <v>#REF!</v>
      </c>
      <c r="M12" s="98" t="e">
        <f t="shared" si="53"/>
        <v>#REF!</v>
      </c>
      <c r="N12" s="98" t="e">
        <f t="shared" si="53"/>
        <v>#REF!</v>
      </c>
      <c r="O12" s="98" t="e">
        <f t="shared" si="53"/>
        <v>#REF!</v>
      </c>
      <c r="P12" s="98" t="e">
        <f t="shared" si="53"/>
        <v>#REF!</v>
      </c>
      <c r="Q12" s="98" t="e">
        <f>Q11/Q5</f>
        <v>#REF!</v>
      </c>
      <c r="R12" s="98" t="e">
        <f>R11/R5</f>
        <v>#REF!</v>
      </c>
      <c r="S12" s="98" t="e">
        <f>S11/S5</f>
        <v>#REF!</v>
      </c>
      <c r="T12" s="98" t="e">
        <f>T11/T5</f>
        <v>#REF!</v>
      </c>
      <c r="U12" s="98" t="e">
        <f t="shared" ref="U12:BL12" si="54">U11/U5</f>
        <v>#REF!</v>
      </c>
      <c r="V12" s="319" t="e">
        <f t="shared" ref="V12:AA12" si="55">V11/V5</f>
        <v>#REF!</v>
      </c>
      <c r="W12" s="98" t="e">
        <f t="shared" si="55"/>
        <v>#REF!</v>
      </c>
      <c r="X12" s="98" t="e">
        <f t="shared" si="55"/>
        <v>#REF!</v>
      </c>
      <c r="Y12" s="98" t="e">
        <f t="shared" si="55"/>
        <v>#REF!</v>
      </c>
      <c r="Z12" s="98" t="e">
        <f t="shared" si="55"/>
        <v>#REF!</v>
      </c>
      <c r="AA12" s="98" t="e">
        <f t="shared" si="55"/>
        <v>#REF!</v>
      </c>
      <c r="AB12" s="98" t="e">
        <f t="shared" si="54"/>
        <v>#REF!</v>
      </c>
      <c r="AC12" s="319" t="e">
        <f t="shared" ref="AC12:AH12" si="56">AC11/AC5</f>
        <v>#REF!</v>
      </c>
      <c r="AD12" s="98" t="e">
        <f t="shared" si="56"/>
        <v>#REF!</v>
      </c>
      <c r="AE12" s="98" t="e">
        <f t="shared" si="56"/>
        <v>#REF!</v>
      </c>
      <c r="AF12" s="98" t="e">
        <f t="shared" si="56"/>
        <v>#REF!</v>
      </c>
      <c r="AG12" s="98" t="e">
        <f t="shared" si="56"/>
        <v>#REF!</v>
      </c>
      <c r="AH12" s="98" t="e">
        <f t="shared" si="56"/>
        <v>#REF!</v>
      </c>
      <c r="AI12" s="98" t="e">
        <f t="shared" si="54"/>
        <v>#REF!</v>
      </c>
      <c r="AJ12" s="319" t="e">
        <f t="shared" ref="AJ12:AO12" si="57">AJ11/AJ5</f>
        <v>#REF!</v>
      </c>
      <c r="AK12" s="98" t="e">
        <f t="shared" si="57"/>
        <v>#REF!</v>
      </c>
      <c r="AL12" s="98" t="e">
        <f t="shared" si="57"/>
        <v>#REF!</v>
      </c>
      <c r="AM12" s="98" t="e">
        <f t="shared" si="57"/>
        <v>#REF!</v>
      </c>
      <c r="AN12" s="98" t="e">
        <f t="shared" si="57"/>
        <v>#REF!</v>
      </c>
      <c r="AO12" s="98" t="e">
        <f t="shared" si="57"/>
        <v>#REF!</v>
      </c>
      <c r="AP12" s="98" t="e">
        <f t="shared" si="54"/>
        <v>#REF!</v>
      </c>
      <c r="AQ12" s="319" t="e">
        <f t="shared" ref="AQ12:AV12" si="58">AQ11/AQ5</f>
        <v>#REF!</v>
      </c>
      <c r="AR12" s="98" t="e">
        <f t="shared" si="58"/>
        <v>#REF!</v>
      </c>
      <c r="AS12" s="98" t="e">
        <f t="shared" si="58"/>
        <v>#REF!</v>
      </c>
      <c r="AT12" s="98" t="e">
        <f t="shared" si="58"/>
        <v>#REF!</v>
      </c>
      <c r="AU12" s="98" t="e">
        <f t="shared" si="58"/>
        <v>#REF!</v>
      </c>
      <c r="AV12" s="98" t="e">
        <f t="shared" si="58"/>
        <v>#REF!</v>
      </c>
      <c r="AW12" s="98" t="e">
        <f t="shared" si="54"/>
        <v>#REF!</v>
      </c>
      <c r="AX12" s="319" t="e">
        <f t="shared" si="54"/>
        <v>#REF!</v>
      </c>
      <c r="AY12" s="98" t="e">
        <f t="shared" si="54"/>
        <v>#REF!</v>
      </c>
      <c r="AZ12" s="98" t="e">
        <f t="shared" si="54"/>
        <v>#REF!</v>
      </c>
      <c r="BA12" s="98" t="e">
        <f t="shared" ref="BA12:BC12" si="59">BA11/BA5</f>
        <v>#REF!</v>
      </c>
      <c r="BB12" s="98" t="e">
        <f t="shared" si="59"/>
        <v>#REF!</v>
      </c>
      <c r="BC12" s="98" t="e">
        <f t="shared" si="59"/>
        <v>#REF!</v>
      </c>
      <c r="BD12" s="363" t="e">
        <f t="shared" ref="BD12:BJ12" si="60">BD11/BD5</f>
        <v>#REF!</v>
      </c>
      <c r="BE12" s="319" t="e">
        <f t="shared" si="60"/>
        <v>#REF!</v>
      </c>
      <c r="BF12" s="98" t="e">
        <f t="shared" si="60"/>
        <v>#REF!</v>
      </c>
      <c r="BG12" s="98" t="e">
        <f t="shared" si="60"/>
        <v>#REF!</v>
      </c>
      <c r="BH12" s="98" t="e">
        <f t="shared" si="60"/>
        <v>#REF!</v>
      </c>
      <c r="BI12" s="98" t="e">
        <f t="shared" si="60"/>
        <v>#REF!</v>
      </c>
      <c r="BJ12" s="98" t="e">
        <f t="shared" si="60"/>
        <v>#REF!</v>
      </c>
      <c r="BK12" s="363" t="e">
        <f t="shared" ref="BK12" si="61">BK11/BK5</f>
        <v>#REF!</v>
      </c>
      <c r="BL12" s="98" t="e">
        <f t="shared" si="54"/>
        <v>#REF!</v>
      </c>
      <c r="BM12" s="98" t="e">
        <f t="shared" ref="BM12:BR12" si="62">BM11/BM5</f>
        <v>#REF!</v>
      </c>
      <c r="BN12" s="98" t="e">
        <f t="shared" si="62"/>
        <v>#REF!</v>
      </c>
      <c r="BO12" s="98" t="e">
        <f t="shared" si="62"/>
        <v>#REF!</v>
      </c>
      <c r="BP12" s="98" t="e">
        <f t="shared" si="62"/>
        <v>#REF!</v>
      </c>
      <c r="BQ12" s="98" t="e">
        <f t="shared" si="62"/>
        <v>#REF!</v>
      </c>
      <c r="BR12" s="98" t="e">
        <f t="shared" si="62"/>
        <v>#REF!</v>
      </c>
      <c r="BT12" s="121"/>
    </row>
    <row r="13" spans="1:91" ht="12.6">
      <c r="A13" s="130"/>
      <c r="B13" s="144"/>
      <c r="C13" s="144"/>
      <c r="D13" s="98"/>
      <c r="E13" s="98"/>
      <c r="F13" s="98"/>
      <c r="G13" s="98"/>
      <c r="H13" s="98"/>
      <c r="I13" s="98"/>
      <c r="J13" s="98"/>
      <c r="K13" s="98"/>
      <c r="L13" s="98"/>
      <c r="M13" s="98"/>
      <c r="N13" s="98"/>
      <c r="O13" s="98"/>
      <c r="P13" s="98"/>
      <c r="Q13" s="98"/>
      <c r="R13" s="98"/>
      <c r="S13" s="98"/>
      <c r="T13" s="98"/>
      <c r="U13" s="98"/>
      <c r="V13" s="319"/>
      <c r="W13" s="98"/>
      <c r="X13" s="98"/>
      <c r="Y13" s="98"/>
      <c r="Z13" s="98"/>
      <c r="AA13" s="98"/>
      <c r="AB13" s="98"/>
      <c r="AC13" s="319"/>
      <c r="AD13" s="98"/>
      <c r="AE13" s="98"/>
      <c r="AF13" s="98"/>
      <c r="AG13" s="98"/>
      <c r="AH13" s="98"/>
      <c r="AI13" s="98"/>
      <c r="AJ13" s="319"/>
      <c r="AK13" s="98"/>
      <c r="AL13" s="98"/>
      <c r="AM13" s="98"/>
      <c r="AN13" s="98"/>
      <c r="AO13" s="98"/>
      <c r="AP13" s="98"/>
      <c r="AQ13" s="319"/>
      <c r="AR13" s="98"/>
      <c r="AS13" s="98"/>
      <c r="AT13" s="98"/>
      <c r="AU13" s="98"/>
      <c r="AV13" s="98"/>
      <c r="AW13" s="98"/>
      <c r="AX13" s="319"/>
      <c r="AY13" s="98"/>
      <c r="AZ13" s="98"/>
      <c r="BA13" s="98"/>
      <c r="BB13" s="98"/>
      <c r="BC13" s="98"/>
      <c r="BD13" s="363"/>
      <c r="BE13" s="319"/>
      <c r="BF13" s="98"/>
      <c r="BG13" s="98"/>
      <c r="BH13" s="98"/>
      <c r="BI13" s="98"/>
      <c r="BJ13" s="98"/>
      <c r="BK13" s="363"/>
      <c r="BL13" s="98"/>
      <c r="BM13" s="98"/>
      <c r="BN13" s="119"/>
      <c r="BO13" s="119"/>
      <c r="BP13" s="98"/>
      <c r="BQ13" s="119"/>
      <c r="BR13" s="98"/>
      <c r="BT13" s="121"/>
    </row>
    <row r="14" spans="1:91" s="244" customFormat="1" ht="13.8">
      <c r="A14" s="113" t="s">
        <v>161</v>
      </c>
      <c r="B14" s="267" t="s">
        <v>244</v>
      </c>
      <c r="C14" s="251"/>
      <c r="D14" s="242" t="e">
        <f>INDEX(#REF!, MATCH($A14,#REF!, 0), MATCH(D$4,#REF!, 0))</f>
        <v>#REF!</v>
      </c>
      <c r="E14" s="242" t="e">
        <f>INDEX(#REF!, MATCH($A14,#REF!, 0), MATCH(E$4,#REF!, 0))</f>
        <v>#REF!</v>
      </c>
      <c r="F14" s="242" t="e">
        <f>INDEX(#REF!, MATCH($A14,#REF!, 0), MATCH(F$4,#REF!, 0))</f>
        <v>#REF!</v>
      </c>
      <c r="G14" s="242" t="e">
        <f>INDEX(#REF!, MATCH($A14,#REF!, 0), MATCH(G$4,#REF!, 0))</f>
        <v>#REF!</v>
      </c>
      <c r="H14" s="242" t="e">
        <f>INDEX(#REF!, MATCH($A14,#REF!, 0), MATCH(H$4,#REF!, 0))</f>
        <v>#REF!</v>
      </c>
      <c r="I14" s="242" t="e">
        <f>INDEX(#REF!, MATCH($A14,#REF!, 0), MATCH(I$4,#REF!, 0))</f>
        <v>#REF!</v>
      </c>
      <c r="J14" s="242" t="e">
        <f>INDEX(#REF!, MATCH($A14,#REF!, 0), MATCH(J$4,#REF!, 0))</f>
        <v>#REF!</v>
      </c>
      <c r="K14" s="242" t="e">
        <f>INDEX(#REF!, MATCH($A14,#REF!, 0), MATCH(K$4,#REF!, 0))</f>
        <v>#REF!</v>
      </c>
      <c r="L14" s="242" t="e">
        <f>INDEX(#REF!, MATCH($A14,#REF!, 0), MATCH(L$4,#REF!, 0))</f>
        <v>#REF!</v>
      </c>
      <c r="M14" s="242" t="e">
        <f>INDEX(#REF!, MATCH($A14,#REF!, 0), MATCH(M$4,#REF!, 0))</f>
        <v>#REF!</v>
      </c>
      <c r="N14" s="242" t="e">
        <f>INDEX(#REF!, MATCH($A14,#REF!, 0), MATCH(N$4,#REF!, 0))</f>
        <v>#REF!</v>
      </c>
      <c r="O14" s="242" t="e">
        <f>INDEX(#REF!, MATCH($A14,#REF!, 0), MATCH(O$4,#REF!, 0))</f>
        <v>#REF!</v>
      </c>
      <c r="P14" s="242" t="e">
        <f>INDEX(#REF!, MATCH($A14,#REF!, 0), MATCH(P$4,#REF!, 0))</f>
        <v>#REF!</v>
      </c>
      <c r="Q14" s="242" t="e">
        <f>INDEX(#REF!, MATCH($A14,#REF!, 0), MATCH(Q$4,#REF!, 0))</f>
        <v>#REF!</v>
      </c>
      <c r="R14" s="242" t="e">
        <f>INDEX(#REF!, MATCH($A14,#REF!, 0), MATCH(R$4,#REF!, 0))</f>
        <v>#REF!</v>
      </c>
      <c r="S14" s="242" t="e">
        <f>INDEX(#REF!, MATCH($A14,#REF!, 0), MATCH(S$4,#REF!, 0))</f>
        <v>#REF!</v>
      </c>
      <c r="T14" s="242" t="e">
        <f>INDEX(#REF!, MATCH($A14,#REF!, 0), MATCH(T$4,#REF!, 0))</f>
        <v>#REF!</v>
      </c>
      <c r="U14" s="242" t="e">
        <f>INDEX(#REF!, MATCH($A14,#REF!, 0), MATCH(U$4,#REF!, 0))</f>
        <v>#REF!</v>
      </c>
      <c r="V14" s="321" t="e">
        <f>INDEX(#REF!, MATCH($A14,#REF!, 0), MATCH(V$4,#REF!, 0))</f>
        <v>#REF!</v>
      </c>
      <c r="W14" s="242" t="e">
        <f>INDEX(#REF!, MATCH($A14,#REF!, 0), MATCH(W$4,#REF!, 0))</f>
        <v>#REF!</v>
      </c>
      <c r="X14" s="242" t="e">
        <f>INDEX(#REF!, MATCH($A14,#REF!, 0), MATCH(X$4,#REF!, 0))</f>
        <v>#REF!</v>
      </c>
      <c r="Y14" s="242" t="e">
        <f>INDEX(#REF!, MATCH($A14,#REF!, 0), MATCH(Y$4,#REF!, 0))</f>
        <v>#REF!</v>
      </c>
      <c r="Z14" s="242" t="e">
        <f>INDEX(#REF!, MATCH($A14,#REF!, 0), MATCH(Z$4,#REF!, 0))</f>
        <v>#REF!</v>
      </c>
      <c r="AA14" s="242" t="e">
        <f>INDEX(#REF!, MATCH($A14,#REF!, 0), MATCH(AA$4,#REF!, 0))</f>
        <v>#REF!</v>
      </c>
      <c r="AB14" s="242" t="e">
        <f>INDEX(#REF!, MATCH($A14,#REF!, 0), MATCH(AB$4,#REF!, 0))</f>
        <v>#REF!</v>
      </c>
      <c r="AC14" s="321" t="e">
        <f>INDEX(#REF!, MATCH($A14,#REF!, 0), MATCH(AC$4,#REF!, 0))</f>
        <v>#REF!</v>
      </c>
      <c r="AD14" s="242" t="e">
        <f>INDEX(#REF!, MATCH($A14,#REF!, 0), MATCH(AD$4,#REF!, 0))</f>
        <v>#REF!</v>
      </c>
      <c r="AE14" s="242" t="e">
        <f>INDEX(#REF!, MATCH($A14,#REF!, 0), MATCH(AE$4,#REF!, 0))</f>
        <v>#REF!</v>
      </c>
      <c r="AF14" s="242" t="e">
        <f>INDEX(#REF!, MATCH($A14,#REF!, 0), MATCH(AF$4,#REF!, 0))</f>
        <v>#REF!</v>
      </c>
      <c r="AG14" s="242" t="e">
        <f>INDEX(#REF!, MATCH($A14,#REF!, 0), MATCH(AG$4,#REF!, 0))</f>
        <v>#REF!</v>
      </c>
      <c r="AH14" s="242" t="e">
        <f>INDEX(#REF!, MATCH($A14,#REF!, 0), MATCH(AH$4,#REF!, 0))</f>
        <v>#REF!</v>
      </c>
      <c r="AI14" s="242" t="e">
        <f>INDEX(#REF!, MATCH($A14,#REF!, 0), MATCH(AI$4,#REF!, 0))</f>
        <v>#REF!</v>
      </c>
      <c r="AJ14" s="321" t="e">
        <f>INDEX(#REF!, MATCH($A14,#REF!, 0), MATCH(AJ$4,#REF!, 0))</f>
        <v>#REF!</v>
      </c>
      <c r="AK14" s="242" t="e">
        <f>INDEX(#REF!, MATCH($A14,#REF!, 0), MATCH(AK$4,#REF!, 0))</f>
        <v>#REF!</v>
      </c>
      <c r="AL14" s="242" t="e">
        <f>INDEX(#REF!, MATCH($A14,#REF!, 0), MATCH(AL$4,#REF!, 0))</f>
        <v>#REF!</v>
      </c>
      <c r="AM14" s="242" t="e">
        <f>INDEX(#REF!, MATCH($A14,#REF!, 0), MATCH(AM$4,#REF!, 0))</f>
        <v>#REF!</v>
      </c>
      <c r="AN14" s="242" t="e">
        <f>INDEX(#REF!, MATCH($A14,#REF!, 0), MATCH(AN$4,#REF!, 0))</f>
        <v>#REF!</v>
      </c>
      <c r="AO14" s="242" t="e">
        <f>INDEX(#REF!, MATCH($A14,#REF!, 0), MATCH(AO$4,#REF!, 0))</f>
        <v>#REF!</v>
      </c>
      <c r="AP14" s="242" t="e">
        <f>INDEX(#REF!, MATCH($A14,#REF!, 0), MATCH(AP$4,#REF!, 0))</f>
        <v>#REF!</v>
      </c>
      <c r="AQ14" s="321" t="e">
        <f>INDEX(#REF!, MATCH($A14,#REF!, 0), MATCH(AQ$4,#REF!, 0))</f>
        <v>#REF!</v>
      </c>
      <c r="AR14" s="242" t="e">
        <f>INDEX(#REF!, MATCH($A14,#REF!, 0), MATCH(AR$4,#REF!, 0))</f>
        <v>#REF!</v>
      </c>
      <c r="AS14" s="242" t="e">
        <f>INDEX(#REF!, MATCH($A14,#REF!, 0), MATCH(AS$4,#REF!, 0))</f>
        <v>#REF!</v>
      </c>
      <c r="AT14" s="242" t="e">
        <f>INDEX(#REF!, MATCH($A14,#REF!, 0), MATCH(AT$4,#REF!, 0))</f>
        <v>#REF!</v>
      </c>
      <c r="AU14" s="242" t="e">
        <f>INDEX(#REF!, MATCH($A14,#REF!, 0), MATCH(AU$4,#REF!, 0))</f>
        <v>#REF!</v>
      </c>
      <c r="AV14" s="242" t="e">
        <f>INDEX(#REF!, MATCH($A14,#REF!, 0), MATCH(AV$4,#REF!, 0))</f>
        <v>#REF!</v>
      </c>
      <c r="AW14" s="242" t="e">
        <f>INDEX(#REF!, MATCH($A14,#REF!, 0), MATCH(AW$4,#REF!, 0))</f>
        <v>#REF!</v>
      </c>
      <c r="AX14" s="321" t="e">
        <f>INDEX(#REF!, MATCH($A14,#REF!, 0), MATCH(AX$4,#REF!, 0))</f>
        <v>#REF!</v>
      </c>
      <c r="AY14" s="242" t="e">
        <f>INDEX(#REF!, MATCH($A14,#REF!, 0), MATCH(AY$4,#REF!, 0))</f>
        <v>#REF!</v>
      </c>
      <c r="AZ14" s="242" t="e">
        <f>INDEX(#REF!, MATCH($A14,#REF!, 0), MATCH(AZ$4,#REF!, 0))</f>
        <v>#REF!</v>
      </c>
      <c r="BA14" s="242" t="e">
        <f>INDEX(#REF!, MATCH($A14,#REF!, 0), MATCH(BA$4,#REF!, 0))</f>
        <v>#REF!</v>
      </c>
      <c r="BB14" s="242" t="e">
        <f>INDEX(#REF!, MATCH($A14,#REF!, 0), MATCH(BB$4,#REF!, 0))</f>
        <v>#REF!</v>
      </c>
      <c r="BC14" s="242" t="e">
        <f>INDEX(#REF!, MATCH($A14,#REF!, 0), MATCH(BC$4,#REF!, 0))</f>
        <v>#REF!</v>
      </c>
      <c r="BD14" s="365" t="e">
        <f>INDEX(#REF!, MATCH($A14,#REF!, 0), MATCH(BD$4,#REF!, 0))</f>
        <v>#REF!</v>
      </c>
      <c r="BE14" s="321" t="e">
        <f>INDEX(#REF!, MATCH($A14,#REF!, 0), MATCH(BE$4,#REF!, 0))</f>
        <v>#REF!</v>
      </c>
      <c r="BF14" s="242" t="e">
        <f>INDEX(#REF!, MATCH($A14,#REF!, 0), MATCH(BF$4,#REF!, 0))</f>
        <v>#REF!</v>
      </c>
      <c r="BG14" s="242" t="e">
        <f>INDEX(#REF!, MATCH($A14,#REF!, 0), MATCH(BG$4,#REF!, 0))</f>
        <v>#REF!</v>
      </c>
      <c r="BH14" s="242" t="e">
        <f>INDEX(#REF!, MATCH($A14,#REF!, 0), MATCH(BH$4,#REF!, 0))</f>
        <v>#REF!</v>
      </c>
      <c r="BI14" s="242" t="e">
        <f>INDEX(#REF!, MATCH($A14,#REF!, 0), MATCH(BI$4,#REF!, 0))</f>
        <v>#REF!</v>
      </c>
      <c r="BJ14" s="242" t="e">
        <f>INDEX(#REF!, MATCH($A14,#REF!, 0), MATCH(BJ$4,#REF!, 0))</f>
        <v>#REF!</v>
      </c>
      <c r="BK14" s="365" t="e">
        <f>INDEX(#REF!, MATCH($A14,#REF!, 0), MATCH(BK$4,#REF!, 0))</f>
        <v>#REF!</v>
      </c>
      <c r="BL14" s="242" t="e">
        <f>INDEX(#REF!, MATCH($BT14,#REF!, 0), MATCH(BL$4,#REF!, 0))</f>
        <v>#REF!</v>
      </c>
      <c r="BM14" s="242" t="e">
        <f>INDEX(#REF!, MATCH($BT14,#REF!, 0), MATCH(BM$4,#REF!, 0))</f>
        <v>#REF!</v>
      </c>
      <c r="BN14" s="242" t="e">
        <f>INDEX(#REF!, MATCH($BT14,#REF!, 0), MATCH(BN$4,#REF!, 0))</f>
        <v>#REF!</v>
      </c>
      <c r="BO14" s="242" t="e">
        <f>INDEX(#REF!, MATCH($BT14,#REF!, 0), MATCH(BO$4,#REF!, 0))</f>
        <v>#REF!</v>
      </c>
      <c r="BP14" s="242" t="e">
        <f>INDEX(#REF!, MATCH($BT14,#REF!, 0), MATCH(BP$4,#REF!, 0))</f>
        <v>#REF!</v>
      </c>
      <c r="BQ14" s="242" t="e">
        <f>INDEX(#REF!, MATCH($BT14,#REF!, 0), MATCH(BQ$4,#REF!, 0))</f>
        <v>#REF!</v>
      </c>
      <c r="BR14" s="242" t="e">
        <f>INDEX(#REF!, MATCH($BT14,#REF!, 0), MATCH(BR$4,#REF!, 0))</f>
        <v>#REF!</v>
      </c>
      <c r="BS14" s="235"/>
      <c r="BT14" s="253" t="s">
        <v>161</v>
      </c>
      <c r="BU14" s="235"/>
      <c r="BV14" s="235"/>
      <c r="BW14" s="235"/>
      <c r="BX14" s="235"/>
      <c r="BY14" s="235"/>
      <c r="BZ14" s="235"/>
      <c r="CA14" s="235"/>
      <c r="CB14" s="235"/>
      <c r="CC14" s="235"/>
      <c r="CD14" s="235"/>
      <c r="CE14" s="235"/>
      <c r="CF14" s="235"/>
      <c r="CG14" s="235"/>
      <c r="CH14" s="235"/>
      <c r="CI14" s="235"/>
      <c r="CJ14" s="235"/>
      <c r="CK14" s="235"/>
      <c r="CL14" s="235"/>
      <c r="CM14" s="235"/>
    </row>
    <row r="15" spans="1:91" ht="12.6">
      <c r="A15" s="130"/>
      <c r="B15" s="144" t="s">
        <v>22</v>
      </c>
      <c r="C15" s="144"/>
      <c r="D15" s="98" t="e">
        <f t="shared" ref="D15:BR15" si="63">-D14/D5</f>
        <v>#REF!</v>
      </c>
      <c r="E15" s="98" t="e">
        <f t="shared" si="63"/>
        <v>#REF!</v>
      </c>
      <c r="F15" s="98" t="e">
        <f t="shared" si="63"/>
        <v>#REF!</v>
      </c>
      <c r="G15" s="98" t="e">
        <f t="shared" si="63"/>
        <v>#REF!</v>
      </c>
      <c r="H15" s="98" t="e">
        <f t="shared" si="63"/>
        <v>#REF!</v>
      </c>
      <c r="I15" s="98" t="e">
        <f t="shared" si="63"/>
        <v>#REF!</v>
      </c>
      <c r="J15" s="98" t="e">
        <f t="shared" si="63"/>
        <v>#REF!</v>
      </c>
      <c r="K15" s="98" t="e">
        <f t="shared" si="63"/>
        <v>#REF!</v>
      </c>
      <c r="L15" s="98" t="e">
        <f t="shared" si="63"/>
        <v>#REF!</v>
      </c>
      <c r="M15" s="98" t="e">
        <f t="shared" si="63"/>
        <v>#REF!</v>
      </c>
      <c r="N15" s="98" t="e">
        <f t="shared" si="63"/>
        <v>#REF!</v>
      </c>
      <c r="O15" s="98" t="e">
        <f t="shared" si="63"/>
        <v>#REF!</v>
      </c>
      <c r="P15" s="98" t="e">
        <f t="shared" si="63"/>
        <v>#REF!</v>
      </c>
      <c r="Q15" s="98" t="e">
        <f t="shared" si="63"/>
        <v>#REF!</v>
      </c>
      <c r="R15" s="98" t="e">
        <f t="shared" si="63"/>
        <v>#REF!</v>
      </c>
      <c r="S15" s="98" t="e">
        <f t="shared" si="63"/>
        <v>#REF!</v>
      </c>
      <c r="T15" s="98" t="e">
        <f t="shared" si="63"/>
        <v>#REF!</v>
      </c>
      <c r="U15" s="98" t="e">
        <f t="shared" si="63"/>
        <v>#REF!</v>
      </c>
      <c r="V15" s="319" t="e">
        <f t="shared" ref="V15:AA15" si="64">-V14/V5</f>
        <v>#REF!</v>
      </c>
      <c r="W15" s="98" t="e">
        <f t="shared" si="64"/>
        <v>#REF!</v>
      </c>
      <c r="X15" s="98" t="e">
        <f t="shared" si="64"/>
        <v>#REF!</v>
      </c>
      <c r="Y15" s="98" t="e">
        <f t="shared" si="64"/>
        <v>#REF!</v>
      </c>
      <c r="Z15" s="98" t="e">
        <f t="shared" si="64"/>
        <v>#REF!</v>
      </c>
      <c r="AA15" s="98" t="e">
        <f t="shared" si="64"/>
        <v>#REF!</v>
      </c>
      <c r="AB15" s="98" t="e">
        <f t="shared" si="63"/>
        <v>#REF!</v>
      </c>
      <c r="AC15" s="319" t="e">
        <f t="shared" ref="AC15:AH15" si="65">-AC14/AC5</f>
        <v>#REF!</v>
      </c>
      <c r="AD15" s="98" t="e">
        <f t="shared" si="65"/>
        <v>#REF!</v>
      </c>
      <c r="AE15" s="98" t="e">
        <f t="shared" si="65"/>
        <v>#REF!</v>
      </c>
      <c r="AF15" s="98" t="e">
        <f t="shared" si="65"/>
        <v>#REF!</v>
      </c>
      <c r="AG15" s="98" t="e">
        <f t="shared" si="65"/>
        <v>#REF!</v>
      </c>
      <c r="AH15" s="98" t="e">
        <f t="shared" si="65"/>
        <v>#REF!</v>
      </c>
      <c r="AI15" s="98" t="e">
        <f t="shared" si="63"/>
        <v>#REF!</v>
      </c>
      <c r="AJ15" s="319" t="e">
        <f t="shared" ref="AJ15:AO15" si="66">-AJ14/AJ5</f>
        <v>#REF!</v>
      </c>
      <c r="AK15" s="98" t="e">
        <f t="shared" si="66"/>
        <v>#REF!</v>
      </c>
      <c r="AL15" s="98" t="e">
        <f t="shared" si="66"/>
        <v>#REF!</v>
      </c>
      <c r="AM15" s="98" t="e">
        <f t="shared" si="66"/>
        <v>#REF!</v>
      </c>
      <c r="AN15" s="98" t="e">
        <f t="shared" si="66"/>
        <v>#REF!</v>
      </c>
      <c r="AO15" s="98" t="e">
        <f t="shared" si="66"/>
        <v>#REF!</v>
      </c>
      <c r="AP15" s="98" t="e">
        <f t="shared" si="63"/>
        <v>#REF!</v>
      </c>
      <c r="AQ15" s="319" t="e">
        <f t="shared" ref="AQ15:AV15" si="67">-AQ14/AQ5</f>
        <v>#REF!</v>
      </c>
      <c r="AR15" s="98" t="e">
        <f t="shared" si="67"/>
        <v>#REF!</v>
      </c>
      <c r="AS15" s="98" t="e">
        <f t="shared" si="67"/>
        <v>#REF!</v>
      </c>
      <c r="AT15" s="98" t="e">
        <f t="shared" si="67"/>
        <v>#REF!</v>
      </c>
      <c r="AU15" s="98" t="e">
        <f t="shared" si="67"/>
        <v>#REF!</v>
      </c>
      <c r="AV15" s="98" t="e">
        <f t="shared" si="67"/>
        <v>#REF!</v>
      </c>
      <c r="AW15" s="98" t="e">
        <f t="shared" si="63"/>
        <v>#REF!</v>
      </c>
      <c r="AX15" s="319" t="e">
        <f t="shared" si="63"/>
        <v>#REF!</v>
      </c>
      <c r="AY15" s="98" t="e">
        <f t="shared" si="63"/>
        <v>#REF!</v>
      </c>
      <c r="AZ15" s="98" t="e">
        <f t="shared" si="63"/>
        <v>#REF!</v>
      </c>
      <c r="BA15" s="98" t="e">
        <f t="shared" ref="BA15:BC15" si="68">-BA14/BA5</f>
        <v>#REF!</v>
      </c>
      <c r="BB15" s="98" t="e">
        <f t="shared" si="68"/>
        <v>#REF!</v>
      </c>
      <c r="BC15" s="98" t="e">
        <f t="shared" si="68"/>
        <v>#REF!</v>
      </c>
      <c r="BD15" s="363" t="e">
        <f t="shared" ref="BD15:BJ15" si="69">-BD14/BD5</f>
        <v>#REF!</v>
      </c>
      <c r="BE15" s="319" t="e">
        <f t="shared" si="69"/>
        <v>#REF!</v>
      </c>
      <c r="BF15" s="98" t="e">
        <f t="shared" si="69"/>
        <v>#REF!</v>
      </c>
      <c r="BG15" s="98" t="e">
        <f t="shared" si="69"/>
        <v>#REF!</v>
      </c>
      <c r="BH15" s="98" t="e">
        <f t="shared" si="69"/>
        <v>#REF!</v>
      </c>
      <c r="BI15" s="98" t="e">
        <f t="shared" si="69"/>
        <v>#REF!</v>
      </c>
      <c r="BJ15" s="98" t="e">
        <f t="shared" si="69"/>
        <v>#REF!</v>
      </c>
      <c r="BK15" s="363" t="e">
        <f t="shared" ref="BK15" si="70">-BK14/BK5</f>
        <v>#REF!</v>
      </c>
      <c r="BL15" s="98" t="e">
        <f t="shared" si="63"/>
        <v>#REF!</v>
      </c>
      <c r="BM15" s="98" t="e">
        <f t="shared" si="63"/>
        <v>#REF!</v>
      </c>
      <c r="BN15" s="98" t="e">
        <f t="shared" si="63"/>
        <v>#REF!</v>
      </c>
      <c r="BO15" s="98" t="e">
        <f t="shared" si="63"/>
        <v>#REF!</v>
      </c>
      <c r="BP15" s="98" t="e">
        <f t="shared" si="63"/>
        <v>#REF!</v>
      </c>
      <c r="BQ15" s="98" t="e">
        <f t="shared" si="63"/>
        <v>#REF!</v>
      </c>
      <c r="BR15" s="98" t="e">
        <f t="shared" si="63"/>
        <v>#REF!</v>
      </c>
      <c r="BT15" s="121"/>
    </row>
    <row r="16" spans="1:91">
      <c r="A16" s="105" t="s">
        <v>162</v>
      </c>
      <c r="B16" s="117" t="s">
        <v>96</v>
      </c>
      <c r="C16" s="117"/>
      <c r="D16" s="146" t="e">
        <f>INDEX(#REF!, MATCH($A16,#REF!, 0), MATCH(D$4,#REF!, 0))</f>
        <v>#REF!</v>
      </c>
      <c r="E16" s="146" t="e">
        <f>INDEX(#REF!, MATCH($A16,#REF!, 0), MATCH(E$4,#REF!, 0))</f>
        <v>#REF!</v>
      </c>
      <c r="F16" s="146" t="e">
        <f>INDEX(#REF!, MATCH($A16,#REF!, 0), MATCH(F$4,#REF!, 0))</f>
        <v>#REF!</v>
      </c>
      <c r="G16" s="146" t="e">
        <f>INDEX(#REF!, MATCH($A16,#REF!, 0), MATCH(G$4,#REF!, 0))</f>
        <v>#REF!</v>
      </c>
      <c r="H16" s="146" t="e">
        <f>INDEX(#REF!, MATCH($A16,#REF!, 0), MATCH(H$4,#REF!, 0))</f>
        <v>#REF!</v>
      </c>
      <c r="I16" s="146" t="e">
        <f>INDEX(#REF!, MATCH($A16,#REF!, 0), MATCH(I$4,#REF!, 0))</f>
        <v>#REF!</v>
      </c>
      <c r="J16" s="146" t="e">
        <f>INDEX(#REF!, MATCH($A16,#REF!, 0), MATCH(J$4,#REF!, 0))</f>
        <v>#REF!</v>
      </c>
      <c r="K16" s="146" t="e">
        <f>INDEX(#REF!, MATCH($A16,#REF!, 0), MATCH(K$4,#REF!, 0))</f>
        <v>#REF!</v>
      </c>
      <c r="L16" s="146" t="e">
        <f>INDEX(#REF!, MATCH($A16,#REF!, 0), MATCH(L$4,#REF!, 0))</f>
        <v>#REF!</v>
      </c>
      <c r="M16" s="146" t="e">
        <f>INDEX(#REF!, MATCH($A16,#REF!, 0), MATCH(M$4,#REF!, 0))</f>
        <v>#REF!</v>
      </c>
      <c r="N16" s="146" t="e">
        <f>INDEX(#REF!, MATCH($A16,#REF!, 0), MATCH(N$4,#REF!, 0))</f>
        <v>#REF!</v>
      </c>
      <c r="O16" s="146" t="e">
        <f>INDEX(#REF!, MATCH($A16,#REF!, 0), MATCH(O$4,#REF!, 0))</f>
        <v>#REF!</v>
      </c>
      <c r="P16" s="146" t="e">
        <f>INDEX(#REF!, MATCH($A16,#REF!, 0), MATCH(P$4,#REF!, 0))</f>
        <v>#REF!</v>
      </c>
      <c r="Q16" s="146" t="e">
        <f>INDEX(#REF!, MATCH($A16,#REF!, 0), MATCH(Q$4,#REF!, 0))</f>
        <v>#REF!</v>
      </c>
      <c r="R16" s="146" t="e">
        <f>INDEX(#REF!, MATCH($A16,#REF!, 0), MATCH(R$4,#REF!, 0))</f>
        <v>#REF!</v>
      </c>
      <c r="S16" s="146" t="e">
        <f>INDEX(#REF!, MATCH($A16,#REF!, 0), MATCH(S$4,#REF!, 0))</f>
        <v>#REF!</v>
      </c>
      <c r="T16" s="146" t="e">
        <f>INDEX(#REF!, MATCH($A16,#REF!, 0), MATCH(T$4,#REF!, 0))</f>
        <v>#REF!</v>
      </c>
      <c r="U16" s="146" t="e">
        <f>INDEX(#REF!, MATCH($A16,#REF!, 0), MATCH(U$4,#REF!, 0))</f>
        <v>#REF!</v>
      </c>
      <c r="V16" s="320" t="e">
        <f>INDEX(#REF!, MATCH($A16,#REF!, 0), MATCH(V$4,#REF!, 0))</f>
        <v>#REF!</v>
      </c>
      <c r="W16" s="146" t="e">
        <f>INDEX(#REF!, MATCH($A16,#REF!, 0), MATCH(W$4,#REF!, 0))</f>
        <v>#REF!</v>
      </c>
      <c r="X16" s="146" t="e">
        <f>INDEX(#REF!, MATCH($A16,#REF!, 0), MATCH(X$4,#REF!, 0))</f>
        <v>#REF!</v>
      </c>
      <c r="Y16" s="146" t="e">
        <f>INDEX(#REF!, MATCH($A16,#REF!, 0), MATCH(Y$4,#REF!, 0))</f>
        <v>#REF!</v>
      </c>
      <c r="Z16" s="146" t="e">
        <f>INDEX(#REF!, MATCH($A16,#REF!, 0), MATCH(Z$4,#REF!, 0))</f>
        <v>#REF!</v>
      </c>
      <c r="AA16" s="146" t="e">
        <f>INDEX(#REF!, MATCH($A16,#REF!, 0), MATCH(AA$4,#REF!, 0))</f>
        <v>#REF!</v>
      </c>
      <c r="AB16" s="146" t="e">
        <f>INDEX(#REF!, MATCH($A16,#REF!, 0), MATCH(AB$4,#REF!, 0))</f>
        <v>#REF!</v>
      </c>
      <c r="AC16" s="320" t="e">
        <f>INDEX(#REF!, MATCH($A16,#REF!, 0), MATCH(AC$4,#REF!, 0))</f>
        <v>#REF!</v>
      </c>
      <c r="AD16" s="146" t="e">
        <f>INDEX(#REF!, MATCH($A16,#REF!, 0), MATCH(AD$4,#REF!, 0))</f>
        <v>#REF!</v>
      </c>
      <c r="AE16" s="146" t="e">
        <f>INDEX(#REF!, MATCH($A16,#REF!, 0), MATCH(AE$4,#REF!, 0))</f>
        <v>#REF!</v>
      </c>
      <c r="AF16" s="146" t="e">
        <f>INDEX(#REF!, MATCH($A16,#REF!, 0), MATCH(AF$4,#REF!, 0))</f>
        <v>#REF!</v>
      </c>
      <c r="AG16" s="146" t="e">
        <f>INDEX(#REF!, MATCH($A16,#REF!, 0), MATCH(AG$4,#REF!, 0))</f>
        <v>#REF!</v>
      </c>
      <c r="AH16" s="146" t="e">
        <f>INDEX(#REF!, MATCH($A16,#REF!, 0), MATCH(AH$4,#REF!, 0))</f>
        <v>#REF!</v>
      </c>
      <c r="AI16" s="146" t="e">
        <f>INDEX(#REF!, MATCH($A16,#REF!, 0), MATCH(AI$4,#REF!, 0))</f>
        <v>#REF!</v>
      </c>
      <c r="AJ16" s="320" t="e">
        <f>INDEX(#REF!, MATCH($A16,#REF!, 0), MATCH(AJ$4,#REF!, 0))</f>
        <v>#REF!</v>
      </c>
      <c r="AK16" s="146" t="e">
        <f>INDEX(#REF!, MATCH($A16,#REF!, 0), MATCH(AK$4,#REF!, 0))</f>
        <v>#REF!</v>
      </c>
      <c r="AL16" s="146" t="e">
        <f>INDEX(#REF!, MATCH($A16,#REF!, 0), MATCH(AL$4,#REF!, 0))</f>
        <v>#REF!</v>
      </c>
      <c r="AM16" s="146" t="e">
        <f>INDEX(#REF!, MATCH($A16,#REF!, 0), MATCH(AM$4,#REF!, 0))</f>
        <v>#REF!</v>
      </c>
      <c r="AN16" s="146" t="e">
        <f>INDEX(#REF!, MATCH($A16,#REF!, 0), MATCH(AN$4,#REF!, 0))</f>
        <v>#REF!</v>
      </c>
      <c r="AO16" s="146" t="e">
        <f>INDEX(#REF!, MATCH($A16,#REF!, 0), MATCH(AO$4,#REF!, 0))</f>
        <v>#REF!</v>
      </c>
      <c r="AP16" s="146" t="e">
        <f>INDEX(#REF!, MATCH($A16,#REF!, 0), MATCH(AP$4,#REF!, 0))</f>
        <v>#REF!</v>
      </c>
      <c r="AQ16" s="320" t="e">
        <f>INDEX(#REF!, MATCH($A16,#REF!, 0), MATCH(AQ$4,#REF!, 0))</f>
        <v>#REF!</v>
      </c>
      <c r="AR16" s="146" t="e">
        <f>INDEX(#REF!, MATCH($A16,#REF!, 0), MATCH(AR$4,#REF!, 0))</f>
        <v>#REF!</v>
      </c>
      <c r="AS16" s="146" t="e">
        <f>INDEX(#REF!, MATCH($A16,#REF!, 0), MATCH(AS$4,#REF!, 0))</f>
        <v>#REF!</v>
      </c>
      <c r="AT16" s="146" t="e">
        <f>INDEX(#REF!, MATCH($A16,#REF!, 0), MATCH(AT$4,#REF!, 0))</f>
        <v>#REF!</v>
      </c>
      <c r="AU16" s="146" t="e">
        <f>INDEX(#REF!, MATCH($A16,#REF!, 0), MATCH(AU$4,#REF!, 0))</f>
        <v>#REF!</v>
      </c>
      <c r="AV16" s="146" t="e">
        <f>INDEX(#REF!, MATCH($A16,#REF!, 0), MATCH(AV$4,#REF!, 0))</f>
        <v>#REF!</v>
      </c>
      <c r="AW16" s="146" t="e">
        <f>INDEX(#REF!, MATCH($A16,#REF!, 0), MATCH(AW$4,#REF!, 0))</f>
        <v>#REF!</v>
      </c>
      <c r="AX16" s="320" t="e">
        <f>INDEX(#REF!, MATCH($A16,#REF!, 0), MATCH(AX$4,#REF!, 0))</f>
        <v>#REF!</v>
      </c>
      <c r="AY16" s="146" t="e">
        <f>INDEX(#REF!, MATCH($A16,#REF!, 0), MATCH(AY$4,#REF!, 0))</f>
        <v>#REF!</v>
      </c>
      <c r="AZ16" s="146" t="e">
        <f>INDEX(#REF!, MATCH($A16,#REF!, 0), MATCH(AZ$4,#REF!, 0))</f>
        <v>#REF!</v>
      </c>
      <c r="BA16" s="146" t="e">
        <f>INDEX(#REF!, MATCH($A16,#REF!, 0), MATCH(BA$4,#REF!, 0))</f>
        <v>#REF!</v>
      </c>
      <c r="BB16" s="146" t="e">
        <f>INDEX(#REF!, MATCH($A16,#REF!, 0), MATCH(BB$4,#REF!, 0))</f>
        <v>#REF!</v>
      </c>
      <c r="BC16" s="146" t="e">
        <f>INDEX(#REF!, MATCH($A16,#REF!, 0), MATCH(BC$4,#REF!, 0))</f>
        <v>#REF!</v>
      </c>
      <c r="BD16" s="364" t="e">
        <f>INDEX(#REF!, MATCH($A16,#REF!, 0), MATCH(BD$4,#REF!, 0))</f>
        <v>#REF!</v>
      </c>
      <c r="BE16" s="320" t="e">
        <f>INDEX(#REF!, MATCH($A16,#REF!, 0), MATCH(BE$4,#REF!, 0))</f>
        <v>#REF!</v>
      </c>
      <c r="BF16" s="146" t="e">
        <f>INDEX(#REF!, MATCH($A16,#REF!, 0), MATCH(BF$4,#REF!, 0))</f>
        <v>#REF!</v>
      </c>
      <c r="BG16" s="146" t="e">
        <f>INDEX(#REF!, MATCH($A16,#REF!, 0), MATCH(BG$4,#REF!, 0))</f>
        <v>#REF!</v>
      </c>
      <c r="BH16" s="146" t="e">
        <f>INDEX(#REF!, MATCH($A16,#REF!, 0), MATCH(BH$4,#REF!, 0))</f>
        <v>#REF!</v>
      </c>
      <c r="BI16" s="146" t="e">
        <f>INDEX(#REF!, MATCH($A16,#REF!, 0), MATCH(BI$4,#REF!, 0))</f>
        <v>#REF!</v>
      </c>
      <c r="BJ16" s="146" t="e">
        <f>INDEX(#REF!, MATCH($A16,#REF!, 0), MATCH(BJ$4,#REF!, 0))</f>
        <v>#REF!</v>
      </c>
      <c r="BK16" s="364" t="e">
        <f>INDEX(#REF!, MATCH($A16,#REF!, 0), MATCH(BK$4,#REF!, 0))</f>
        <v>#REF!</v>
      </c>
      <c r="BL16" s="146" t="e">
        <f>INDEX(#REF!, MATCH($BT16,#REF!, 0), MATCH(BL$4,#REF!, 0))</f>
        <v>#REF!</v>
      </c>
      <c r="BM16" s="146" t="e">
        <f>INDEX(#REF!, MATCH($BT16,#REF!, 0), MATCH(BM$4,#REF!, 0))</f>
        <v>#REF!</v>
      </c>
      <c r="BN16" s="146" t="e">
        <f>INDEX(#REF!, MATCH($BT16,#REF!, 0), MATCH(BN$4,#REF!, 0))</f>
        <v>#REF!</v>
      </c>
      <c r="BO16" s="146" t="e">
        <f>INDEX(#REF!, MATCH($BT16,#REF!, 0), MATCH(BO$4,#REF!, 0))</f>
        <v>#REF!</v>
      </c>
      <c r="BP16" s="146" t="e">
        <f>INDEX(#REF!, MATCH($BT16,#REF!, 0), MATCH(BP$4,#REF!, 0))</f>
        <v>#REF!</v>
      </c>
      <c r="BQ16" s="146" t="e">
        <f>INDEX(#REF!, MATCH($BT16,#REF!, 0), MATCH(BQ$4,#REF!, 0))</f>
        <v>#REF!</v>
      </c>
      <c r="BR16" s="146" t="e">
        <f>INDEX(#REF!, MATCH($BT16,#REF!, 0), MATCH(BR$4,#REF!, 0))</f>
        <v>#REF!</v>
      </c>
      <c r="BT16" s="121" t="s">
        <v>162</v>
      </c>
    </row>
    <row r="17" spans="1:72" ht="12.6">
      <c r="A17" s="130"/>
      <c r="B17" s="144" t="s">
        <v>22</v>
      </c>
      <c r="C17" s="144"/>
      <c r="D17" s="98" t="e">
        <f t="shared" ref="D17:BR17" si="71">-D16/D5</f>
        <v>#REF!</v>
      </c>
      <c r="E17" s="98" t="e">
        <f t="shared" si="71"/>
        <v>#REF!</v>
      </c>
      <c r="F17" s="98" t="e">
        <f t="shared" si="71"/>
        <v>#REF!</v>
      </c>
      <c r="G17" s="98" t="e">
        <f t="shared" si="71"/>
        <v>#REF!</v>
      </c>
      <c r="H17" s="98" t="e">
        <f t="shared" si="71"/>
        <v>#REF!</v>
      </c>
      <c r="I17" s="98" t="e">
        <f t="shared" si="71"/>
        <v>#REF!</v>
      </c>
      <c r="J17" s="98" t="e">
        <f t="shared" si="71"/>
        <v>#REF!</v>
      </c>
      <c r="K17" s="98" t="e">
        <f t="shared" si="71"/>
        <v>#REF!</v>
      </c>
      <c r="L17" s="98" t="e">
        <f t="shared" si="71"/>
        <v>#REF!</v>
      </c>
      <c r="M17" s="98" t="e">
        <f t="shared" si="71"/>
        <v>#REF!</v>
      </c>
      <c r="N17" s="98" t="e">
        <f t="shared" si="71"/>
        <v>#REF!</v>
      </c>
      <c r="O17" s="98" t="e">
        <f t="shared" si="71"/>
        <v>#REF!</v>
      </c>
      <c r="P17" s="98" t="e">
        <f t="shared" si="71"/>
        <v>#REF!</v>
      </c>
      <c r="Q17" s="98" t="e">
        <f t="shared" si="71"/>
        <v>#REF!</v>
      </c>
      <c r="R17" s="98" t="e">
        <f t="shared" si="71"/>
        <v>#REF!</v>
      </c>
      <c r="S17" s="98" t="e">
        <f t="shared" si="71"/>
        <v>#REF!</v>
      </c>
      <c r="T17" s="98" t="e">
        <f t="shared" si="71"/>
        <v>#REF!</v>
      </c>
      <c r="U17" s="98" t="e">
        <f t="shared" si="71"/>
        <v>#REF!</v>
      </c>
      <c r="V17" s="319" t="e">
        <f t="shared" ref="V17:AA17" si="72">-V16/V5</f>
        <v>#REF!</v>
      </c>
      <c r="W17" s="98" t="e">
        <f t="shared" si="72"/>
        <v>#REF!</v>
      </c>
      <c r="X17" s="98" t="e">
        <f t="shared" si="72"/>
        <v>#REF!</v>
      </c>
      <c r="Y17" s="98" t="e">
        <f t="shared" si="72"/>
        <v>#REF!</v>
      </c>
      <c r="Z17" s="98" t="e">
        <f t="shared" si="72"/>
        <v>#REF!</v>
      </c>
      <c r="AA17" s="98" t="e">
        <f t="shared" si="72"/>
        <v>#REF!</v>
      </c>
      <c r="AB17" s="98" t="e">
        <f t="shared" si="71"/>
        <v>#REF!</v>
      </c>
      <c r="AC17" s="319" t="e">
        <f t="shared" ref="AC17:AH17" si="73">-AC16/AC5</f>
        <v>#REF!</v>
      </c>
      <c r="AD17" s="98" t="e">
        <f t="shared" si="73"/>
        <v>#REF!</v>
      </c>
      <c r="AE17" s="98" t="e">
        <f t="shared" si="73"/>
        <v>#REF!</v>
      </c>
      <c r="AF17" s="98" t="e">
        <f t="shared" si="73"/>
        <v>#REF!</v>
      </c>
      <c r="AG17" s="98" t="e">
        <f t="shared" si="73"/>
        <v>#REF!</v>
      </c>
      <c r="AH17" s="98" t="e">
        <f t="shared" si="73"/>
        <v>#REF!</v>
      </c>
      <c r="AI17" s="98" t="e">
        <f t="shared" si="71"/>
        <v>#REF!</v>
      </c>
      <c r="AJ17" s="319" t="e">
        <f t="shared" ref="AJ17:AO17" si="74">-AJ16/AJ5</f>
        <v>#REF!</v>
      </c>
      <c r="AK17" s="98" t="e">
        <f t="shared" si="74"/>
        <v>#REF!</v>
      </c>
      <c r="AL17" s="98" t="e">
        <f t="shared" si="74"/>
        <v>#REF!</v>
      </c>
      <c r="AM17" s="98" t="e">
        <f t="shared" si="74"/>
        <v>#REF!</v>
      </c>
      <c r="AN17" s="98" t="e">
        <f t="shared" si="74"/>
        <v>#REF!</v>
      </c>
      <c r="AO17" s="98" t="e">
        <f t="shared" si="74"/>
        <v>#REF!</v>
      </c>
      <c r="AP17" s="98" t="e">
        <f t="shared" si="71"/>
        <v>#REF!</v>
      </c>
      <c r="AQ17" s="319" t="e">
        <f t="shared" ref="AQ17:AV17" si="75">-AQ16/AQ5</f>
        <v>#REF!</v>
      </c>
      <c r="AR17" s="98" t="e">
        <f t="shared" si="75"/>
        <v>#REF!</v>
      </c>
      <c r="AS17" s="98" t="e">
        <f t="shared" si="75"/>
        <v>#REF!</v>
      </c>
      <c r="AT17" s="98" t="e">
        <f t="shared" si="75"/>
        <v>#REF!</v>
      </c>
      <c r="AU17" s="98" t="e">
        <f t="shared" si="75"/>
        <v>#REF!</v>
      </c>
      <c r="AV17" s="98" t="e">
        <f t="shared" si="75"/>
        <v>#REF!</v>
      </c>
      <c r="AW17" s="98" t="e">
        <f t="shared" si="71"/>
        <v>#REF!</v>
      </c>
      <c r="AX17" s="319" t="e">
        <f t="shared" si="71"/>
        <v>#REF!</v>
      </c>
      <c r="AY17" s="98" t="e">
        <f t="shared" si="71"/>
        <v>#REF!</v>
      </c>
      <c r="AZ17" s="98" t="e">
        <f t="shared" si="71"/>
        <v>#REF!</v>
      </c>
      <c r="BA17" s="98" t="e">
        <f t="shared" ref="BA17:BC17" si="76">-BA16/BA5</f>
        <v>#REF!</v>
      </c>
      <c r="BB17" s="98" t="e">
        <f t="shared" si="76"/>
        <v>#REF!</v>
      </c>
      <c r="BC17" s="98" t="e">
        <f t="shared" si="76"/>
        <v>#REF!</v>
      </c>
      <c r="BD17" s="363" t="e">
        <f t="shared" ref="BD17:BJ17" si="77">-BD16/BD5</f>
        <v>#REF!</v>
      </c>
      <c r="BE17" s="319" t="e">
        <f t="shared" si="77"/>
        <v>#REF!</v>
      </c>
      <c r="BF17" s="98" t="e">
        <f t="shared" si="77"/>
        <v>#REF!</v>
      </c>
      <c r="BG17" s="98" t="e">
        <f t="shared" si="77"/>
        <v>#REF!</v>
      </c>
      <c r="BH17" s="98" t="e">
        <f t="shared" si="77"/>
        <v>#REF!</v>
      </c>
      <c r="BI17" s="98" t="e">
        <f t="shared" si="77"/>
        <v>#REF!</v>
      </c>
      <c r="BJ17" s="98" t="e">
        <f t="shared" si="77"/>
        <v>#REF!</v>
      </c>
      <c r="BK17" s="363" t="e">
        <f t="shared" ref="BK17" si="78">-BK16/BK5</f>
        <v>#REF!</v>
      </c>
      <c r="BL17" s="98" t="e">
        <f t="shared" si="71"/>
        <v>#REF!</v>
      </c>
      <c r="BM17" s="98" t="e">
        <f t="shared" si="71"/>
        <v>#REF!</v>
      </c>
      <c r="BN17" s="98" t="e">
        <f t="shared" si="71"/>
        <v>#REF!</v>
      </c>
      <c r="BO17" s="98" t="e">
        <f t="shared" si="71"/>
        <v>#REF!</v>
      </c>
      <c r="BP17" s="98" t="e">
        <f t="shared" si="71"/>
        <v>#REF!</v>
      </c>
      <c r="BQ17" s="98" t="e">
        <f t="shared" si="71"/>
        <v>#REF!</v>
      </c>
      <c r="BR17" s="98" t="e">
        <f t="shared" si="71"/>
        <v>#REF!</v>
      </c>
      <c r="BT17" s="121"/>
    </row>
    <row r="18" spans="1:72">
      <c r="A18" s="105" t="s">
        <v>230</v>
      </c>
      <c r="B18" s="117" t="s">
        <v>97</v>
      </c>
      <c r="C18" s="117"/>
      <c r="D18" s="146" t="e">
        <f>INDEX(#REF!, MATCH($A18,#REF!, 0), MATCH(D$4,#REF!, 0))</f>
        <v>#REF!</v>
      </c>
      <c r="E18" s="146" t="e">
        <f>INDEX(#REF!, MATCH($A18,#REF!, 0), MATCH(E$4,#REF!, 0))</f>
        <v>#REF!</v>
      </c>
      <c r="F18" s="146" t="e">
        <f>INDEX(#REF!, MATCH($A18,#REF!, 0), MATCH(F$4,#REF!, 0))</f>
        <v>#REF!</v>
      </c>
      <c r="G18" s="146" t="e">
        <f>INDEX(#REF!, MATCH($A18,#REF!, 0), MATCH(G$4,#REF!, 0))</f>
        <v>#REF!</v>
      </c>
      <c r="H18" s="146" t="e">
        <f>INDEX(#REF!, MATCH($A18,#REF!, 0), MATCH(H$4,#REF!, 0))</f>
        <v>#REF!</v>
      </c>
      <c r="I18" s="146" t="e">
        <f>INDEX(#REF!, MATCH($A18,#REF!, 0), MATCH(I$4,#REF!, 0))</f>
        <v>#REF!</v>
      </c>
      <c r="J18" s="146" t="e">
        <f>INDEX(#REF!, MATCH($A18,#REF!, 0), MATCH(J$4,#REF!, 0))</f>
        <v>#REF!</v>
      </c>
      <c r="K18" s="146" t="e">
        <f>INDEX(#REF!, MATCH($A18,#REF!, 0), MATCH(K$4,#REF!, 0))</f>
        <v>#REF!</v>
      </c>
      <c r="L18" s="146" t="e">
        <f>INDEX(#REF!, MATCH($A18,#REF!, 0), MATCH(L$4,#REF!, 0))</f>
        <v>#REF!</v>
      </c>
      <c r="M18" s="146" t="e">
        <f>INDEX(#REF!, MATCH($A18,#REF!, 0), MATCH(M$4,#REF!, 0))</f>
        <v>#REF!</v>
      </c>
      <c r="N18" s="146" t="e">
        <f>INDEX(#REF!, MATCH($A18,#REF!, 0), MATCH(N$4,#REF!, 0))</f>
        <v>#REF!</v>
      </c>
      <c r="O18" s="146" t="e">
        <f>INDEX(#REF!, MATCH($A18,#REF!, 0), MATCH(O$4,#REF!, 0))</f>
        <v>#REF!</v>
      </c>
      <c r="P18" s="146" t="e">
        <f>INDEX(#REF!, MATCH($A18,#REF!, 0), MATCH(P$4,#REF!, 0))</f>
        <v>#REF!</v>
      </c>
      <c r="Q18" s="146" t="e">
        <f>INDEX(#REF!, MATCH($A18,#REF!, 0), MATCH(Q$4,#REF!, 0))</f>
        <v>#REF!</v>
      </c>
      <c r="R18" s="146" t="e">
        <f>INDEX(#REF!, MATCH($A18,#REF!, 0), MATCH(R$4,#REF!, 0))</f>
        <v>#REF!</v>
      </c>
      <c r="S18" s="146" t="e">
        <f>INDEX(#REF!, MATCH($A18,#REF!, 0), MATCH(S$4,#REF!, 0))</f>
        <v>#REF!</v>
      </c>
      <c r="T18" s="146" t="e">
        <f>INDEX(#REF!, MATCH($A18,#REF!, 0), MATCH(T$4,#REF!, 0))</f>
        <v>#REF!</v>
      </c>
      <c r="U18" s="146" t="e">
        <f>INDEX(#REF!, MATCH($A18,#REF!, 0), MATCH(U$4,#REF!, 0))</f>
        <v>#REF!</v>
      </c>
      <c r="V18" s="320" t="e">
        <f>INDEX(#REF!, MATCH($A18,#REF!, 0), MATCH(V$4,#REF!, 0))</f>
        <v>#REF!</v>
      </c>
      <c r="W18" s="146" t="e">
        <f>INDEX(#REF!, MATCH($A18,#REF!, 0), MATCH(W$4,#REF!, 0))</f>
        <v>#REF!</v>
      </c>
      <c r="X18" s="146" t="e">
        <f>INDEX(#REF!, MATCH($A18,#REF!, 0), MATCH(X$4,#REF!, 0))</f>
        <v>#REF!</v>
      </c>
      <c r="Y18" s="146" t="e">
        <f>INDEX(#REF!, MATCH($A18,#REF!, 0), MATCH(Y$4,#REF!, 0))</f>
        <v>#REF!</v>
      </c>
      <c r="Z18" s="146" t="e">
        <f>INDEX(#REF!, MATCH($A18,#REF!, 0), MATCH(Z$4,#REF!, 0))</f>
        <v>#REF!</v>
      </c>
      <c r="AA18" s="146" t="e">
        <f>INDEX(#REF!, MATCH($A18,#REF!, 0), MATCH(AA$4,#REF!, 0))</f>
        <v>#REF!</v>
      </c>
      <c r="AB18" s="146" t="e">
        <f>INDEX(#REF!, MATCH($A18,#REF!, 0), MATCH(AB$4,#REF!, 0))</f>
        <v>#REF!</v>
      </c>
      <c r="AC18" s="320" t="e">
        <f>INDEX(#REF!, MATCH($A18,#REF!, 0), MATCH(AC$4,#REF!, 0))</f>
        <v>#REF!</v>
      </c>
      <c r="AD18" s="146" t="e">
        <f>INDEX(#REF!, MATCH($A18,#REF!, 0), MATCH(AD$4,#REF!, 0))</f>
        <v>#REF!</v>
      </c>
      <c r="AE18" s="146" t="e">
        <f>INDEX(#REF!, MATCH($A18,#REF!, 0), MATCH(AE$4,#REF!, 0))</f>
        <v>#REF!</v>
      </c>
      <c r="AF18" s="146" t="e">
        <f>INDEX(#REF!, MATCH($A18,#REF!, 0), MATCH(AF$4,#REF!, 0))</f>
        <v>#REF!</v>
      </c>
      <c r="AG18" s="146" t="e">
        <f>INDEX(#REF!, MATCH($A18,#REF!, 0), MATCH(AG$4,#REF!, 0))</f>
        <v>#REF!</v>
      </c>
      <c r="AH18" s="146" t="e">
        <f>INDEX(#REF!, MATCH($A18,#REF!, 0), MATCH(AH$4,#REF!, 0))</f>
        <v>#REF!</v>
      </c>
      <c r="AI18" s="146" t="e">
        <f>INDEX(#REF!, MATCH($A18,#REF!, 0), MATCH(AI$4,#REF!, 0))</f>
        <v>#REF!</v>
      </c>
      <c r="AJ18" s="320" t="e">
        <f>INDEX(#REF!, MATCH($A18,#REF!, 0), MATCH(AJ$4,#REF!, 0))</f>
        <v>#REF!</v>
      </c>
      <c r="AK18" s="146" t="e">
        <f>INDEX(#REF!, MATCH($A18,#REF!, 0), MATCH(AK$4,#REF!, 0))</f>
        <v>#REF!</v>
      </c>
      <c r="AL18" s="146" t="e">
        <f>INDEX(#REF!, MATCH($A18,#REF!, 0), MATCH(AL$4,#REF!, 0))</f>
        <v>#REF!</v>
      </c>
      <c r="AM18" s="146" t="e">
        <f>INDEX(#REF!, MATCH($A18,#REF!, 0), MATCH(AM$4,#REF!, 0))</f>
        <v>#REF!</v>
      </c>
      <c r="AN18" s="146" t="e">
        <f>INDEX(#REF!, MATCH($A18,#REF!, 0), MATCH(AN$4,#REF!, 0))</f>
        <v>#REF!</v>
      </c>
      <c r="AO18" s="146" t="e">
        <f>INDEX(#REF!, MATCH($A18,#REF!, 0), MATCH(AO$4,#REF!, 0))</f>
        <v>#REF!</v>
      </c>
      <c r="AP18" s="146" t="e">
        <f>INDEX(#REF!, MATCH($A18,#REF!, 0), MATCH(AP$4,#REF!, 0))</f>
        <v>#REF!</v>
      </c>
      <c r="AQ18" s="320" t="e">
        <f>INDEX(#REF!, MATCH($A18,#REF!, 0), MATCH(AQ$4,#REF!, 0))</f>
        <v>#REF!</v>
      </c>
      <c r="AR18" s="146" t="e">
        <f>INDEX(#REF!, MATCH($A18,#REF!, 0), MATCH(AR$4,#REF!, 0))</f>
        <v>#REF!</v>
      </c>
      <c r="AS18" s="146" t="e">
        <f>INDEX(#REF!, MATCH($A18,#REF!, 0), MATCH(AS$4,#REF!, 0))</f>
        <v>#REF!</v>
      </c>
      <c r="AT18" s="146" t="e">
        <f>INDEX(#REF!, MATCH($A18,#REF!, 0), MATCH(AT$4,#REF!, 0))</f>
        <v>#REF!</v>
      </c>
      <c r="AU18" s="146" t="e">
        <f>INDEX(#REF!, MATCH($A18,#REF!, 0), MATCH(AU$4,#REF!, 0))</f>
        <v>#REF!</v>
      </c>
      <c r="AV18" s="146" t="e">
        <f>INDEX(#REF!, MATCH($A18,#REF!, 0), MATCH(AV$4,#REF!, 0))</f>
        <v>#REF!</v>
      </c>
      <c r="AW18" s="146" t="e">
        <f>INDEX(#REF!, MATCH($A18,#REF!, 0), MATCH(AW$4,#REF!, 0))</f>
        <v>#REF!</v>
      </c>
      <c r="AX18" s="320" t="e">
        <f>INDEX(#REF!, MATCH($A18,#REF!, 0), MATCH(AX$4,#REF!, 0))</f>
        <v>#REF!</v>
      </c>
      <c r="AY18" s="146" t="e">
        <f>INDEX(#REF!, MATCH($A18,#REF!, 0), MATCH(AY$4,#REF!, 0))</f>
        <v>#REF!</v>
      </c>
      <c r="AZ18" s="146" t="e">
        <f>INDEX(#REF!, MATCH($A18,#REF!, 0), MATCH(AZ$4,#REF!, 0))</f>
        <v>#REF!</v>
      </c>
      <c r="BA18" s="146" t="e">
        <f>INDEX(#REF!, MATCH($A18,#REF!, 0), MATCH(BA$4,#REF!, 0))</f>
        <v>#REF!</v>
      </c>
      <c r="BB18" s="146" t="e">
        <f>INDEX(#REF!, MATCH($A18,#REF!, 0), MATCH(BB$4,#REF!, 0))</f>
        <v>#REF!</v>
      </c>
      <c r="BC18" s="146" t="e">
        <f>INDEX(#REF!, MATCH($A18,#REF!, 0), MATCH(BC$4,#REF!, 0))</f>
        <v>#REF!</v>
      </c>
      <c r="BD18" s="364" t="e">
        <f>INDEX(#REF!, MATCH($A18,#REF!, 0), MATCH(BD$4,#REF!, 0))</f>
        <v>#REF!</v>
      </c>
      <c r="BE18" s="320" t="e">
        <f>INDEX(#REF!, MATCH($A18,#REF!, 0), MATCH(BE$4,#REF!, 0))</f>
        <v>#REF!</v>
      </c>
      <c r="BF18" s="146" t="e">
        <f>INDEX(#REF!, MATCH($A18,#REF!, 0), MATCH(BF$4,#REF!, 0))</f>
        <v>#REF!</v>
      </c>
      <c r="BG18" s="146" t="e">
        <f>INDEX(#REF!, MATCH($A18,#REF!, 0), MATCH(BG$4,#REF!, 0))</f>
        <v>#REF!</v>
      </c>
      <c r="BH18" s="146" t="e">
        <f>INDEX(#REF!, MATCH($A18,#REF!, 0), MATCH(BH$4,#REF!, 0))</f>
        <v>#REF!</v>
      </c>
      <c r="BI18" s="146" t="e">
        <f>INDEX(#REF!, MATCH($A18,#REF!, 0), MATCH(BI$4,#REF!, 0))</f>
        <v>#REF!</v>
      </c>
      <c r="BJ18" s="146" t="e">
        <f>INDEX(#REF!, MATCH($A18,#REF!, 0), MATCH(BJ$4,#REF!, 0))</f>
        <v>#REF!</v>
      </c>
      <c r="BK18" s="364" t="e">
        <f>INDEX(#REF!, MATCH($A18,#REF!, 0), MATCH(BK$4,#REF!, 0))</f>
        <v>#REF!</v>
      </c>
      <c r="BL18" s="146" t="e">
        <f>INDEX(#REF!, MATCH($BT18,#REF!, 0), MATCH(BL$4,#REF!, 0))</f>
        <v>#REF!</v>
      </c>
      <c r="BM18" s="146" t="e">
        <f>INDEX(#REF!, MATCH($BT18,#REF!, 0), MATCH(BM$4,#REF!, 0))</f>
        <v>#REF!</v>
      </c>
      <c r="BN18" s="146" t="e">
        <f>INDEX(#REF!, MATCH($BT18,#REF!, 0), MATCH(BN$4,#REF!, 0))</f>
        <v>#REF!</v>
      </c>
      <c r="BO18" s="146" t="e">
        <f>INDEX(#REF!, MATCH($BT18,#REF!, 0), MATCH(BO$4,#REF!, 0))</f>
        <v>#REF!</v>
      </c>
      <c r="BP18" s="146" t="e">
        <f>INDEX(#REF!, MATCH($BT18,#REF!, 0), MATCH(BP$4,#REF!, 0))</f>
        <v>#REF!</v>
      </c>
      <c r="BQ18" s="146" t="e">
        <f>INDEX(#REF!, MATCH($BT18,#REF!, 0), MATCH(BQ$4,#REF!, 0))</f>
        <v>#REF!</v>
      </c>
      <c r="BR18" s="146" t="e">
        <f>INDEX(#REF!, MATCH($BT18,#REF!, 0), MATCH(BR$4,#REF!, 0))</f>
        <v>#REF!</v>
      </c>
      <c r="BT18" s="105" t="s">
        <v>230</v>
      </c>
    </row>
    <row r="19" spans="1:72" ht="12.6">
      <c r="A19" s="130"/>
      <c r="B19" s="144" t="s">
        <v>22</v>
      </c>
      <c r="C19" s="144"/>
      <c r="D19" s="118" t="e">
        <f t="shared" ref="D19:BR19" si="79">-D18/D5</f>
        <v>#REF!</v>
      </c>
      <c r="E19" s="118" t="e">
        <f t="shared" si="79"/>
        <v>#REF!</v>
      </c>
      <c r="F19" s="118" t="e">
        <f t="shared" si="79"/>
        <v>#REF!</v>
      </c>
      <c r="G19" s="118" t="e">
        <f t="shared" si="79"/>
        <v>#REF!</v>
      </c>
      <c r="H19" s="118" t="e">
        <f t="shared" si="79"/>
        <v>#REF!</v>
      </c>
      <c r="I19" s="118" t="e">
        <f t="shared" si="79"/>
        <v>#REF!</v>
      </c>
      <c r="J19" s="118" t="e">
        <f t="shared" si="79"/>
        <v>#REF!</v>
      </c>
      <c r="K19" s="118" t="e">
        <f t="shared" si="79"/>
        <v>#REF!</v>
      </c>
      <c r="L19" s="118" t="e">
        <f t="shared" si="79"/>
        <v>#REF!</v>
      </c>
      <c r="M19" s="118" t="e">
        <f t="shared" si="79"/>
        <v>#REF!</v>
      </c>
      <c r="N19" s="118" t="e">
        <f t="shared" si="79"/>
        <v>#REF!</v>
      </c>
      <c r="O19" s="118" t="e">
        <f t="shared" si="79"/>
        <v>#REF!</v>
      </c>
      <c r="P19" s="118" t="e">
        <f t="shared" si="79"/>
        <v>#REF!</v>
      </c>
      <c r="Q19" s="118" t="e">
        <f t="shared" si="79"/>
        <v>#REF!</v>
      </c>
      <c r="R19" s="118" t="e">
        <f t="shared" si="79"/>
        <v>#REF!</v>
      </c>
      <c r="S19" s="118" t="e">
        <f t="shared" si="79"/>
        <v>#REF!</v>
      </c>
      <c r="T19" s="118" t="e">
        <f t="shared" si="79"/>
        <v>#REF!</v>
      </c>
      <c r="U19" s="118" t="e">
        <f t="shared" si="79"/>
        <v>#REF!</v>
      </c>
      <c r="V19" s="322" t="e">
        <f t="shared" ref="V19:AA19" si="80">-V18/V5</f>
        <v>#REF!</v>
      </c>
      <c r="W19" s="118" t="e">
        <f t="shared" si="80"/>
        <v>#REF!</v>
      </c>
      <c r="X19" s="118" t="e">
        <f t="shared" si="80"/>
        <v>#REF!</v>
      </c>
      <c r="Y19" s="118" t="e">
        <f t="shared" si="80"/>
        <v>#REF!</v>
      </c>
      <c r="Z19" s="118" t="e">
        <f t="shared" si="80"/>
        <v>#REF!</v>
      </c>
      <c r="AA19" s="118" t="e">
        <f t="shared" si="80"/>
        <v>#REF!</v>
      </c>
      <c r="AB19" s="118" t="e">
        <f t="shared" si="79"/>
        <v>#REF!</v>
      </c>
      <c r="AC19" s="322" t="e">
        <f t="shared" ref="AC19:AH19" si="81">-AC18/AC5</f>
        <v>#REF!</v>
      </c>
      <c r="AD19" s="118" t="e">
        <f t="shared" si="81"/>
        <v>#REF!</v>
      </c>
      <c r="AE19" s="118" t="e">
        <f t="shared" si="81"/>
        <v>#REF!</v>
      </c>
      <c r="AF19" s="118" t="e">
        <f t="shared" si="81"/>
        <v>#REF!</v>
      </c>
      <c r="AG19" s="118" t="e">
        <f t="shared" si="81"/>
        <v>#REF!</v>
      </c>
      <c r="AH19" s="118" t="e">
        <f t="shared" si="81"/>
        <v>#REF!</v>
      </c>
      <c r="AI19" s="118" t="e">
        <f t="shared" si="79"/>
        <v>#REF!</v>
      </c>
      <c r="AJ19" s="322" t="e">
        <f t="shared" ref="AJ19:AO19" si="82">-AJ18/AJ5</f>
        <v>#REF!</v>
      </c>
      <c r="AK19" s="118" t="e">
        <f t="shared" si="82"/>
        <v>#REF!</v>
      </c>
      <c r="AL19" s="118" t="e">
        <f t="shared" si="82"/>
        <v>#REF!</v>
      </c>
      <c r="AM19" s="118" t="e">
        <f t="shared" si="82"/>
        <v>#REF!</v>
      </c>
      <c r="AN19" s="118" t="e">
        <f t="shared" si="82"/>
        <v>#REF!</v>
      </c>
      <c r="AO19" s="118" t="e">
        <f t="shared" si="82"/>
        <v>#REF!</v>
      </c>
      <c r="AP19" s="118" t="e">
        <f t="shared" si="79"/>
        <v>#REF!</v>
      </c>
      <c r="AQ19" s="322" t="e">
        <f t="shared" ref="AQ19:AV19" si="83">-AQ18/AQ5</f>
        <v>#REF!</v>
      </c>
      <c r="AR19" s="118" t="e">
        <f t="shared" si="83"/>
        <v>#REF!</v>
      </c>
      <c r="AS19" s="118" t="e">
        <f t="shared" si="83"/>
        <v>#REF!</v>
      </c>
      <c r="AT19" s="118" t="e">
        <f t="shared" si="83"/>
        <v>#REF!</v>
      </c>
      <c r="AU19" s="118" t="e">
        <f t="shared" si="83"/>
        <v>#REF!</v>
      </c>
      <c r="AV19" s="118" t="e">
        <f t="shared" si="83"/>
        <v>#REF!</v>
      </c>
      <c r="AW19" s="118" t="e">
        <f t="shared" si="79"/>
        <v>#REF!</v>
      </c>
      <c r="AX19" s="322" t="e">
        <f t="shared" si="79"/>
        <v>#REF!</v>
      </c>
      <c r="AY19" s="118" t="e">
        <f t="shared" si="79"/>
        <v>#REF!</v>
      </c>
      <c r="AZ19" s="118" t="e">
        <f t="shared" si="79"/>
        <v>#REF!</v>
      </c>
      <c r="BA19" s="118" t="e">
        <f t="shared" ref="BA19:BC19" si="84">-BA18/BA5</f>
        <v>#REF!</v>
      </c>
      <c r="BB19" s="118" t="e">
        <f t="shared" si="84"/>
        <v>#REF!</v>
      </c>
      <c r="BC19" s="118" t="e">
        <f t="shared" si="84"/>
        <v>#REF!</v>
      </c>
      <c r="BD19" s="366" t="e">
        <f t="shared" ref="BD19:BJ19" si="85">-BD18/BD5</f>
        <v>#REF!</v>
      </c>
      <c r="BE19" s="322" t="e">
        <f t="shared" si="85"/>
        <v>#REF!</v>
      </c>
      <c r="BF19" s="118" t="e">
        <f t="shared" si="85"/>
        <v>#REF!</v>
      </c>
      <c r="BG19" s="118" t="e">
        <f t="shared" si="85"/>
        <v>#REF!</v>
      </c>
      <c r="BH19" s="118" t="e">
        <f t="shared" si="85"/>
        <v>#REF!</v>
      </c>
      <c r="BI19" s="118" t="e">
        <f t="shared" si="85"/>
        <v>#REF!</v>
      </c>
      <c r="BJ19" s="118" t="e">
        <f t="shared" si="85"/>
        <v>#REF!</v>
      </c>
      <c r="BK19" s="366" t="e">
        <f t="shared" ref="BK19" si="86">-BK18/BK5</f>
        <v>#REF!</v>
      </c>
      <c r="BL19" s="118" t="e">
        <f t="shared" si="79"/>
        <v>#REF!</v>
      </c>
      <c r="BM19" s="118" t="e">
        <f t="shared" si="79"/>
        <v>#REF!</v>
      </c>
      <c r="BN19" s="118" t="e">
        <f t="shared" si="79"/>
        <v>#REF!</v>
      </c>
      <c r="BO19" s="118" t="e">
        <f t="shared" si="79"/>
        <v>#REF!</v>
      </c>
      <c r="BP19" s="118" t="e">
        <f t="shared" si="79"/>
        <v>#REF!</v>
      </c>
      <c r="BQ19" s="118" t="e">
        <f t="shared" si="79"/>
        <v>#REF!</v>
      </c>
      <c r="BR19" s="118" t="e">
        <f t="shared" si="79"/>
        <v>#REF!</v>
      </c>
      <c r="BT19" s="121"/>
    </row>
    <row r="20" spans="1:72">
      <c r="A20" s="130" t="s">
        <v>241</v>
      </c>
      <c r="B20" s="117" t="s">
        <v>98</v>
      </c>
      <c r="C20" s="117"/>
      <c r="D20" s="156" t="e">
        <f t="shared" ref="D20:P20" si="87">D22+D23</f>
        <v>#REF!</v>
      </c>
      <c r="E20" s="156" t="e">
        <f t="shared" si="87"/>
        <v>#REF!</v>
      </c>
      <c r="F20" s="156" t="e">
        <f t="shared" si="87"/>
        <v>#REF!</v>
      </c>
      <c r="G20" s="156" t="e">
        <f t="shared" si="87"/>
        <v>#REF!</v>
      </c>
      <c r="H20" s="156" t="e">
        <f t="shared" si="87"/>
        <v>#REF!</v>
      </c>
      <c r="I20" s="156" t="e">
        <f t="shared" si="87"/>
        <v>#REF!</v>
      </c>
      <c r="J20" s="156" t="e">
        <f t="shared" si="87"/>
        <v>#REF!</v>
      </c>
      <c r="K20" s="156" t="e">
        <f t="shared" si="87"/>
        <v>#REF!</v>
      </c>
      <c r="L20" s="156" t="e">
        <f t="shared" si="87"/>
        <v>#REF!</v>
      </c>
      <c r="M20" s="156" t="e">
        <f t="shared" si="87"/>
        <v>#REF!</v>
      </c>
      <c r="N20" s="156" t="e">
        <f t="shared" si="87"/>
        <v>#REF!</v>
      </c>
      <c r="O20" s="156" t="e">
        <f t="shared" si="87"/>
        <v>#REF!</v>
      </c>
      <c r="P20" s="156" t="e">
        <f t="shared" si="87"/>
        <v>#REF!</v>
      </c>
      <c r="Q20" s="156" t="e">
        <f t="shared" ref="Q20:AZ20" si="88">Q22+Q23</f>
        <v>#REF!</v>
      </c>
      <c r="R20" s="156" t="e">
        <f t="shared" si="88"/>
        <v>#REF!</v>
      </c>
      <c r="S20" s="156" t="e">
        <f t="shared" si="88"/>
        <v>#REF!</v>
      </c>
      <c r="T20" s="156" t="e">
        <f t="shared" si="88"/>
        <v>#REF!</v>
      </c>
      <c r="U20" s="156" t="e">
        <f t="shared" si="88"/>
        <v>#REF!</v>
      </c>
      <c r="V20" s="323" t="e">
        <f t="shared" ref="V20:AA20" si="89">V22+V23</f>
        <v>#REF!</v>
      </c>
      <c r="W20" s="156" t="e">
        <f t="shared" si="89"/>
        <v>#REF!</v>
      </c>
      <c r="X20" s="156" t="e">
        <f t="shared" si="89"/>
        <v>#REF!</v>
      </c>
      <c r="Y20" s="156" t="e">
        <f t="shared" si="89"/>
        <v>#REF!</v>
      </c>
      <c r="Z20" s="156" t="e">
        <f t="shared" si="89"/>
        <v>#REF!</v>
      </c>
      <c r="AA20" s="156" t="e">
        <f t="shared" si="89"/>
        <v>#REF!</v>
      </c>
      <c r="AB20" s="156" t="e">
        <f t="shared" si="88"/>
        <v>#REF!</v>
      </c>
      <c r="AC20" s="323" t="e">
        <f t="shared" ref="AC20:AH20" si="90">AC22+AC23</f>
        <v>#REF!</v>
      </c>
      <c r="AD20" s="156" t="e">
        <f t="shared" si="90"/>
        <v>#REF!</v>
      </c>
      <c r="AE20" s="156" t="e">
        <f t="shared" si="90"/>
        <v>#REF!</v>
      </c>
      <c r="AF20" s="156" t="e">
        <f t="shared" si="90"/>
        <v>#REF!</v>
      </c>
      <c r="AG20" s="156" t="e">
        <f t="shared" si="90"/>
        <v>#REF!</v>
      </c>
      <c r="AH20" s="156" t="e">
        <f t="shared" si="90"/>
        <v>#REF!</v>
      </c>
      <c r="AI20" s="156" t="e">
        <f t="shared" si="88"/>
        <v>#REF!</v>
      </c>
      <c r="AJ20" s="323" t="e">
        <f t="shared" ref="AJ20:AO20" si="91">AJ22+AJ23</f>
        <v>#REF!</v>
      </c>
      <c r="AK20" s="156" t="e">
        <f t="shared" si="91"/>
        <v>#REF!</v>
      </c>
      <c r="AL20" s="156" t="e">
        <f t="shared" si="91"/>
        <v>#REF!</v>
      </c>
      <c r="AM20" s="156" t="e">
        <f t="shared" si="91"/>
        <v>#REF!</v>
      </c>
      <c r="AN20" s="156" t="e">
        <f t="shared" si="91"/>
        <v>#REF!</v>
      </c>
      <c r="AO20" s="156" t="e">
        <f t="shared" si="91"/>
        <v>#REF!</v>
      </c>
      <c r="AP20" s="156" t="e">
        <f t="shared" si="88"/>
        <v>#REF!</v>
      </c>
      <c r="AQ20" s="323" t="e">
        <f t="shared" ref="AQ20:AV20" si="92">AQ22+AQ23</f>
        <v>#REF!</v>
      </c>
      <c r="AR20" s="156" t="e">
        <f t="shared" si="92"/>
        <v>#REF!</v>
      </c>
      <c r="AS20" s="156" t="e">
        <f t="shared" si="92"/>
        <v>#REF!</v>
      </c>
      <c r="AT20" s="156" t="e">
        <f t="shared" si="92"/>
        <v>#REF!</v>
      </c>
      <c r="AU20" s="156" t="e">
        <f t="shared" si="92"/>
        <v>#REF!</v>
      </c>
      <c r="AV20" s="156" t="e">
        <f t="shared" si="92"/>
        <v>#REF!</v>
      </c>
      <c r="AW20" s="156" t="e">
        <f t="shared" si="88"/>
        <v>#REF!</v>
      </c>
      <c r="AX20" s="323" t="e">
        <f t="shared" si="88"/>
        <v>#REF!</v>
      </c>
      <c r="AY20" s="156" t="e">
        <f t="shared" si="88"/>
        <v>#REF!</v>
      </c>
      <c r="AZ20" s="156" t="e">
        <f t="shared" si="88"/>
        <v>#REF!</v>
      </c>
      <c r="BA20" s="156" t="e">
        <f t="shared" ref="BA20:BC20" si="93">BA22+BA23</f>
        <v>#REF!</v>
      </c>
      <c r="BB20" s="156" t="e">
        <f t="shared" si="93"/>
        <v>#REF!</v>
      </c>
      <c r="BC20" s="156" t="e">
        <f t="shared" si="93"/>
        <v>#REF!</v>
      </c>
      <c r="BD20" s="367" t="e">
        <f t="shared" ref="BD20:BJ20" si="94">BD22+BD23</f>
        <v>#REF!</v>
      </c>
      <c r="BE20" s="323" t="e">
        <f t="shared" si="94"/>
        <v>#REF!</v>
      </c>
      <c r="BF20" s="156" t="e">
        <f t="shared" si="94"/>
        <v>#REF!</v>
      </c>
      <c r="BG20" s="156" t="e">
        <f t="shared" si="94"/>
        <v>#REF!</v>
      </c>
      <c r="BH20" s="156" t="e">
        <f t="shared" si="94"/>
        <v>#REF!</v>
      </c>
      <c r="BI20" s="156" t="e">
        <f t="shared" si="94"/>
        <v>#REF!</v>
      </c>
      <c r="BJ20" s="156" t="e">
        <f t="shared" si="94"/>
        <v>#REF!</v>
      </c>
      <c r="BK20" s="367" t="e">
        <f t="shared" ref="BK20" si="95">BK22+BK23</f>
        <v>#REF!</v>
      </c>
      <c r="BL20" s="156" t="e">
        <f t="shared" ref="BL20:BQ20" si="96">BL22+BL23</f>
        <v>#REF!</v>
      </c>
      <c r="BM20" s="156" t="e">
        <f t="shared" si="96"/>
        <v>#REF!</v>
      </c>
      <c r="BN20" s="156" t="e">
        <f t="shared" si="96"/>
        <v>#REF!</v>
      </c>
      <c r="BO20" s="156" t="e">
        <f t="shared" si="96"/>
        <v>#REF!</v>
      </c>
      <c r="BP20" s="156" t="e">
        <f t="shared" si="96"/>
        <v>#REF!</v>
      </c>
      <c r="BQ20" s="156" t="e">
        <f t="shared" si="96"/>
        <v>#REF!</v>
      </c>
      <c r="BR20" s="156" t="e">
        <f>BR22+BR23</f>
        <v>#REF!</v>
      </c>
      <c r="BT20" s="121"/>
    </row>
    <row r="21" spans="1:72" ht="12.6">
      <c r="A21" s="130"/>
      <c r="B21" s="144" t="s">
        <v>22</v>
      </c>
      <c r="C21" s="144"/>
      <c r="D21" s="98" t="e">
        <f t="shared" ref="D21:BR21" si="97">-D20/D5</f>
        <v>#REF!</v>
      </c>
      <c r="E21" s="98" t="e">
        <f t="shared" si="97"/>
        <v>#REF!</v>
      </c>
      <c r="F21" s="98" t="e">
        <f t="shared" si="97"/>
        <v>#REF!</v>
      </c>
      <c r="G21" s="98" t="e">
        <f t="shared" si="97"/>
        <v>#REF!</v>
      </c>
      <c r="H21" s="98" t="e">
        <f t="shared" si="97"/>
        <v>#REF!</v>
      </c>
      <c r="I21" s="98" t="e">
        <f t="shared" si="97"/>
        <v>#REF!</v>
      </c>
      <c r="J21" s="98" t="e">
        <f t="shared" si="97"/>
        <v>#REF!</v>
      </c>
      <c r="K21" s="98" t="e">
        <f t="shared" si="97"/>
        <v>#REF!</v>
      </c>
      <c r="L21" s="98" t="e">
        <f t="shared" si="97"/>
        <v>#REF!</v>
      </c>
      <c r="M21" s="98" t="e">
        <f t="shared" si="97"/>
        <v>#REF!</v>
      </c>
      <c r="N21" s="98" t="e">
        <f t="shared" si="97"/>
        <v>#REF!</v>
      </c>
      <c r="O21" s="98" t="e">
        <f t="shared" si="97"/>
        <v>#REF!</v>
      </c>
      <c r="P21" s="98" t="e">
        <f t="shared" si="97"/>
        <v>#REF!</v>
      </c>
      <c r="Q21" s="98" t="e">
        <f t="shared" si="97"/>
        <v>#REF!</v>
      </c>
      <c r="R21" s="98" t="e">
        <f t="shared" si="97"/>
        <v>#REF!</v>
      </c>
      <c r="S21" s="98" t="e">
        <f t="shared" si="97"/>
        <v>#REF!</v>
      </c>
      <c r="T21" s="98" t="e">
        <f t="shared" si="97"/>
        <v>#REF!</v>
      </c>
      <c r="U21" s="98" t="e">
        <f t="shared" si="97"/>
        <v>#REF!</v>
      </c>
      <c r="V21" s="319" t="e">
        <f t="shared" ref="V21:AA21" si="98">-V20/V5</f>
        <v>#REF!</v>
      </c>
      <c r="W21" s="98" t="e">
        <f t="shared" si="98"/>
        <v>#REF!</v>
      </c>
      <c r="X21" s="98" t="e">
        <f t="shared" si="98"/>
        <v>#REF!</v>
      </c>
      <c r="Y21" s="98" t="e">
        <f t="shared" si="98"/>
        <v>#REF!</v>
      </c>
      <c r="Z21" s="98" t="e">
        <f t="shared" si="98"/>
        <v>#REF!</v>
      </c>
      <c r="AA21" s="98" t="e">
        <f t="shared" si="98"/>
        <v>#REF!</v>
      </c>
      <c r="AB21" s="98" t="e">
        <f t="shared" si="97"/>
        <v>#REF!</v>
      </c>
      <c r="AC21" s="319" t="e">
        <f t="shared" ref="AC21:AH21" si="99">-AC20/AC5</f>
        <v>#REF!</v>
      </c>
      <c r="AD21" s="98" t="e">
        <f t="shared" si="99"/>
        <v>#REF!</v>
      </c>
      <c r="AE21" s="98" t="e">
        <f t="shared" si="99"/>
        <v>#REF!</v>
      </c>
      <c r="AF21" s="98" t="e">
        <f t="shared" si="99"/>
        <v>#REF!</v>
      </c>
      <c r="AG21" s="98" t="e">
        <f t="shared" si="99"/>
        <v>#REF!</v>
      </c>
      <c r="AH21" s="98" t="e">
        <f t="shared" si="99"/>
        <v>#REF!</v>
      </c>
      <c r="AI21" s="98" t="e">
        <f t="shared" si="97"/>
        <v>#REF!</v>
      </c>
      <c r="AJ21" s="319" t="e">
        <f t="shared" ref="AJ21:AO21" si="100">-AJ20/AJ5</f>
        <v>#REF!</v>
      </c>
      <c r="AK21" s="98" t="e">
        <f t="shared" si="100"/>
        <v>#REF!</v>
      </c>
      <c r="AL21" s="98" t="e">
        <f t="shared" si="100"/>
        <v>#REF!</v>
      </c>
      <c r="AM21" s="98" t="e">
        <f t="shared" si="100"/>
        <v>#REF!</v>
      </c>
      <c r="AN21" s="98" t="e">
        <f t="shared" si="100"/>
        <v>#REF!</v>
      </c>
      <c r="AO21" s="98" t="e">
        <f t="shared" si="100"/>
        <v>#REF!</v>
      </c>
      <c r="AP21" s="98" t="e">
        <f t="shared" si="97"/>
        <v>#REF!</v>
      </c>
      <c r="AQ21" s="319" t="e">
        <f t="shared" ref="AQ21:AV21" si="101">-AQ20/AQ5</f>
        <v>#REF!</v>
      </c>
      <c r="AR21" s="98" t="e">
        <f t="shared" si="101"/>
        <v>#REF!</v>
      </c>
      <c r="AS21" s="98" t="e">
        <f t="shared" si="101"/>
        <v>#REF!</v>
      </c>
      <c r="AT21" s="98" t="e">
        <f t="shared" si="101"/>
        <v>#REF!</v>
      </c>
      <c r="AU21" s="98" t="e">
        <f t="shared" si="101"/>
        <v>#REF!</v>
      </c>
      <c r="AV21" s="98" t="e">
        <f t="shared" si="101"/>
        <v>#REF!</v>
      </c>
      <c r="AW21" s="98" t="e">
        <f t="shared" si="97"/>
        <v>#REF!</v>
      </c>
      <c r="AX21" s="319" t="e">
        <f t="shared" si="97"/>
        <v>#REF!</v>
      </c>
      <c r="AY21" s="98" t="e">
        <f t="shared" si="97"/>
        <v>#REF!</v>
      </c>
      <c r="AZ21" s="98" t="e">
        <f t="shared" si="97"/>
        <v>#REF!</v>
      </c>
      <c r="BA21" s="98" t="e">
        <f t="shared" ref="BA21:BC21" si="102">-BA20/BA5</f>
        <v>#REF!</v>
      </c>
      <c r="BB21" s="98" t="e">
        <f t="shared" si="102"/>
        <v>#REF!</v>
      </c>
      <c r="BC21" s="98" t="e">
        <f t="shared" si="102"/>
        <v>#REF!</v>
      </c>
      <c r="BD21" s="363" t="e">
        <f t="shared" ref="BD21:BJ21" si="103">-BD20/BD5</f>
        <v>#REF!</v>
      </c>
      <c r="BE21" s="319" t="e">
        <f t="shared" si="103"/>
        <v>#REF!</v>
      </c>
      <c r="BF21" s="98" t="e">
        <f t="shared" si="103"/>
        <v>#REF!</v>
      </c>
      <c r="BG21" s="98" t="e">
        <f t="shared" si="103"/>
        <v>#REF!</v>
      </c>
      <c r="BH21" s="98" t="e">
        <f t="shared" si="103"/>
        <v>#REF!</v>
      </c>
      <c r="BI21" s="98" t="e">
        <f t="shared" si="103"/>
        <v>#REF!</v>
      </c>
      <c r="BJ21" s="98" t="e">
        <f t="shared" si="103"/>
        <v>#REF!</v>
      </c>
      <c r="BK21" s="363" t="e">
        <f t="shared" ref="BK21" si="104">-BK20/BK5</f>
        <v>#REF!</v>
      </c>
      <c r="BL21" s="98" t="e">
        <f t="shared" si="97"/>
        <v>#REF!</v>
      </c>
      <c r="BM21" s="98" t="e">
        <f t="shared" si="97"/>
        <v>#REF!</v>
      </c>
      <c r="BN21" s="98" t="e">
        <f t="shared" si="97"/>
        <v>#REF!</v>
      </c>
      <c r="BO21" s="98" t="e">
        <f t="shared" si="97"/>
        <v>#REF!</v>
      </c>
      <c r="BP21" s="98" t="e">
        <f t="shared" si="97"/>
        <v>#REF!</v>
      </c>
      <c r="BQ21" s="98" t="e">
        <f t="shared" si="97"/>
        <v>#REF!</v>
      </c>
      <c r="BR21" s="98" t="e">
        <f t="shared" si="97"/>
        <v>#REF!</v>
      </c>
      <c r="BT21" s="121"/>
    </row>
    <row r="22" spans="1:72" ht="13.8">
      <c r="A22" s="105" t="s">
        <v>164</v>
      </c>
      <c r="B22" s="180" t="s">
        <v>245</v>
      </c>
      <c r="C22" s="181"/>
      <c r="D22" s="146" t="e">
        <f>INDEX(#REF!, MATCH($A22,#REF!, 0), MATCH(D$4,#REF!, 0))</f>
        <v>#REF!</v>
      </c>
      <c r="E22" s="146" t="e">
        <f>INDEX(#REF!, MATCH($A22,#REF!, 0), MATCH(E$4,#REF!, 0))</f>
        <v>#REF!</v>
      </c>
      <c r="F22" s="146" t="e">
        <f>INDEX(#REF!, MATCH($A22,#REF!, 0), MATCH(F$4,#REF!, 0))</f>
        <v>#REF!</v>
      </c>
      <c r="G22" s="146" t="e">
        <f>INDEX(#REF!, MATCH($A22,#REF!, 0), MATCH(G$4,#REF!, 0))</f>
        <v>#REF!</v>
      </c>
      <c r="H22" s="146" t="e">
        <f>INDEX(#REF!, MATCH($A22,#REF!, 0), MATCH(H$4,#REF!, 0))</f>
        <v>#REF!</v>
      </c>
      <c r="I22" s="146" t="e">
        <f>INDEX(#REF!, MATCH($A22,#REF!, 0), MATCH(I$4,#REF!, 0))</f>
        <v>#REF!</v>
      </c>
      <c r="J22" s="146" t="e">
        <f>INDEX(#REF!, MATCH($A22,#REF!, 0), MATCH(J$4,#REF!, 0))</f>
        <v>#REF!</v>
      </c>
      <c r="K22" s="146" t="e">
        <f>INDEX(#REF!, MATCH($A22,#REF!, 0), MATCH(K$4,#REF!, 0))</f>
        <v>#REF!</v>
      </c>
      <c r="L22" s="146" t="e">
        <f>INDEX(#REF!, MATCH($A22,#REF!, 0), MATCH(L$4,#REF!, 0))</f>
        <v>#REF!</v>
      </c>
      <c r="M22" s="146" t="e">
        <f>INDEX(#REF!, MATCH($A22,#REF!, 0), MATCH(M$4,#REF!, 0))</f>
        <v>#REF!</v>
      </c>
      <c r="N22" s="146" t="e">
        <f>INDEX(#REF!, MATCH($A22,#REF!, 0), MATCH(N$4,#REF!, 0))</f>
        <v>#REF!</v>
      </c>
      <c r="O22" s="146" t="e">
        <f>INDEX(#REF!, MATCH($A22,#REF!, 0), MATCH(O$4,#REF!, 0))</f>
        <v>#REF!</v>
      </c>
      <c r="P22" s="146" t="e">
        <f>INDEX(#REF!, MATCH($A22,#REF!, 0), MATCH(P$4,#REF!, 0))</f>
        <v>#REF!</v>
      </c>
      <c r="Q22" s="146" t="e">
        <f>INDEX(#REF!, MATCH($A22,#REF!, 0), MATCH(Q$4,#REF!, 0))</f>
        <v>#REF!</v>
      </c>
      <c r="R22" s="146" t="e">
        <f>INDEX(#REF!, MATCH($A22,#REF!, 0), MATCH(R$4,#REF!, 0))</f>
        <v>#REF!</v>
      </c>
      <c r="S22" s="146" t="e">
        <f>INDEX(#REF!, MATCH($A22,#REF!, 0), MATCH(S$4,#REF!, 0))</f>
        <v>#REF!</v>
      </c>
      <c r="T22" s="146" t="e">
        <f>INDEX(#REF!, MATCH($A22,#REF!, 0), MATCH(T$4,#REF!, 0))</f>
        <v>#REF!</v>
      </c>
      <c r="U22" s="146" t="e">
        <f>INDEX(#REF!, MATCH($A22,#REF!, 0), MATCH(U$4,#REF!, 0))</f>
        <v>#REF!</v>
      </c>
      <c r="V22" s="320" t="e">
        <f>INDEX(#REF!, MATCH($A22,#REF!, 0), MATCH(V$4,#REF!, 0))</f>
        <v>#REF!</v>
      </c>
      <c r="W22" s="146" t="e">
        <f>INDEX(#REF!, MATCH($A22,#REF!, 0), MATCH(W$4,#REF!, 0))</f>
        <v>#REF!</v>
      </c>
      <c r="X22" s="146" t="e">
        <f>INDEX(#REF!, MATCH($A22,#REF!, 0), MATCH(X$4,#REF!, 0))</f>
        <v>#REF!</v>
      </c>
      <c r="Y22" s="146" t="e">
        <f>INDEX(#REF!, MATCH($A22,#REF!, 0), MATCH(Y$4,#REF!, 0))</f>
        <v>#REF!</v>
      </c>
      <c r="Z22" s="146" t="e">
        <f>INDEX(#REF!, MATCH($A22,#REF!, 0), MATCH(Z$4,#REF!, 0))</f>
        <v>#REF!</v>
      </c>
      <c r="AA22" s="146" t="e">
        <f>INDEX(#REF!, MATCH($A22,#REF!, 0), MATCH(AA$4,#REF!, 0))</f>
        <v>#REF!</v>
      </c>
      <c r="AB22" s="146" t="e">
        <f>INDEX(#REF!, MATCH($A22,#REF!, 0), MATCH(AB$4,#REF!, 0))</f>
        <v>#REF!</v>
      </c>
      <c r="AC22" s="320" t="e">
        <f>INDEX(#REF!, MATCH($A22,#REF!, 0), MATCH(AC$4,#REF!, 0))</f>
        <v>#REF!</v>
      </c>
      <c r="AD22" s="146" t="e">
        <f>INDEX(#REF!, MATCH($A22,#REF!, 0), MATCH(AD$4,#REF!, 0))</f>
        <v>#REF!</v>
      </c>
      <c r="AE22" s="146" t="e">
        <f>INDEX(#REF!, MATCH($A22,#REF!, 0), MATCH(AE$4,#REF!, 0))</f>
        <v>#REF!</v>
      </c>
      <c r="AF22" s="146" t="e">
        <f>INDEX(#REF!, MATCH($A22,#REF!, 0), MATCH(AF$4,#REF!, 0))</f>
        <v>#REF!</v>
      </c>
      <c r="AG22" s="146" t="e">
        <f>INDEX(#REF!, MATCH($A22,#REF!, 0), MATCH(AG$4,#REF!, 0))</f>
        <v>#REF!</v>
      </c>
      <c r="AH22" s="146" t="e">
        <f>INDEX(#REF!, MATCH($A22,#REF!, 0), MATCH(AH$4,#REF!, 0))</f>
        <v>#REF!</v>
      </c>
      <c r="AI22" s="146" t="e">
        <f>INDEX(#REF!, MATCH($A22,#REF!, 0), MATCH(AI$4,#REF!, 0))</f>
        <v>#REF!</v>
      </c>
      <c r="AJ22" s="320" t="e">
        <f>INDEX(#REF!, MATCH($A22,#REF!, 0), MATCH(AJ$4,#REF!, 0))</f>
        <v>#REF!</v>
      </c>
      <c r="AK22" s="146" t="e">
        <f>INDEX(#REF!, MATCH($A22,#REF!, 0), MATCH(AK$4,#REF!, 0))</f>
        <v>#REF!</v>
      </c>
      <c r="AL22" s="146" t="e">
        <f>INDEX(#REF!, MATCH($A22,#REF!, 0), MATCH(AL$4,#REF!, 0))</f>
        <v>#REF!</v>
      </c>
      <c r="AM22" s="146" t="e">
        <f>INDEX(#REF!, MATCH($A22,#REF!, 0), MATCH(AM$4,#REF!, 0))</f>
        <v>#REF!</v>
      </c>
      <c r="AN22" s="146" t="e">
        <f>INDEX(#REF!, MATCH($A22,#REF!, 0), MATCH(AN$4,#REF!, 0))</f>
        <v>#REF!</v>
      </c>
      <c r="AO22" s="146" t="e">
        <f>INDEX(#REF!, MATCH($A22,#REF!, 0), MATCH(AO$4,#REF!, 0))</f>
        <v>#REF!</v>
      </c>
      <c r="AP22" s="146" t="e">
        <f>INDEX(#REF!, MATCH($A22,#REF!, 0), MATCH(AP$4,#REF!, 0))</f>
        <v>#REF!</v>
      </c>
      <c r="AQ22" s="320" t="e">
        <f>INDEX(#REF!, MATCH($A22,#REF!, 0), MATCH(AQ$4,#REF!, 0))</f>
        <v>#REF!</v>
      </c>
      <c r="AR22" s="146" t="e">
        <f>INDEX(#REF!, MATCH($A22,#REF!, 0), MATCH(AR$4,#REF!, 0))</f>
        <v>#REF!</v>
      </c>
      <c r="AS22" s="146" t="e">
        <f>INDEX(#REF!, MATCH($A22,#REF!, 0), MATCH(AS$4,#REF!, 0))</f>
        <v>#REF!</v>
      </c>
      <c r="AT22" s="146" t="e">
        <f>INDEX(#REF!, MATCH($A22,#REF!, 0), MATCH(AT$4,#REF!, 0))</f>
        <v>#REF!</v>
      </c>
      <c r="AU22" s="146" t="e">
        <f>INDEX(#REF!, MATCH($A22,#REF!, 0), MATCH(AU$4,#REF!, 0))</f>
        <v>#REF!</v>
      </c>
      <c r="AV22" s="146" t="e">
        <f>INDEX(#REF!, MATCH($A22,#REF!, 0), MATCH(AV$4,#REF!, 0))</f>
        <v>#REF!</v>
      </c>
      <c r="AW22" s="146" t="e">
        <f>INDEX(#REF!, MATCH($A22,#REF!, 0), MATCH(AW$4,#REF!, 0))</f>
        <v>#REF!</v>
      </c>
      <c r="AX22" s="320" t="e">
        <f>INDEX(#REF!, MATCH($A22,#REF!, 0), MATCH(AX$4,#REF!, 0))</f>
        <v>#REF!</v>
      </c>
      <c r="AY22" s="146" t="e">
        <f>INDEX(#REF!, MATCH($A22,#REF!, 0), MATCH(AY$4,#REF!, 0))</f>
        <v>#REF!</v>
      </c>
      <c r="AZ22" s="146" t="e">
        <f>INDEX(#REF!, MATCH($A22,#REF!, 0), MATCH(AZ$4,#REF!, 0))</f>
        <v>#REF!</v>
      </c>
      <c r="BA22" s="146" t="e">
        <f>INDEX(#REF!, MATCH($A22,#REF!, 0), MATCH(BA$4,#REF!, 0))</f>
        <v>#REF!</v>
      </c>
      <c r="BB22" s="146" t="e">
        <f>INDEX(#REF!, MATCH($A22,#REF!, 0), MATCH(BB$4,#REF!, 0))</f>
        <v>#REF!</v>
      </c>
      <c r="BC22" s="146" t="e">
        <f>INDEX(#REF!, MATCH($A22,#REF!, 0), MATCH(BC$4,#REF!, 0))</f>
        <v>#REF!</v>
      </c>
      <c r="BD22" s="364" t="e">
        <f>INDEX(#REF!, MATCH($A22,#REF!, 0), MATCH(BD$4,#REF!, 0))</f>
        <v>#REF!</v>
      </c>
      <c r="BE22" s="320" t="e">
        <f>INDEX(#REF!, MATCH($A22,#REF!, 0), MATCH(BE$4,#REF!, 0))</f>
        <v>#REF!</v>
      </c>
      <c r="BF22" s="146" t="e">
        <f>INDEX(#REF!, MATCH($A22,#REF!, 0), MATCH(BF$4,#REF!, 0))</f>
        <v>#REF!</v>
      </c>
      <c r="BG22" s="146" t="e">
        <f>INDEX(#REF!, MATCH($A22,#REF!, 0), MATCH(BG$4,#REF!, 0))</f>
        <v>#REF!</v>
      </c>
      <c r="BH22" s="146" t="e">
        <f>INDEX(#REF!, MATCH($A22,#REF!, 0), MATCH(BH$4,#REF!, 0))</f>
        <v>#REF!</v>
      </c>
      <c r="BI22" s="146" t="e">
        <f>INDEX(#REF!, MATCH($A22,#REF!, 0), MATCH(BI$4,#REF!, 0))</f>
        <v>#REF!</v>
      </c>
      <c r="BJ22" s="146" t="e">
        <f>INDEX(#REF!, MATCH($A22,#REF!, 0), MATCH(BJ$4,#REF!, 0))</f>
        <v>#REF!</v>
      </c>
      <c r="BK22" s="364" t="e">
        <f>INDEX(#REF!, MATCH($A22,#REF!, 0), MATCH(BK$4,#REF!, 0))</f>
        <v>#REF!</v>
      </c>
      <c r="BL22" s="146" t="e">
        <f>INDEX(#REF!, MATCH($BT22,#REF!, 0), MATCH(BL$4,#REF!, 0))</f>
        <v>#REF!</v>
      </c>
      <c r="BM22" s="146" t="e">
        <f>INDEX(#REF!, MATCH($BT22,#REF!, 0), MATCH(BM$4,#REF!, 0))</f>
        <v>#REF!</v>
      </c>
      <c r="BN22" s="146" t="e">
        <f>INDEX(#REF!, MATCH($BT22,#REF!, 0), MATCH(BN$4,#REF!, 0))</f>
        <v>#REF!</v>
      </c>
      <c r="BO22" s="146" t="e">
        <f>INDEX(#REF!, MATCH($BT22,#REF!, 0), MATCH(BO$4,#REF!, 0))</f>
        <v>#REF!</v>
      </c>
      <c r="BP22" s="146" t="e">
        <f>INDEX(#REF!, MATCH($BT22,#REF!, 0), MATCH(BP$4,#REF!, 0))</f>
        <v>#REF!</v>
      </c>
      <c r="BQ22" s="146" t="e">
        <f>INDEX(#REF!, MATCH($BT22,#REF!, 0), MATCH(BQ$4,#REF!, 0))</f>
        <v>#REF!</v>
      </c>
      <c r="BR22" s="146" t="e">
        <f>INDEX(#REF!, MATCH($BT22,#REF!, 0), MATCH(BR$4,#REF!, 0))</f>
        <v>#REF!</v>
      </c>
      <c r="BT22" s="105" t="s">
        <v>164</v>
      </c>
    </row>
    <row r="23" spans="1:72" ht="13.8">
      <c r="A23" s="105" t="s">
        <v>241</v>
      </c>
      <c r="B23" s="180" t="s">
        <v>246</v>
      </c>
      <c r="C23" s="181"/>
      <c r="D23" s="146" t="e">
        <f>INDEX(#REF!, MATCH($A23,#REF!, 0), MATCH(D$4,#REF!, 0))</f>
        <v>#REF!</v>
      </c>
      <c r="E23" s="146" t="e">
        <f>INDEX(#REF!, MATCH($A23,#REF!, 0), MATCH(E$4,#REF!, 0))</f>
        <v>#REF!</v>
      </c>
      <c r="F23" s="146" t="e">
        <f>INDEX(#REF!, MATCH($A23,#REF!, 0), MATCH(F$4,#REF!, 0))</f>
        <v>#REF!</v>
      </c>
      <c r="G23" s="146" t="e">
        <f>INDEX(#REF!, MATCH($A23,#REF!, 0), MATCH(G$4,#REF!, 0))</f>
        <v>#REF!</v>
      </c>
      <c r="H23" s="146" t="e">
        <f>INDEX(#REF!, MATCH($A23,#REF!, 0), MATCH(H$4,#REF!, 0))</f>
        <v>#REF!</v>
      </c>
      <c r="I23" s="146" t="e">
        <f>INDEX(#REF!, MATCH($A23,#REF!, 0), MATCH(I$4,#REF!, 0))</f>
        <v>#REF!</v>
      </c>
      <c r="J23" s="146" t="e">
        <f>INDEX(#REF!, MATCH($A23,#REF!, 0), MATCH(J$4,#REF!, 0))</f>
        <v>#REF!</v>
      </c>
      <c r="K23" s="146" t="e">
        <f>INDEX(#REF!, MATCH($A23,#REF!, 0), MATCH(K$4,#REF!, 0))</f>
        <v>#REF!</v>
      </c>
      <c r="L23" s="146" t="e">
        <f>INDEX(#REF!, MATCH($A23,#REF!, 0), MATCH(L$4,#REF!, 0))</f>
        <v>#REF!</v>
      </c>
      <c r="M23" s="146" t="e">
        <f>INDEX(#REF!, MATCH($A23,#REF!, 0), MATCH(M$4,#REF!, 0))</f>
        <v>#REF!</v>
      </c>
      <c r="N23" s="146" t="e">
        <f>INDEX(#REF!, MATCH($A23,#REF!, 0), MATCH(N$4,#REF!, 0))</f>
        <v>#REF!</v>
      </c>
      <c r="O23" s="146" t="e">
        <f>INDEX(#REF!, MATCH($A23,#REF!, 0), MATCH(O$4,#REF!, 0))</f>
        <v>#REF!</v>
      </c>
      <c r="P23" s="146" t="e">
        <f>INDEX(#REF!, MATCH($A23,#REF!, 0), MATCH(P$4,#REF!, 0))</f>
        <v>#REF!</v>
      </c>
      <c r="Q23" s="146" t="e">
        <f>INDEX(#REF!, MATCH($A23,#REF!, 0), MATCH(Q$4,#REF!, 0))</f>
        <v>#REF!</v>
      </c>
      <c r="R23" s="146" t="e">
        <f>INDEX(#REF!, MATCH($A23,#REF!, 0), MATCH(R$4,#REF!, 0))</f>
        <v>#REF!</v>
      </c>
      <c r="S23" s="146" t="e">
        <f>INDEX(#REF!, MATCH($A23,#REF!, 0), MATCH(S$4,#REF!, 0))</f>
        <v>#REF!</v>
      </c>
      <c r="T23" s="146" t="e">
        <f>INDEX(#REF!, MATCH($A23,#REF!, 0), MATCH(T$4,#REF!, 0))</f>
        <v>#REF!</v>
      </c>
      <c r="U23" s="146" t="e">
        <f>INDEX(#REF!, MATCH($A23,#REF!, 0), MATCH(U$4,#REF!, 0))</f>
        <v>#REF!</v>
      </c>
      <c r="V23" s="320" t="e">
        <f>INDEX(#REF!, MATCH($A23,#REF!, 0), MATCH(V$4,#REF!, 0))</f>
        <v>#REF!</v>
      </c>
      <c r="W23" s="146" t="e">
        <f>INDEX(#REF!, MATCH($A23,#REF!, 0), MATCH(W$4,#REF!, 0))</f>
        <v>#REF!</v>
      </c>
      <c r="X23" s="146" t="e">
        <f>INDEX(#REF!, MATCH($A23,#REF!, 0), MATCH(X$4,#REF!, 0))</f>
        <v>#REF!</v>
      </c>
      <c r="Y23" s="146" t="e">
        <f>INDEX(#REF!, MATCH($A23,#REF!, 0), MATCH(Y$4,#REF!, 0))</f>
        <v>#REF!</v>
      </c>
      <c r="Z23" s="146" t="e">
        <f>INDEX(#REF!, MATCH($A23,#REF!, 0), MATCH(Z$4,#REF!, 0))</f>
        <v>#REF!</v>
      </c>
      <c r="AA23" s="146" t="e">
        <f>INDEX(#REF!, MATCH($A23,#REF!, 0), MATCH(AA$4,#REF!, 0))</f>
        <v>#REF!</v>
      </c>
      <c r="AB23" s="146" t="e">
        <f>INDEX(#REF!, MATCH($A23,#REF!, 0), MATCH(AB$4,#REF!, 0))</f>
        <v>#REF!</v>
      </c>
      <c r="AC23" s="320" t="e">
        <f>INDEX(#REF!, MATCH($A23,#REF!, 0), MATCH(AC$4,#REF!, 0))</f>
        <v>#REF!</v>
      </c>
      <c r="AD23" s="146" t="e">
        <f>INDEX(#REF!, MATCH($A23,#REF!, 0), MATCH(AD$4,#REF!, 0))</f>
        <v>#REF!</v>
      </c>
      <c r="AE23" s="146" t="e">
        <f>INDEX(#REF!, MATCH($A23,#REF!, 0), MATCH(AE$4,#REF!, 0))</f>
        <v>#REF!</v>
      </c>
      <c r="AF23" s="146" t="e">
        <f>INDEX(#REF!, MATCH($A23,#REF!, 0), MATCH(AF$4,#REF!, 0))</f>
        <v>#REF!</v>
      </c>
      <c r="AG23" s="146" t="e">
        <f>INDEX(#REF!, MATCH($A23,#REF!, 0), MATCH(AG$4,#REF!, 0))</f>
        <v>#REF!</v>
      </c>
      <c r="AH23" s="146" t="e">
        <f>INDEX(#REF!, MATCH($A23,#REF!, 0), MATCH(AH$4,#REF!, 0))</f>
        <v>#REF!</v>
      </c>
      <c r="AI23" s="146" t="e">
        <f>INDEX(#REF!, MATCH($A23,#REF!, 0), MATCH(AI$4,#REF!, 0))</f>
        <v>#REF!</v>
      </c>
      <c r="AJ23" s="320" t="e">
        <f>INDEX(#REF!, MATCH($A23,#REF!, 0), MATCH(AJ$4,#REF!, 0))</f>
        <v>#REF!</v>
      </c>
      <c r="AK23" s="146" t="e">
        <f>INDEX(#REF!, MATCH($A23,#REF!, 0), MATCH(AK$4,#REF!, 0))</f>
        <v>#REF!</v>
      </c>
      <c r="AL23" s="146" t="e">
        <f>INDEX(#REF!, MATCH($A23,#REF!, 0), MATCH(AL$4,#REF!, 0))</f>
        <v>#REF!</v>
      </c>
      <c r="AM23" s="146" t="e">
        <f>INDEX(#REF!, MATCH($A23,#REF!, 0), MATCH(AM$4,#REF!, 0))</f>
        <v>#REF!</v>
      </c>
      <c r="AN23" s="146" t="e">
        <f>INDEX(#REF!, MATCH($A23,#REF!, 0), MATCH(AN$4,#REF!, 0))</f>
        <v>#REF!</v>
      </c>
      <c r="AO23" s="146" t="e">
        <f>INDEX(#REF!, MATCH($A23,#REF!, 0), MATCH(AO$4,#REF!, 0))</f>
        <v>#REF!</v>
      </c>
      <c r="AP23" s="146" t="e">
        <f>INDEX(#REF!, MATCH($A23,#REF!, 0), MATCH(AP$4,#REF!, 0))</f>
        <v>#REF!</v>
      </c>
      <c r="AQ23" s="320" t="e">
        <f>INDEX(#REF!, MATCH($A23,#REF!, 0), MATCH(AQ$4,#REF!, 0))</f>
        <v>#REF!</v>
      </c>
      <c r="AR23" s="146" t="e">
        <f>INDEX(#REF!, MATCH($A23,#REF!, 0), MATCH(AR$4,#REF!, 0))</f>
        <v>#REF!</v>
      </c>
      <c r="AS23" s="146" t="e">
        <f>INDEX(#REF!, MATCH($A23,#REF!, 0), MATCH(AS$4,#REF!, 0))</f>
        <v>#REF!</v>
      </c>
      <c r="AT23" s="146" t="e">
        <f>INDEX(#REF!, MATCH($A23,#REF!, 0), MATCH(AT$4,#REF!, 0))</f>
        <v>#REF!</v>
      </c>
      <c r="AU23" s="146" t="e">
        <f>INDEX(#REF!, MATCH($A23,#REF!, 0), MATCH(AU$4,#REF!, 0))</f>
        <v>#REF!</v>
      </c>
      <c r="AV23" s="146" t="e">
        <f>INDEX(#REF!, MATCH($A23,#REF!, 0), MATCH(AV$4,#REF!, 0))</f>
        <v>#REF!</v>
      </c>
      <c r="AW23" s="146" t="e">
        <f>INDEX(#REF!, MATCH($A23,#REF!, 0), MATCH(AW$4,#REF!, 0))</f>
        <v>#REF!</v>
      </c>
      <c r="AX23" s="320" t="e">
        <f>INDEX(#REF!, MATCH($A23,#REF!, 0), MATCH(AX$4,#REF!, 0))</f>
        <v>#REF!</v>
      </c>
      <c r="AY23" s="146" t="e">
        <f>INDEX(#REF!, MATCH($A23,#REF!, 0), MATCH(AY$4,#REF!, 0))</f>
        <v>#REF!</v>
      </c>
      <c r="AZ23" s="146" t="e">
        <f>INDEX(#REF!, MATCH($A23,#REF!, 0), MATCH(AZ$4,#REF!, 0))</f>
        <v>#REF!</v>
      </c>
      <c r="BA23" s="146" t="e">
        <f>INDEX(#REF!, MATCH($A23,#REF!, 0), MATCH(BA$4,#REF!, 0))</f>
        <v>#REF!</v>
      </c>
      <c r="BB23" s="146" t="e">
        <f>INDEX(#REF!, MATCH($A23,#REF!, 0), MATCH(BB$4,#REF!, 0))</f>
        <v>#REF!</v>
      </c>
      <c r="BC23" s="146" t="e">
        <f>INDEX(#REF!, MATCH($A23,#REF!, 0), MATCH(BC$4,#REF!, 0))</f>
        <v>#REF!</v>
      </c>
      <c r="BD23" s="364" t="e">
        <f>INDEX(#REF!, MATCH($A23,#REF!, 0), MATCH(BD$4,#REF!, 0))</f>
        <v>#REF!</v>
      </c>
      <c r="BE23" s="320" t="e">
        <f>INDEX(#REF!, MATCH($A23,#REF!, 0), MATCH(BE$4,#REF!, 0))</f>
        <v>#REF!</v>
      </c>
      <c r="BF23" s="146" t="e">
        <f>INDEX(#REF!, MATCH($A23,#REF!, 0), MATCH(BF$4,#REF!, 0))</f>
        <v>#REF!</v>
      </c>
      <c r="BG23" s="146" t="e">
        <f>INDEX(#REF!, MATCH($A23,#REF!, 0), MATCH(BG$4,#REF!, 0))</f>
        <v>#REF!</v>
      </c>
      <c r="BH23" s="146" t="e">
        <f>INDEX(#REF!, MATCH($A23,#REF!, 0), MATCH(BH$4,#REF!, 0))</f>
        <v>#REF!</v>
      </c>
      <c r="BI23" s="146" t="e">
        <f>INDEX(#REF!, MATCH($A23,#REF!, 0), MATCH(BI$4,#REF!, 0))</f>
        <v>#REF!</v>
      </c>
      <c r="BJ23" s="146" t="e">
        <f>INDEX(#REF!, MATCH($A23,#REF!, 0), MATCH(BJ$4,#REF!, 0))</f>
        <v>#REF!</v>
      </c>
      <c r="BK23" s="364" t="e">
        <f>INDEX(#REF!, MATCH($A23,#REF!, 0), MATCH(BK$4,#REF!, 0))</f>
        <v>#REF!</v>
      </c>
      <c r="BL23" s="146" t="e">
        <f>INDEX(#REF!, MATCH($BT23,#REF!, 0), MATCH(BL$4,#REF!, 0))</f>
        <v>#REF!</v>
      </c>
      <c r="BM23" s="146" t="e">
        <f>INDEX(#REF!, MATCH($BT23,#REF!, 0), MATCH(BM$4,#REF!, 0))</f>
        <v>#REF!</v>
      </c>
      <c r="BN23" s="146" t="e">
        <f>INDEX(#REF!, MATCH($BT23,#REF!, 0), MATCH(BN$4,#REF!, 0))</f>
        <v>#REF!</v>
      </c>
      <c r="BO23" s="146" t="e">
        <f>INDEX(#REF!, MATCH($BT23,#REF!, 0), MATCH(BO$4,#REF!, 0))</f>
        <v>#REF!</v>
      </c>
      <c r="BP23" s="146" t="e">
        <f>INDEX(#REF!, MATCH($BT23,#REF!, 0), MATCH(BP$4,#REF!, 0))</f>
        <v>#REF!</v>
      </c>
      <c r="BQ23" s="146" t="e">
        <f>INDEX(#REF!, MATCH($BT23,#REF!, 0), MATCH(BQ$4,#REF!, 0))</f>
        <v>#REF!</v>
      </c>
      <c r="BR23" s="146" t="e">
        <f>INDEX(#REF!, MATCH($BT23,#REF!, 0), MATCH(BR$4,#REF!, 0))</f>
        <v>#REF!</v>
      </c>
      <c r="BT23" s="105" t="s">
        <v>241</v>
      </c>
    </row>
    <row r="24" spans="1:72">
      <c r="A24" s="130"/>
      <c r="B24" s="117" t="s">
        <v>25</v>
      </c>
      <c r="C24" s="117"/>
      <c r="D24" s="146" t="e">
        <f t="shared" ref="D24:P24" si="105">D14+D16+D20+D18</f>
        <v>#REF!</v>
      </c>
      <c r="E24" s="146" t="e">
        <f t="shared" si="105"/>
        <v>#REF!</v>
      </c>
      <c r="F24" s="146" t="e">
        <f t="shared" si="105"/>
        <v>#REF!</v>
      </c>
      <c r="G24" s="146" t="e">
        <f t="shared" si="105"/>
        <v>#REF!</v>
      </c>
      <c r="H24" s="146" t="e">
        <f t="shared" si="105"/>
        <v>#REF!</v>
      </c>
      <c r="I24" s="146" t="e">
        <f t="shared" si="105"/>
        <v>#REF!</v>
      </c>
      <c r="J24" s="146" t="e">
        <f t="shared" si="105"/>
        <v>#REF!</v>
      </c>
      <c r="K24" s="146" t="e">
        <f t="shared" si="105"/>
        <v>#REF!</v>
      </c>
      <c r="L24" s="146" t="e">
        <f t="shared" si="105"/>
        <v>#REF!</v>
      </c>
      <c r="M24" s="146" t="e">
        <f t="shared" si="105"/>
        <v>#REF!</v>
      </c>
      <c r="N24" s="146" t="e">
        <f t="shared" si="105"/>
        <v>#REF!</v>
      </c>
      <c r="O24" s="146" t="e">
        <f t="shared" si="105"/>
        <v>#REF!</v>
      </c>
      <c r="P24" s="146" t="e">
        <f t="shared" si="105"/>
        <v>#REF!</v>
      </c>
      <c r="Q24" s="146" t="e">
        <f t="shared" ref="Q24:BR24" si="106">Q14+Q16+Q20+Q18</f>
        <v>#REF!</v>
      </c>
      <c r="R24" s="146" t="e">
        <f t="shared" si="106"/>
        <v>#REF!</v>
      </c>
      <c r="S24" s="146" t="e">
        <f t="shared" si="106"/>
        <v>#REF!</v>
      </c>
      <c r="T24" s="146" t="e">
        <f t="shared" si="106"/>
        <v>#REF!</v>
      </c>
      <c r="U24" s="146" t="e">
        <f t="shared" si="106"/>
        <v>#REF!</v>
      </c>
      <c r="V24" s="320" t="e">
        <f t="shared" ref="V24:AA24" si="107">V14+V16+V20+V18</f>
        <v>#REF!</v>
      </c>
      <c r="W24" s="146" t="e">
        <f t="shared" si="107"/>
        <v>#REF!</v>
      </c>
      <c r="X24" s="146" t="e">
        <f t="shared" si="107"/>
        <v>#REF!</v>
      </c>
      <c r="Y24" s="146" t="e">
        <f t="shared" si="107"/>
        <v>#REF!</v>
      </c>
      <c r="Z24" s="146" t="e">
        <f t="shared" si="107"/>
        <v>#REF!</v>
      </c>
      <c r="AA24" s="146" t="e">
        <f t="shared" si="107"/>
        <v>#REF!</v>
      </c>
      <c r="AB24" s="146" t="e">
        <f t="shared" si="106"/>
        <v>#REF!</v>
      </c>
      <c r="AC24" s="320" t="e">
        <f t="shared" ref="AC24:AH24" si="108">AC14+AC16+AC20+AC18</f>
        <v>#REF!</v>
      </c>
      <c r="AD24" s="146" t="e">
        <f t="shared" si="108"/>
        <v>#REF!</v>
      </c>
      <c r="AE24" s="146" t="e">
        <f t="shared" si="108"/>
        <v>#REF!</v>
      </c>
      <c r="AF24" s="146" t="e">
        <f t="shared" si="108"/>
        <v>#REF!</v>
      </c>
      <c r="AG24" s="146" t="e">
        <f t="shared" si="108"/>
        <v>#REF!</v>
      </c>
      <c r="AH24" s="146" t="e">
        <f t="shared" si="108"/>
        <v>#REF!</v>
      </c>
      <c r="AI24" s="146" t="e">
        <f t="shared" si="106"/>
        <v>#REF!</v>
      </c>
      <c r="AJ24" s="320" t="e">
        <f t="shared" ref="AJ24:AO24" si="109">AJ14+AJ16+AJ20+AJ18</f>
        <v>#REF!</v>
      </c>
      <c r="AK24" s="146" t="e">
        <f t="shared" si="109"/>
        <v>#REF!</v>
      </c>
      <c r="AL24" s="146" t="e">
        <f t="shared" si="109"/>
        <v>#REF!</v>
      </c>
      <c r="AM24" s="146" t="e">
        <f t="shared" si="109"/>
        <v>#REF!</v>
      </c>
      <c r="AN24" s="146" t="e">
        <f t="shared" si="109"/>
        <v>#REF!</v>
      </c>
      <c r="AO24" s="146" t="e">
        <f t="shared" si="109"/>
        <v>#REF!</v>
      </c>
      <c r="AP24" s="146" t="e">
        <f t="shared" si="106"/>
        <v>#REF!</v>
      </c>
      <c r="AQ24" s="320" t="e">
        <f t="shared" ref="AQ24:AV24" si="110">AQ14+AQ16+AQ20+AQ18</f>
        <v>#REF!</v>
      </c>
      <c r="AR24" s="146" t="e">
        <f t="shared" si="110"/>
        <v>#REF!</v>
      </c>
      <c r="AS24" s="146" t="e">
        <f t="shared" si="110"/>
        <v>#REF!</v>
      </c>
      <c r="AT24" s="146" t="e">
        <f t="shared" si="110"/>
        <v>#REF!</v>
      </c>
      <c r="AU24" s="146" t="e">
        <f t="shared" si="110"/>
        <v>#REF!</v>
      </c>
      <c r="AV24" s="146" t="e">
        <f t="shared" si="110"/>
        <v>#REF!</v>
      </c>
      <c r="AW24" s="146" t="e">
        <f t="shared" si="106"/>
        <v>#REF!</v>
      </c>
      <c r="AX24" s="320" t="e">
        <f t="shared" si="106"/>
        <v>#REF!</v>
      </c>
      <c r="AY24" s="146" t="e">
        <f t="shared" si="106"/>
        <v>#REF!</v>
      </c>
      <c r="AZ24" s="146" t="e">
        <f t="shared" si="106"/>
        <v>#REF!</v>
      </c>
      <c r="BA24" s="146" t="e">
        <f t="shared" ref="BA24:BC24" si="111">BA14+BA16+BA20+BA18</f>
        <v>#REF!</v>
      </c>
      <c r="BB24" s="146" t="e">
        <f t="shared" si="111"/>
        <v>#REF!</v>
      </c>
      <c r="BC24" s="146" t="e">
        <f t="shared" si="111"/>
        <v>#REF!</v>
      </c>
      <c r="BD24" s="364" t="e">
        <f t="shared" ref="BD24:BJ24" si="112">BD14+BD16+BD20+BD18</f>
        <v>#REF!</v>
      </c>
      <c r="BE24" s="320" t="e">
        <f t="shared" si="112"/>
        <v>#REF!</v>
      </c>
      <c r="BF24" s="146" t="e">
        <f t="shared" si="112"/>
        <v>#REF!</v>
      </c>
      <c r="BG24" s="146" t="e">
        <f t="shared" si="112"/>
        <v>#REF!</v>
      </c>
      <c r="BH24" s="146" t="e">
        <f t="shared" si="112"/>
        <v>#REF!</v>
      </c>
      <c r="BI24" s="146" t="e">
        <f t="shared" si="112"/>
        <v>#REF!</v>
      </c>
      <c r="BJ24" s="146" t="e">
        <f t="shared" si="112"/>
        <v>#REF!</v>
      </c>
      <c r="BK24" s="364" t="e">
        <f t="shared" ref="BK24" si="113">BK14+BK16+BK20+BK18</f>
        <v>#REF!</v>
      </c>
      <c r="BL24" s="146" t="e">
        <f t="shared" si="106"/>
        <v>#REF!</v>
      </c>
      <c r="BM24" s="146" t="e">
        <f t="shared" si="106"/>
        <v>#REF!</v>
      </c>
      <c r="BN24" s="146" t="e">
        <f t="shared" si="106"/>
        <v>#REF!</v>
      </c>
      <c r="BO24" s="146" t="e">
        <f t="shared" si="106"/>
        <v>#REF!</v>
      </c>
      <c r="BP24" s="146" t="e">
        <f t="shared" si="106"/>
        <v>#REF!</v>
      </c>
      <c r="BQ24" s="146" t="e">
        <f t="shared" si="106"/>
        <v>#REF!</v>
      </c>
      <c r="BR24" s="146" t="e">
        <f t="shared" si="106"/>
        <v>#REF!</v>
      </c>
      <c r="BT24" s="121"/>
    </row>
    <row r="25" spans="1:72" ht="12.6">
      <c r="A25" s="130"/>
      <c r="B25" s="144" t="s">
        <v>22</v>
      </c>
      <c r="C25" s="144"/>
      <c r="D25" s="98" t="e">
        <f t="shared" ref="D25:BR25" si="114">-D24/D5</f>
        <v>#REF!</v>
      </c>
      <c r="E25" s="98" t="e">
        <f t="shared" si="114"/>
        <v>#REF!</v>
      </c>
      <c r="F25" s="98" t="e">
        <f t="shared" si="114"/>
        <v>#REF!</v>
      </c>
      <c r="G25" s="98" t="e">
        <f t="shared" si="114"/>
        <v>#REF!</v>
      </c>
      <c r="H25" s="98" t="e">
        <f t="shared" si="114"/>
        <v>#REF!</v>
      </c>
      <c r="I25" s="98" t="e">
        <f t="shared" si="114"/>
        <v>#REF!</v>
      </c>
      <c r="J25" s="98" t="e">
        <f t="shared" si="114"/>
        <v>#REF!</v>
      </c>
      <c r="K25" s="98" t="e">
        <f t="shared" si="114"/>
        <v>#REF!</v>
      </c>
      <c r="L25" s="98" t="e">
        <f t="shared" si="114"/>
        <v>#REF!</v>
      </c>
      <c r="M25" s="98" t="e">
        <f t="shared" si="114"/>
        <v>#REF!</v>
      </c>
      <c r="N25" s="98" t="e">
        <f t="shared" si="114"/>
        <v>#REF!</v>
      </c>
      <c r="O25" s="98" t="e">
        <f t="shared" si="114"/>
        <v>#REF!</v>
      </c>
      <c r="P25" s="98" t="e">
        <f t="shared" si="114"/>
        <v>#REF!</v>
      </c>
      <c r="Q25" s="98" t="e">
        <f t="shared" si="114"/>
        <v>#REF!</v>
      </c>
      <c r="R25" s="98" t="e">
        <f t="shared" si="114"/>
        <v>#REF!</v>
      </c>
      <c r="S25" s="98" t="e">
        <f t="shared" si="114"/>
        <v>#REF!</v>
      </c>
      <c r="T25" s="98" t="e">
        <f t="shared" si="114"/>
        <v>#REF!</v>
      </c>
      <c r="U25" s="98" t="e">
        <f t="shared" si="114"/>
        <v>#REF!</v>
      </c>
      <c r="V25" s="319" t="e">
        <f t="shared" ref="V25:AA25" si="115">-V24/V5</f>
        <v>#REF!</v>
      </c>
      <c r="W25" s="98" t="e">
        <f t="shared" si="115"/>
        <v>#REF!</v>
      </c>
      <c r="X25" s="98" t="e">
        <f t="shared" si="115"/>
        <v>#REF!</v>
      </c>
      <c r="Y25" s="98" t="e">
        <f t="shared" si="115"/>
        <v>#REF!</v>
      </c>
      <c r="Z25" s="98" t="e">
        <f t="shared" si="115"/>
        <v>#REF!</v>
      </c>
      <c r="AA25" s="98" t="e">
        <f t="shared" si="115"/>
        <v>#REF!</v>
      </c>
      <c r="AB25" s="98" t="e">
        <f t="shared" si="114"/>
        <v>#REF!</v>
      </c>
      <c r="AC25" s="319" t="e">
        <f t="shared" ref="AC25:AH25" si="116">-AC24/AC5</f>
        <v>#REF!</v>
      </c>
      <c r="AD25" s="98" t="e">
        <f t="shared" si="116"/>
        <v>#REF!</v>
      </c>
      <c r="AE25" s="98" t="e">
        <f t="shared" si="116"/>
        <v>#REF!</v>
      </c>
      <c r="AF25" s="98" t="e">
        <f t="shared" si="116"/>
        <v>#REF!</v>
      </c>
      <c r="AG25" s="98" t="e">
        <f t="shared" si="116"/>
        <v>#REF!</v>
      </c>
      <c r="AH25" s="98" t="e">
        <f t="shared" si="116"/>
        <v>#REF!</v>
      </c>
      <c r="AI25" s="98" t="e">
        <f t="shared" si="114"/>
        <v>#REF!</v>
      </c>
      <c r="AJ25" s="319" t="e">
        <f t="shared" ref="AJ25:AO25" si="117">-AJ24/AJ5</f>
        <v>#REF!</v>
      </c>
      <c r="AK25" s="98" t="e">
        <f t="shared" si="117"/>
        <v>#REF!</v>
      </c>
      <c r="AL25" s="98" t="e">
        <f t="shared" si="117"/>
        <v>#REF!</v>
      </c>
      <c r="AM25" s="98" t="e">
        <f t="shared" si="117"/>
        <v>#REF!</v>
      </c>
      <c r="AN25" s="98" t="e">
        <f t="shared" si="117"/>
        <v>#REF!</v>
      </c>
      <c r="AO25" s="98" t="e">
        <f t="shared" si="117"/>
        <v>#REF!</v>
      </c>
      <c r="AP25" s="98" t="e">
        <f t="shared" si="114"/>
        <v>#REF!</v>
      </c>
      <c r="AQ25" s="319" t="e">
        <f t="shared" ref="AQ25:AV25" si="118">-AQ24/AQ5</f>
        <v>#REF!</v>
      </c>
      <c r="AR25" s="98" t="e">
        <f t="shared" si="118"/>
        <v>#REF!</v>
      </c>
      <c r="AS25" s="98" t="e">
        <f t="shared" si="118"/>
        <v>#REF!</v>
      </c>
      <c r="AT25" s="98" t="e">
        <f t="shared" si="118"/>
        <v>#REF!</v>
      </c>
      <c r="AU25" s="98" t="e">
        <f t="shared" si="118"/>
        <v>#REF!</v>
      </c>
      <c r="AV25" s="98" t="e">
        <f t="shared" si="118"/>
        <v>#REF!</v>
      </c>
      <c r="AW25" s="98" t="e">
        <f t="shared" si="114"/>
        <v>#REF!</v>
      </c>
      <c r="AX25" s="319" t="e">
        <f t="shared" si="114"/>
        <v>#REF!</v>
      </c>
      <c r="AY25" s="98" t="e">
        <f t="shared" si="114"/>
        <v>#REF!</v>
      </c>
      <c r="AZ25" s="98" t="e">
        <f t="shared" si="114"/>
        <v>#REF!</v>
      </c>
      <c r="BA25" s="98" t="e">
        <f t="shared" ref="BA25:BC25" si="119">-BA24/BA5</f>
        <v>#REF!</v>
      </c>
      <c r="BB25" s="98" t="e">
        <f t="shared" si="119"/>
        <v>#REF!</v>
      </c>
      <c r="BC25" s="98" t="e">
        <f t="shared" si="119"/>
        <v>#REF!</v>
      </c>
      <c r="BD25" s="363" t="e">
        <f t="shared" ref="BD25:BJ25" si="120">-BD24/BD5</f>
        <v>#REF!</v>
      </c>
      <c r="BE25" s="319" t="e">
        <f t="shared" si="120"/>
        <v>#REF!</v>
      </c>
      <c r="BF25" s="98" t="e">
        <f t="shared" si="120"/>
        <v>#REF!</v>
      </c>
      <c r="BG25" s="98" t="e">
        <f t="shared" si="120"/>
        <v>#REF!</v>
      </c>
      <c r="BH25" s="98" t="e">
        <f t="shared" si="120"/>
        <v>#REF!</v>
      </c>
      <c r="BI25" s="98" t="e">
        <f t="shared" si="120"/>
        <v>#REF!</v>
      </c>
      <c r="BJ25" s="98" t="e">
        <f t="shared" si="120"/>
        <v>#REF!</v>
      </c>
      <c r="BK25" s="363" t="e">
        <f t="shared" ref="BK25" si="121">-BK24/BK5</f>
        <v>#REF!</v>
      </c>
      <c r="BL25" s="98" t="e">
        <f t="shared" si="114"/>
        <v>#REF!</v>
      </c>
      <c r="BM25" s="98" t="e">
        <f t="shared" si="114"/>
        <v>#REF!</v>
      </c>
      <c r="BN25" s="98" t="e">
        <f t="shared" si="114"/>
        <v>#REF!</v>
      </c>
      <c r="BO25" s="98" t="e">
        <f t="shared" si="114"/>
        <v>#REF!</v>
      </c>
      <c r="BP25" s="98" t="e">
        <f t="shared" si="114"/>
        <v>#REF!</v>
      </c>
      <c r="BQ25" s="98" t="e">
        <f t="shared" si="114"/>
        <v>#REF!</v>
      </c>
      <c r="BR25" s="98" t="e">
        <f t="shared" si="114"/>
        <v>#REF!</v>
      </c>
      <c r="BT25" s="121"/>
    </row>
    <row r="26" spans="1:72" ht="12.6">
      <c r="A26" s="130"/>
      <c r="B26" s="144"/>
      <c r="C26" s="144"/>
      <c r="D26" s="98"/>
      <c r="E26" s="98"/>
      <c r="F26" s="98"/>
      <c r="G26" s="98"/>
      <c r="H26" s="98"/>
      <c r="I26" s="98"/>
      <c r="J26" s="98"/>
      <c r="K26" s="98"/>
      <c r="L26" s="98"/>
      <c r="M26" s="98"/>
      <c r="N26" s="98"/>
      <c r="O26" s="98"/>
      <c r="P26" s="98"/>
      <c r="Q26" s="98"/>
      <c r="R26" s="98"/>
      <c r="S26" s="98"/>
      <c r="T26" s="98"/>
      <c r="U26" s="98"/>
      <c r="V26" s="319"/>
      <c r="W26" s="98"/>
      <c r="X26" s="98"/>
      <c r="Y26" s="98"/>
      <c r="Z26" s="98"/>
      <c r="AA26" s="98"/>
      <c r="AB26" s="98"/>
      <c r="AC26" s="319"/>
      <c r="AD26" s="98"/>
      <c r="AE26" s="98"/>
      <c r="AF26" s="98"/>
      <c r="AG26" s="98"/>
      <c r="AH26" s="98"/>
      <c r="AI26" s="98"/>
      <c r="AJ26" s="319"/>
      <c r="AK26" s="98"/>
      <c r="AL26" s="98"/>
      <c r="AM26" s="98"/>
      <c r="AN26" s="98"/>
      <c r="AO26" s="98"/>
      <c r="AP26" s="98"/>
      <c r="AQ26" s="319"/>
      <c r="AR26" s="98"/>
      <c r="AS26" s="98"/>
      <c r="AT26" s="98"/>
      <c r="AU26" s="98"/>
      <c r="AV26" s="98"/>
      <c r="AW26" s="98"/>
      <c r="AX26" s="319"/>
      <c r="AY26" s="98"/>
      <c r="AZ26" s="98"/>
      <c r="BA26" s="98"/>
      <c r="BB26" s="98"/>
      <c r="BC26" s="98"/>
      <c r="BD26" s="363"/>
      <c r="BE26" s="319"/>
      <c r="BF26" s="98"/>
      <c r="BG26" s="98"/>
      <c r="BH26" s="98"/>
      <c r="BI26" s="98"/>
      <c r="BJ26" s="98"/>
      <c r="BK26" s="363"/>
      <c r="BL26" s="98"/>
      <c r="BM26" s="98"/>
      <c r="BN26" s="119"/>
      <c r="BO26" s="119"/>
      <c r="BP26" s="98"/>
      <c r="BQ26" s="119"/>
      <c r="BR26" s="98"/>
      <c r="BT26" s="121"/>
    </row>
    <row r="27" spans="1:72">
      <c r="A27" s="130"/>
      <c r="B27" s="117" t="s">
        <v>26</v>
      </c>
      <c r="C27" s="117"/>
      <c r="D27" s="146" t="e">
        <f t="shared" ref="D27:T27" si="122">D31+D29</f>
        <v>#REF!</v>
      </c>
      <c r="E27" s="146" t="e">
        <f t="shared" si="122"/>
        <v>#REF!</v>
      </c>
      <c r="F27" s="146" t="e">
        <f t="shared" si="122"/>
        <v>#REF!</v>
      </c>
      <c r="G27" s="146" t="e">
        <f t="shared" si="122"/>
        <v>#REF!</v>
      </c>
      <c r="H27" s="146" t="e">
        <f t="shared" si="122"/>
        <v>#REF!</v>
      </c>
      <c r="I27" s="146" t="e">
        <f t="shared" si="122"/>
        <v>#REF!</v>
      </c>
      <c r="J27" s="146" t="e">
        <f t="shared" si="122"/>
        <v>#REF!</v>
      </c>
      <c r="K27" s="146" t="e">
        <f t="shared" si="122"/>
        <v>#REF!</v>
      </c>
      <c r="L27" s="146" t="e">
        <f t="shared" si="122"/>
        <v>#REF!</v>
      </c>
      <c r="M27" s="146" t="e">
        <f t="shared" si="122"/>
        <v>#REF!</v>
      </c>
      <c r="N27" s="146" t="e">
        <f t="shared" si="122"/>
        <v>#REF!</v>
      </c>
      <c r="O27" s="146" t="e">
        <f t="shared" si="122"/>
        <v>#REF!</v>
      </c>
      <c r="P27" s="146" t="e">
        <f t="shared" si="122"/>
        <v>#REF!</v>
      </c>
      <c r="Q27" s="146" t="e">
        <f t="shared" si="122"/>
        <v>#REF!</v>
      </c>
      <c r="R27" s="146" t="e">
        <f t="shared" si="122"/>
        <v>#REF!</v>
      </c>
      <c r="S27" s="146" t="e">
        <f t="shared" si="122"/>
        <v>#REF!</v>
      </c>
      <c r="T27" s="146" t="e">
        <f t="shared" si="122"/>
        <v>#REF!</v>
      </c>
      <c r="U27" s="146" t="e">
        <f>U31+U29</f>
        <v>#REF!</v>
      </c>
      <c r="V27" s="320" t="e">
        <f t="shared" ref="V27:AA27" si="123">V31+V29</f>
        <v>#REF!</v>
      </c>
      <c r="W27" s="146" t="e">
        <f t="shared" si="123"/>
        <v>#REF!</v>
      </c>
      <c r="X27" s="146" t="e">
        <f t="shared" si="123"/>
        <v>#REF!</v>
      </c>
      <c r="Y27" s="146" t="e">
        <f t="shared" si="123"/>
        <v>#REF!</v>
      </c>
      <c r="Z27" s="146" t="e">
        <f t="shared" si="123"/>
        <v>#REF!</v>
      </c>
      <c r="AA27" s="146" t="e">
        <f t="shared" si="123"/>
        <v>#REF!</v>
      </c>
      <c r="AB27" s="146" t="e">
        <f t="shared" ref="AB27:BR27" si="124">AB31+AB29</f>
        <v>#REF!</v>
      </c>
      <c r="AC27" s="320" t="e">
        <f t="shared" ref="AC27:AH27" si="125">AC31+AC29</f>
        <v>#REF!</v>
      </c>
      <c r="AD27" s="146" t="e">
        <f t="shared" si="125"/>
        <v>#REF!</v>
      </c>
      <c r="AE27" s="146" t="e">
        <f t="shared" si="125"/>
        <v>#REF!</v>
      </c>
      <c r="AF27" s="146" t="e">
        <f t="shared" si="125"/>
        <v>#REF!</v>
      </c>
      <c r="AG27" s="146" t="e">
        <f t="shared" si="125"/>
        <v>#REF!</v>
      </c>
      <c r="AH27" s="146" t="e">
        <f t="shared" si="125"/>
        <v>#REF!</v>
      </c>
      <c r="AI27" s="146" t="e">
        <f t="shared" si="124"/>
        <v>#REF!</v>
      </c>
      <c r="AJ27" s="320" t="e">
        <f t="shared" ref="AJ27:AO27" si="126">AJ31+AJ29</f>
        <v>#REF!</v>
      </c>
      <c r="AK27" s="146" t="e">
        <f t="shared" si="126"/>
        <v>#REF!</v>
      </c>
      <c r="AL27" s="146" t="e">
        <f t="shared" si="126"/>
        <v>#REF!</v>
      </c>
      <c r="AM27" s="146" t="e">
        <f t="shared" si="126"/>
        <v>#REF!</v>
      </c>
      <c r="AN27" s="146" t="e">
        <f t="shared" si="126"/>
        <v>#REF!</v>
      </c>
      <c r="AO27" s="146" t="e">
        <f t="shared" si="126"/>
        <v>#REF!</v>
      </c>
      <c r="AP27" s="146" t="e">
        <f t="shared" si="124"/>
        <v>#REF!</v>
      </c>
      <c r="AQ27" s="320" t="e">
        <f t="shared" ref="AQ27:AV27" si="127">AQ31+AQ29</f>
        <v>#REF!</v>
      </c>
      <c r="AR27" s="146" t="e">
        <f t="shared" si="127"/>
        <v>#REF!</v>
      </c>
      <c r="AS27" s="146" t="e">
        <f t="shared" si="127"/>
        <v>#REF!</v>
      </c>
      <c r="AT27" s="146" t="e">
        <f t="shared" si="127"/>
        <v>#REF!</v>
      </c>
      <c r="AU27" s="146" t="e">
        <f t="shared" si="127"/>
        <v>#REF!</v>
      </c>
      <c r="AV27" s="146" t="e">
        <f t="shared" si="127"/>
        <v>#REF!</v>
      </c>
      <c r="AW27" s="146" t="e">
        <f t="shared" si="124"/>
        <v>#REF!</v>
      </c>
      <c r="AX27" s="320" t="e">
        <f t="shared" si="124"/>
        <v>#REF!</v>
      </c>
      <c r="AY27" s="146" t="e">
        <f t="shared" si="124"/>
        <v>#REF!</v>
      </c>
      <c r="AZ27" s="146" t="e">
        <f t="shared" si="124"/>
        <v>#REF!</v>
      </c>
      <c r="BA27" s="146" t="e">
        <f t="shared" ref="BA27:BC27" si="128">BA31+BA29</f>
        <v>#REF!</v>
      </c>
      <c r="BB27" s="146" t="e">
        <f t="shared" si="128"/>
        <v>#REF!</v>
      </c>
      <c r="BC27" s="146" t="e">
        <f t="shared" si="128"/>
        <v>#REF!</v>
      </c>
      <c r="BD27" s="364" t="e">
        <f t="shared" ref="BD27:BJ27" si="129">BD31+BD29</f>
        <v>#REF!</v>
      </c>
      <c r="BE27" s="320" t="e">
        <f t="shared" si="129"/>
        <v>#REF!</v>
      </c>
      <c r="BF27" s="146" t="e">
        <f t="shared" si="129"/>
        <v>#REF!</v>
      </c>
      <c r="BG27" s="146" t="e">
        <f t="shared" si="129"/>
        <v>#REF!</v>
      </c>
      <c r="BH27" s="146" t="e">
        <f t="shared" si="129"/>
        <v>#REF!</v>
      </c>
      <c r="BI27" s="146" t="e">
        <f t="shared" si="129"/>
        <v>#REF!</v>
      </c>
      <c r="BJ27" s="146" t="e">
        <f t="shared" si="129"/>
        <v>#REF!</v>
      </c>
      <c r="BK27" s="364" t="e">
        <f t="shared" ref="BK27" si="130">BK31+BK29</f>
        <v>#REF!</v>
      </c>
      <c r="BL27" s="146" t="e">
        <f t="shared" si="124"/>
        <v>#REF!</v>
      </c>
      <c r="BM27" s="146" t="e">
        <f t="shared" si="124"/>
        <v>#REF!</v>
      </c>
      <c r="BN27" s="146" t="e">
        <f t="shared" si="124"/>
        <v>#REF!</v>
      </c>
      <c r="BO27" s="146" t="e">
        <f t="shared" si="124"/>
        <v>#REF!</v>
      </c>
      <c r="BP27" s="146" t="e">
        <f t="shared" si="124"/>
        <v>#REF!</v>
      </c>
      <c r="BQ27" s="146" t="e">
        <f t="shared" si="124"/>
        <v>#REF!</v>
      </c>
      <c r="BR27" s="146" t="e">
        <f t="shared" si="124"/>
        <v>#REF!</v>
      </c>
      <c r="BT27" s="121"/>
    </row>
    <row r="28" spans="1:72" ht="12.6">
      <c r="A28" s="130"/>
      <c r="B28" s="144" t="s">
        <v>22</v>
      </c>
      <c r="C28" s="144"/>
      <c r="D28" s="131" t="e">
        <f t="shared" ref="D28:AI28" si="131">D27/D5</f>
        <v>#REF!</v>
      </c>
      <c r="E28" s="131" t="e">
        <f t="shared" si="131"/>
        <v>#REF!</v>
      </c>
      <c r="F28" s="131" t="e">
        <f t="shared" si="131"/>
        <v>#REF!</v>
      </c>
      <c r="G28" s="131" t="e">
        <f t="shared" si="131"/>
        <v>#REF!</v>
      </c>
      <c r="H28" s="131" t="e">
        <f t="shared" si="131"/>
        <v>#REF!</v>
      </c>
      <c r="I28" s="131" t="e">
        <f t="shared" si="131"/>
        <v>#REF!</v>
      </c>
      <c r="J28" s="131" t="e">
        <f t="shared" si="131"/>
        <v>#REF!</v>
      </c>
      <c r="K28" s="131" t="e">
        <f t="shared" si="131"/>
        <v>#REF!</v>
      </c>
      <c r="L28" s="131" t="e">
        <f t="shared" si="131"/>
        <v>#REF!</v>
      </c>
      <c r="M28" s="131" t="e">
        <f t="shared" si="131"/>
        <v>#REF!</v>
      </c>
      <c r="N28" s="131" t="e">
        <f t="shared" si="131"/>
        <v>#REF!</v>
      </c>
      <c r="O28" s="131" t="e">
        <f t="shared" si="131"/>
        <v>#REF!</v>
      </c>
      <c r="P28" s="131" t="e">
        <f t="shared" si="131"/>
        <v>#REF!</v>
      </c>
      <c r="Q28" s="131" t="e">
        <f t="shared" si="131"/>
        <v>#REF!</v>
      </c>
      <c r="R28" s="131" t="e">
        <f t="shared" si="131"/>
        <v>#REF!</v>
      </c>
      <c r="S28" s="131" t="e">
        <f t="shared" si="131"/>
        <v>#REF!</v>
      </c>
      <c r="T28" s="131" t="e">
        <f t="shared" si="131"/>
        <v>#REF!</v>
      </c>
      <c r="U28" s="131" t="e">
        <f t="shared" si="131"/>
        <v>#REF!</v>
      </c>
      <c r="V28" s="324" t="e">
        <f t="shared" si="131"/>
        <v>#REF!</v>
      </c>
      <c r="W28" s="131" t="e">
        <f t="shared" si="131"/>
        <v>#REF!</v>
      </c>
      <c r="X28" s="131" t="e">
        <f t="shared" si="131"/>
        <v>#REF!</v>
      </c>
      <c r="Y28" s="131" t="e">
        <f t="shared" si="131"/>
        <v>#REF!</v>
      </c>
      <c r="Z28" s="131" t="e">
        <f t="shared" si="131"/>
        <v>#REF!</v>
      </c>
      <c r="AA28" s="131" t="e">
        <f t="shared" si="131"/>
        <v>#REF!</v>
      </c>
      <c r="AB28" s="131" t="e">
        <f t="shared" si="131"/>
        <v>#REF!</v>
      </c>
      <c r="AC28" s="324" t="e">
        <f t="shared" si="131"/>
        <v>#REF!</v>
      </c>
      <c r="AD28" s="131" t="e">
        <f t="shared" si="131"/>
        <v>#REF!</v>
      </c>
      <c r="AE28" s="131" t="e">
        <f t="shared" si="131"/>
        <v>#REF!</v>
      </c>
      <c r="AF28" s="131" t="e">
        <f t="shared" si="131"/>
        <v>#REF!</v>
      </c>
      <c r="AG28" s="131" t="e">
        <f t="shared" si="131"/>
        <v>#REF!</v>
      </c>
      <c r="AH28" s="131" t="e">
        <f t="shared" si="131"/>
        <v>#REF!</v>
      </c>
      <c r="AI28" s="131" t="e">
        <f t="shared" si="131"/>
        <v>#REF!</v>
      </c>
      <c r="AJ28" s="324" t="e">
        <f t="shared" ref="AJ28:BO28" si="132">AJ27/AJ5</f>
        <v>#REF!</v>
      </c>
      <c r="AK28" s="131" t="e">
        <f t="shared" si="132"/>
        <v>#REF!</v>
      </c>
      <c r="AL28" s="131" t="e">
        <f t="shared" si="132"/>
        <v>#REF!</v>
      </c>
      <c r="AM28" s="131" t="e">
        <f t="shared" si="132"/>
        <v>#REF!</v>
      </c>
      <c r="AN28" s="131" t="e">
        <f t="shared" si="132"/>
        <v>#REF!</v>
      </c>
      <c r="AO28" s="131" t="e">
        <f t="shared" si="132"/>
        <v>#REF!</v>
      </c>
      <c r="AP28" s="131" t="e">
        <f t="shared" si="132"/>
        <v>#REF!</v>
      </c>
      <c r="AQ28" s="324" t="e">
        <f t="shared" si="132"/>
        <v>#REF!</v>
      </c>
      <c r="AR28" s="131" t="e">
        <f t="shared" si="132"/>
        <v>#REF!</v>
      </c>
      <c r="AS28" s="131" t="e">
        <f t="shared" si="132"/>
        <v>#REF!</v>
      </c>
      <c r="AT28" s="131" t="e">
        <f t="shared" si="132"/>
        <v>#REF!</v>
      </c>
      <c r="AU28" s="131" t="e">
        <f t="shared" si="132"/>
        <v>#REF!</v>
      </c>
      <c r="AV28" s="131" t="e">
        <f t="shared" si="132"/>
        <v>#REF!</v>
      </c>
      <c r="AW28" s="131" t="e">
        <f t="shared" si="132"/>
        <v>#REF!</v>
      </c>
      <c r="AX28" s="324" t="e">
        <f t="shared" si="132"/>
        <v>#REF!</v>
      </c>
      <c r="AY28" s="131" t="e">
        <f t="shared" si="132"/>
        <v>#REF!</v>
      </c>
      <c r="AZ28" s="131" t="e">
        <f t="shared" si="132"/>
        <v>#REF!</v>
      </c>
      <c r="BA28" s="131" t="e">
        <f t="shared" si="132"/>
        <v>#REF!</v>
      </c>
      <c r="BB28" s="131" t="e">
        <f t="shared" si="132"/>
        <v>#REF!</v>
      </c>
      <c r="BC28" s="131" t="e">
        <f t="shared" si="132"/>
        <v>#REF!</v>
      </c>
      <c r="BD28" s="368" t="e">
        <f t="shared" si="132"/>
        <v>#REF!</v>
      </c>
      <c r="BE28" s="324" t="e">
        <f t="shared" ref="BE28:BK28" si="133">BE27/BE5</f>
        <v>#REF!</v>
      </c>
      <c r="BF28" s="131" t="e">
        <f t="shared" si="133"/>
        <v>#REF!</v>
      </c>
      <c r="BG28" s="131" t="e">
        <f t="shared" si="133"/>
        <v>#REF!</v>
      </c>
      <c r="BH28" s="131" t="e">
        <f t="shared" si="133"/>
        <v>#REF!</v>
      </c>
      <c r="BI28" s="131" t="e">
        <f t="shared" si="133"/>
        <v>#REF!</v>
      </c>
      <c r="BJ28" s="131" t="e">
        <f t="shared" si="133"/>
        <v>#REF!</v>
      </c>
      <c r="BK28" s="368" t="e">
        <f t="shared" si="133"/>
        <v>#REF!</v>
      </c>
      <c r="BL28" s="131" t="e">
        <f t="shared" si="132"/>
        <v>#REF!</v>
      </c>
      <c r="BM28" s="131" t="e">
        <f t="shared" si="132"/>
        <v>#REF!</v>
      </c>
      <c r="BN28" s="131" t="e">
        <f t="shared" si="132"/>
        <v>#REF!</v>
      </c>
      <c r="BO28" s="131" t="e">
        <f t="shared" si="132"/>
        <v>#REF!</v>
      </c>
      <c r="BP28" s="131" t="e">
        <f t="shared" ref="BP28:BR28" si="134">BP27/BP5</f>
        <v>#REF!</v>
      </c>
      <c r="BQ28" s="131" t="e">
        <f t="shared" si="134"/>
        <v>#REF!</v>
      </c>
      <c r="BR28" s="131" t="e">
        <f t="shared" si="134"/>
        <v>#REF!</v>
      </c>
      <c r="BT28" s="121"/>
    </row>
    <row r="29" spans="1:72" s="93" customFormat="1" ht="11.4">
      <c r="B29" s="93" t="s">
        <v>99</v>
      </c>
      <c r="D29" s="93" t="e">
        <f t="shared" ref="D29:P29" si="135">D190</f>
        <v>#REF!</v>
      </c>
      <c r="E29" s="93" t="e">
        <f t="shared" si="135"/>
        <v>#REF!</v>
      </c>
      <c r="F29" s="93" t="e">
        <f t="shared" si="135"/>
        <v>#REF!</v>
      </c>
      <c r="G29" s="93" t="e">
        <f t="shared" si="135"/>
        <v>#REF!</v>
      </c>
      <c r="H29" s="93" t="e">
        <f t="shared" si="135"/>
        <v>#REF!</v>
      </c>
      <c r="I29" s="93" t="e">
        <f t="shared" si="135"/>
        <v>#REF!</v>
      </c>
      <c r="J29" s="93" t="e">
        <f t="shared" si="135"/>
        <v>#REF!</v>
      </c>
      <c r="K29" s="93" t="e">
        <f t="shared" si="135"/>
        <v>#REF!</v>
      </c>
      <c r="L29" s="93" t="e">
        <f t="shared" si="135"/>
        <v>#REF!</v>
      </c>
      <c r="M29" s="93" t="e">
        <f t="shared" si="135"/>
        <v>#REF!</v>
      </c>
      <c r="N29" s="93" t="e">
        <f t="shared" si="135"/>
        <v>#REF!</v>
      </c>
      <c r="O29" s="93" t="e">
        <f t="shared" si="135"/>
        <v>#REF!</v>
      </c>
      <c r="P29" s="93" t="e">
        <f t="shared" si="135"/>
        <v>#REF!</v>
      </c>
      <c r="Q29" s="93" t="e">
        <f t="shared" ref="Q29:X29" si="136">Q190</f>
        <v>#REF!</v>
      </c>
      <c r="R29" s="93" t="e">
        <f t="shared" si="136"/>
        <v>#REF!</v>
      </c>
      <c r="S29" s="93" t="e">
        <f t="shared" si="136"/>
        <v>#REF!</v>
      </c>
      <c r="T29" s="93" t="e">
        <f t="shared" si="136"/>
        <v>#REF!</v>
      </c>
      <c r="U29" s="93" t="e">
        <f t="shared" si="136"/>
        <v>#REF!</v>
      </c>
      <c r="V29" s="141">
        <f t="shared" si="136"/>
        <v>0</v>
      </c>
      <c r="W29" s="93">
        <f t="shared" si="136"/>
        <v>0</v>
      </c>
      <c r="X29" s="93">
        <f t="shared" si="136"/>
        <v>0</v>
      </c>
      <c r="Y29" s="93">
        <f t="shared" ref="Y29:AA29" si="137">Y190</f>
        <v>0</v>
      </c>
      <c r="Z29" s="93">
        <f t="shared" si="137"/>
        <v>0</v>
      </c>
      <c r="AA29" s="93">
        <f t="shared" si="137"/>
        <v>0</v>
      </c>
      <c r="AB29" s="93" t="e">
        <f>AB190</f>
        <v>#REF!</v>
      </c>
      <c r="AC29" s="141">
        <f>AC190</f>
        <v>0</v>
      </c>
      <c r="AD29" s="93">
        <f>AD190</f>
        <v>0</v>
      </c>
      <c r="AE29" s="93">
        <f>AE190</f>
        <v>0</v>
      </c>
      <c r="AF29" s="93">
        <f t="shared" ref="AF29:AH29" si="138">AF190</f>
        <v>0</v>
      </c>
      <c r="AG29" s="93">
        <f t="shared" si="138"/>
        <v>0</v>
      </c>
      <c r="AH29" s="93">
        <f t="shared" si="138"/>
        <v>0</v>
      </c>
      <c r="AI29" s="93" t="e">
        <f>AI190</f>
        <v>#REF!</v>
      </c>
      <c r="AJ29" s="141">
        <f>AJ190</f>
        <v>0</v>
      </c>
      <c r="AK29" s="93">
        <f>AK190</f>
        <v>0</v>
      </c>
      <c r="AL29" s="93">
        <f>AL190</f>
        <v>0</v>
      </c>
      <c r="AM29" s="93">
        <f t="shared" ref="AM29:AO29" si="139">AM190</f>
        <v>0</v>
      </c>
      <c r="AN29" s="93">
        <f t="shared" si="139"/>
        <v>0</v>
      </c>
      <c r="AO29" s="93">
        <f t="shared" si="139"/>
        <v>0</v>
      </c>
      <c r="AP29" s="93" t="e">
        <f>AP190</f>
        <v>#REF!</v>
      </c>
      <c r="AQ29" s="141">
        <f>AQ190</f>
        <v>0</v>
      </c>
      <c r="AR29" s="93">
        <f>AR190</f>
        <v>0</v>
      </c>
      <c r="AS29" s="93">
        <f>AS190</f>
        <v>0</v>
      </c>
      <c r="AT29" s="93">
        <f t="shared" ref="AT29:AV29" si="140">AT190</f>
        <v>0</v>
      </c>
      <c r="AU29" s="93">
        <f t="shared" si="140"/>
        <v>0</v>
      </c>
      <c r="AV29" s="93">
        <f t="shared" si="140"/>
        <v>0</v>
      </c>
      <c r="AW29" s="93" t="e">
        <f>AW190</f>
        <v>#REF!</v>
      </c>
      <c r="AX29" s="141">
        <f>AX190</f>
        <v>0</v>
      </c>
      <c r="AY29" s="93">
        <f>AY190</f>
        <v>0</v>
      </c>
      <c r="AZ29" s="93">
        <f>AZ190</f>
        <v>0</v>
      </c>
      <c r="BA29" s="93">
        <f t="shared" ref="BA29:BC29" si="141">BA190</f>
        <v>0</v>
      </c>
      <c r="BB29" s="93">
        <f t="shared" si="141"/>
        <v>0</v>
      </c>
      <c r="BC29" s="93">
        <f t="shared" si="141"/>
        <v>0</v>
      </c>
      <c r="BD29" s="139" t="e">
        <f t="shared" ref="BD29" si="142">BD190</f>
        <v>#REF!</v>
      </c>
      <c r="BE29" s="141">
        <f>BE190</f>
        <v>0</v>
      </c>
      <c r="BF29" s="93">
        <f>BF190</f>
        <v>0</v>
      </c>
      <c r="BG29" s="93">
        <f>BG190</f>
        <v>0</v>
      </c>
      <c r="BH29" s="93">
        <f t="shared" ref="BH29:BK29" si="143">BH190</f>
        <v>0</v>
      </c>
      <c r="BI29" s="93">
        <f t="shared" si="143"/>
        <v>0</v>
      </c>
      <c r="BJ29" s="93">
        <f t="shared" si="143"/>
        <v>0</v>
      </c>
      <c r="BK29" s="139" t="e">
        <f t="shared" si="143"/>
        <v>#REF!</v>
      </c>
      <c r="BL29" s="93" t="e">
        <f t="shared" ref="BL29:BR29" si="144">BL190</f>
        <v>#REF!</v>
      </c>
      <c r="BM29" s="93" t="e">
        <f t="shared" si="144"/>
        <v>#REF!</v>
      </c>
      <c r="BN29" s="93" t="e">
        <f t="shared" si="144"/>
        <v>#REF!</v>
      </c>
      <c r="BO29" s="93" t="e">
        <f t="shared" si="144"/>
        <v>#REF!</v>
      </c>
      <c r="BP29" s="93" t="e">
        <f t="shared" si="144"/>
        <v>#REF!</v>
      </c>
      <c r="BQ29" s="93" t="e">
        <f t="shared" si="144"/>
        <v>#REF!</v>
      </c>
      <c r="BR29" s="93" t="e">
        <f t="shared" si="144"/>
        <v>#REF!</v>
      </c>
    </row>
    <row r="30" spans="1:72" s="119" customFormat="1" ht="12.6">
      <c r="A30" s="130"/>
      <c r="B30" s="144"/>
      <c r="C30" s="144"/>
      <c r="D30" s="98"/>
      <c r="E30" s="98"/>
      <c r="F30" s="98"/>
      <c r="G30" s="98"/>
      <c r="H30" s="98"/>
      <c r="I30" s="98"/>
      <c r="J30" s="98"/>
      <c r="K30" s="98"/>
      <c r="L30" s="98"/>
      <c r="M30" s="98"/>
      <c r="N30" s="98"/>
      <c r="O30" s="98"/>
      <c r="P30" s="98"/>
      <c r="Q30" s="98"/>
      <c r="R30" s="98"/>
      <c r="S30" s="98"/>
      <c r="T30" s="98"/>
      <c r="U30" s="98"/>
      <c r="V30" s="319"/>
      <c r="W30" s="98"/>
      <c r="X30" s="98"/>
      <c r="Y30" s="98"/>
      <c r="Z30" s="98"/>
      <c r="AA30" s="98"/>
      <c r="AB30" s="98"/>
      <c r="AC30" s="319"/>
      <c r="AD30" s="98"/>
      <c r="AE30" s="98"/>
      <c r="AF30" s="98"/>
      <c r="AG30" s="98"/>
      <c r="AH30" s="98"/>
      <c r="AI30" s="98"/>
      <c r="AJ30" s="319"/>
      <c r="AK30" s="98"/>
      <c r="AL30" s="98"/>
      <c r="AM30" s="98"/>
      <c r="AN30" s="98"/>
      <c r="AO30" s="98"/>
      <c r="AP30" s="98"/>
      <c r="AQ30" s="319"/>
      <c r="AR30" s="98"/>
      <c r="AS30" s="98"/>
      <c r="AT30" s="98"/>
      <c r="AU30" s="98"/>
      <c r="AV30" s="98"/>
      <c r="AW30" s="98"/>
      <c r="AX30" s="319"/>
      <c r="AY30" s="98"/>
      <c r="AZ30" s="98"/>
      <c r="BA30" s="98"/>
      <c r="BB30" s="98"/>
      <c r="BC30" s="98"/>
      <c r="BD30" s="363"/>
      <c r="BE30" s="319"/>
      <c r="BF30" s="98"/>
      <c r="BG30" s="98"/>
      <c r="BH30" s="98"/>
      <c r="BI30" s="98"/>
      <c r="BJ30" s="98"/>
      <c r="BK30" s="363"/>
      <c r="BL30" s="98"/>
      <c r="BM30" s="98"/>
      <c r="BP30" s="98"/>
      <c r="BR30" s="98"/>
      <c r="BT30" s="121"/>
    </row>
    <row r="31" spans="1:72">
      <c r="A31" s="177"/>
      <c r="B31" s="117" t="s">
        <v>28</v>
      </c>
      <c r="C31" s="117"/>
      <c r="D31" s="146" t="e">
        <f t="shared" ref="D31:AI31" si="145">D11-D24</f>
        <v>#REF!</v>
      </c>
      <c r="E31" s="146" t="e">
        <f t="shared" si="145"/>
        <v>#REF!</v>
      </c>
      <c r="F31" s="146" t="e">
        <f t="shared" si="145"/>
        <v>#REF!</v>
      </c>
      <c r="G31" s="146" t="e">
        <f t="shared" si="145"/>
        <v>#REF!</v>
      </c>
      <c r="H31" s="146" t="e">
        <f t="shared" si="145"/>
        <v>#REF!</v>
      </c>
      <c r="I31" s="146" t="e">
        <f t="shared" si="145"/>
        <v>#REF!</v>
      </c>
      <c r="J31" s="146" t="e">
        <f t="shared" si="145"/>
        <v>#REF!</v>
      </c>
      <c r="K31" s="146" t="e">
        <f t="shared" si="145"/>
        <v>#REF!</v>
      </c>
      <c r="L31" s="146" t="e">
        <f t="shared" si="145"/>
        <v>#REF!</v>
      </c>
      <c r="M31" s="146" t="e">
        <f t="shared" si="145"/>
        <v>#REF!</v>
      </c>
      <c r="N31" s="146" t="e">
        <f t="shared" si="145"/>
        <v>#REF!</v>
      </c>
      <c r="O31" s="146" t="e">
        <f t="shared" si="145"/>
        <v>#REF!</v>
      </c>
      <c r="P31" s="146" t="e">
        <f t="shared" si="145"/>
        <v>#REF!</v>
      </c>
      <c r="Q31" s="146" t="e">
        <f t="shared" si="145"/>
        <v>#REF!</v>
      </c>
      <c r="R31" s="146" t="e">
        <f t="shared" si="145"/>
        <v>#REF!</v>
      </c>
      <c r="S31" s="146" t="e">
        <f t="shared" si="145"/>
        <v>#REF!</v>
      </c>
      <c r="T31" s="146" t="e">
        <f t="shared" si="145"/>
        <v>#REF!</v>
      </c>
      <c r="U31" s="146" t="e">
        <f t="shared" si="145"/>
        <v>#REF!</v>
      </c>
      <c r="V31" s="320" t="e">
        <f t="shared" si="145"/>
        <v>#REF!</v>
      </c>
      <c r="W31" s="146" t="e">
        <f t="shared" si="145"/>
        <v>#REF!</v>
      </c>
      <c r="X31" s="146" t="e">
        <f t="shared" si="145"/>
        <v>#REF!</v>
      </c>
      <c r="Y31" s="146" t="e">
        <f t="shared" si="145"/>
        <v>#REF!</v>
      </c>
      <c r="Z31" s="146" t="e">
        <f t="shared" si="145"/>
        <v>#REF!</v>
      </c>
      <c r="AA31" s="146" t="e">
        <f t="shared" si="145"/>
        <v>#REF!</v>
      </c>
      <c r="AB31" s="146" t="e">
        <f t="shared" si="145"/>
        <v>#REF!</v>
      </c>
      <c r="AC31" s="320" t="e">
        <f t="shared" si="145"/>
        <v>#REF!</v>
      </c>
      <c r="AD31" s="146" t="e">
        <f t="shared" si="145"/>
        <v>#REF!</v>
      </c>
      <c r="AE31" s="146" t="e">
        <f t="shared" si="145"/>
        <v>#REF!</v>
      </c>
      <c r="AF31" s="146" t="e">
        <f t="shared" si="145"/>
        <v>#REF!</v>
      </c>
      <c r="AG31" s="146" t="e">
        <f t="shared" si="145"/>
        <v>#REF!</v>
      </c>
      <c r="AH31" s="146" t="e">
        <f t="shared" si="145"/>
        <v>#REF!</v>
      </c>
      <c r="AI31" s="146" t="e">
        <f t="shared" si="145"/>
        <v>#REF!</v>
      </c>
      <c r="AJ31" s="320" t="e">
        <f t="shared" ref="AJ31:BR31" si="146">AJ11-AJ24</f>
        <v>#REF!</v>
      </c>
      <c r="AK31" s="146" t="e">
        <f t="shared" si="146"/>
        <v>#REF!</v>
      </c>
      <c r="AL31" s="146" t="e">
        <f t="shared" si="146"/>
        <v>#REF!</v>
      </c>
      <c r="AM31" s="146" t="e">
        <f t="shared" si="146"/>
        <v>#REF!</v>
      </c>
      <c r="AN31" s="146" t="e">
        <f t="shared" si="146"/>
        <v>#REF!</v>
      </c>
      <c r="AO31" s="146" t="e">
        <f t="shared" si="146"/>
        <v>#REF!</v>
      </c>
      <c r="AP31" s="146" t="e">
        <f t="shared" si="146"/>
        <v>#REF!</v>
      </c>
      <c r="AQ31" s="320" t="e">
        <f t="shared" si="146"/>
        <v>#REF!</v>
      </c>
      <c r="AR31" s="146" t="e">
        <f t="shared" si="146"/>
        <v>#REF!</v>
      </c>
      <c r="AS31" s="146" t="e">
        <f t="shared" si="146"/>
        <v>#REF!</v>
      </c>
      <c r="AT31" s="146" t="e">
        <f t="shared" si="146"/>
        <v>#REF!</v>
      </c>
      <c r="AU31" s="146" t="e">
        <f t="shared" si="146"/>
        <v>#REF!</v>
      </c>
      <c r="AV31" s="146" t="e">
        <f t="shared" si="146"/>
        <v>#REF!</v>
      </c>
      <c r="AW31" s="146" t="e">
        <f t="shared" si="146"/>
        <v>#REF!</v>
      </c>
      <c r="AX31" s="320" t="e">
        <f t="shared" si="146"/>
        <v>#REF!</v>
      </c>
      <c r="AY31" s="146" t="e">
        <f t="shared" si="146"/>
        <v>#REF!</v>
      </c>
      <c r="AZ31" s="146" t="e">
        <f t="shared" si="146"/>
        <v>#REF!</v>
      </c>
      <c r="BA31" s="146" t="e">
        <f t="shared" si="146"/>
        <v>#REF!</v>
      </c>
      <c r="BB31" s="146" t="e">
        <f t="shared" si="146"/>
        <v>#REF!</v>
      </c>
      <c r="BC31" s="146" t="e">
        <f t="shared" si="146"/>
        <v>#REF!</v>
      </c>
      <c r="BD31" s="364" t="e">
        <f t="shared" si="146"/>
        <v>#REF!</v>
      </c>
      <c r="BE31" s="320" t="e">
        <f t="shared" ref="BE31:BK31" si="147">BE11-BE24</f>
        <v>#REF!</v>
      </c>
      <c r="BF31" s="146" t="e">
        <f t="shared" si="147"/>
        <v>#REF!</v>
      </c>
      <c r="BG31" s="146" t="e">
        <f t="shared" si="147"/>
        <v>#REF!</v>
      </c>
      <c r="BH31" s="146" t="e">
        <f t="shared" si="147"/>
        <v>#REF!</v>
      </c>
      <c r="BI31" s="146" t="e">
        <f t="shared" si="147"/>
        <v>#REF!</v>
      </c>
      <c r="BJ31" s="146" t="e">
        <f t="shared" si="147"/>
        <v>#REF!</v>
      </c>
      <c r="BK31" s="364" t="e">
        <f t="shared" si="147"/>
        <v>#REF!</v>
      </c>
      <c r="BL31" s="146" t="e">
        <f t="shared" si="146"/>
        <v>#REF!</v>
      </c>
      <c r="BM31" s="146" t="e">
        <f t="shared" si="146"/>
        <v>#REF!</v>
      </c>
      <c r="BN31" s="146" t="e">
        <f t="shared" si="146"/>
        <v>#REF!</v>
      </c>
      <c r="BO31" s="146" t="e">
        <f t="shared" si="146"/>
        <v>#REF!</v>
      </c>
      <c r="BP31" s="146" t="e">
        <f t="shared" si="146"/>
        <v>#REF!</v>
      </c>
      <c r="BQ31" s="146" t="e">
        <f t="shared" si="146"/>
        <v>#REF!</v>
      </c>
      <c r="BR31" s="146" t="e">
        <f t="shared" si="146"/>
        <v>#REF!</v>
      </c>
      <c r="BT31" s="121"/>
    </row>
    <row r="32" spans="1:72" ht="12.6">
      <c r="A32" s="130"/>
      <c r="B32" s="144" t="s">
        <v>100</v>
      </c>
      <c r="C32" s="144"/>
      <c r="D32" s="98" t="e">
        <f t="shared" ref="D32:AI32" si="148">D31/D5</f>
        <v>#REF!</v>
      </c>
      <c r="E32" s="98" t="e">
        <f t="shared" si="148"/>
        <v>#REF!</v>
      </c>
      <c r="F32" s="98" t="e">
        <f t="shared" si="148"/>
        <v>#REF!</v>
      </c>
      <c r="G32" s="98" t="e">
        <f t="shared" si="148"/>
        <v>#REF!</v>
      </c>
      <c r="H32" s="98" t="e">
        <f t="shared" si="148"/>
        <v>#REF!</v>
      </c>
      <c r="I32" s="98" t="e">
        <f t="shared" si="148"/>
        <v>#REF!</v>
      </c>
      <c r="J32" s="98" t="e">
        <f t="shared" si="148"/>
        <v>#REF!</v>
      </c>
      <c r="K32" s="98" t="e">
        <f t="shared" si="148"/>
        <v>#REF!</v>
      </c>
      <c r="L32" s="98" t="e">
        <f t="shared" si="148"/>
        <v>#REF!</v>
      </c>
      <c r="M32" s="98" t="e">
        <f t="shared" si="148"/>
        <v>#REF!</v>
      </c>
      <c r="N32" s="98" t="e">
        <f t="shared" si="148"/>
        <v>#REF!</v>
      </c>
      <c r="O32" s="98" t="e">
        <f t="shared" si="148"/>
        <v>#REF!</v>
      </c>
      <c r="P32" s="98" t="e">
        <f t="shared" si="148"/>
        <v>#REF!</v>
      </c>
      <c r="Q32" s="98" t="e">
        <f t="shared" si="148"/>
        <v>#REF!</v>
      </c>
      <c r="R32" s="98" t="e">
        <f t="shared" si="148"/>
        <v>#REF!</v>
      </c>
      <c r="S32" s="98" t="e">
        <f t="shared" si="148"/>
        <v>#REF!</v>
      </c>
      <c r="T32" s="98" t="e">
        <f t="shared" si="148"/>
        <v>#REF!</v>
      </c>
      <c r="U32" s="98" t="e">
        <f t="shared" si="148"/>
        <v>#REF!</v>
      </c>
      <c r="V32" s="319" t="e">
        <f t="shared" si="148"/>
        <v>#REF!</v>
      </c>
      <c r="W32" s="98" t="e">
        <f t="shared" si="148"/>
        <v>#REF!</v>
      </c>
      <c r="X32" s="98" t="e">
        <f t="shared" si="148"/>
        <v>#REF!</v>
      </c>
      <c r="Y32" s="98" t="e">
        <f t="shared" si="148"/>
        <v>#REF!</v>
      </c>
      <c r="Z32" s="98" t="e">
        <f t="shared" si="148"/>
        <v>#REF!</v>
      </c>
      <c r="AA32" s="98" t="e">
        <f t="shared" si="148"/>
        <v>#REF!</v>
      </c>
      <c r="AB32" s="98" t="e">
        <f t="shared" si="148"/>
        <v>#REF!</v>
      </c>
      <c r="AC32" s="319" t="e">
        <f t="shared" si="148"/>
        <v>#REF!</v>
      </c>
      <c r="AD32" s="98" t="e">
        <f t="shared" si="148"/>
        <v>#REF!</v>
      </c>
      <c r="AE32" s="98" t="e">
        <f t="shared" si="148"/>
        <v>#REF!</v>
      </c>
      <c r="AF32" s="98" t="e">
        <f t="shared" si="148"/>
        <v>#REF!</v>
      </c>
      <c r="AG32" s="98" t="e">
        <f t="shared" si="148"/>
        <v>#REF!</v>
      </c>
      <c r="AH32" s="98" t="e">
        <f t="shared" si="148"/>
        <v>#REF!</v>
      </c>
      <c r="AI32" s="98" t="e">
        <f t="shared" si="148"/>
        <v>#REF!</v>
      </c>
      <c r="AJ32" s="319" t="e">
        <f t="shared" ref="AJ32:BO32" si="149">AJ31/AJ5</f>
        <v>#REF!</v>
      </c>
      <c r="AK32" s="98" t="e">
        <f t="shared" si="149"/>
        <v>#REF!</v>
      </c>
      <c r="AL32" s="98" t="e">
        <f t="shared" si="149"/>
        <v>#REF!</v>
      </c>
      <c r="AM32" s="98" t="e">
        <f t="shared" si="149"/>
        <v>#REF!</v>
      </c>
      <c r="AN32" s="98" t="e">
        <f t="shared" si="149"/>
        <v>#REF!</v>
      </c>
      <c r="AO32" s="98" t="e">
        <f t="shared" si="149"/>
        <v>#REF!</v>
      </c>
      <c r="AP32" s="98" t="e">
        <f t="shared" si="149"/>
        <v>#REF!</v>
      </c>
      <c r="AQ32" s="319" t="e">
        <f t="shared" si="149"/>
        <v>#REF!</v>
      </c>
      <c r="AR32" s="98" t="e">
        <f t="shared" si="149"/>
        <v>#REF!</v>
      </c>
      <c r="AS32" s="98" t="e">
        <f t="shared" si="149"/>
        <v>#REF!</v>
      </c>
      <c r="AT32" s="98" t="e">
        <f t="shared" si="149"/>
        <v>#REF!</v>
      </c>
      <c r="AU32" s="98" t="e">
        <f t="shared" si="149"/>
        <v>#REF!</v>
      </c>
      <c r="AV32" s="98" t="e">
        <f t="shared" si="149"/>
        <v>#REF!</v>
      </c>
      <c r="AW32" s="98" t="e">
        <f t="shared" si="149"/>
        <v>#REF!</v>
      </c>
      <c r="AX32" s="319" t="e">
        <f t="shared" si="149"/>
        <v>#REF!</v>
      </c>
      <c r="AY32" s="98" t="e">
        <f t="shared" si="149"/>
        <v>#REF!</v>
      </c>
      <c r="AZ32" s="98" t="e">
        <f t="shared" si="149"/>
        <v>#REF!</v>
      </c>
      <c r="BA32" s="98" t="e">
        <f t="shared" si="149"/>
        <v>#REF!</v>
      </c>
      <c r="BB32" s="98" t="e">
        <f t="shared" si="149"/>
        <v>#REF!</v>
      </c>
      <c r="BC32" s="98" t="e">
        <f t="shared" si="149"/>
        <v>#REF!</v>
      </c>
      <c r="BD32" s="363" t="e">
        <f t="shared" si="149"/>
        <v>#REF!</v>
      </c>
      <c r="BE32" s="319" t="e">
        <f t="shared" ref="BE32:BK32" si="150">BE31/BE5</f>
        <v>#REF!</v>
      </c>
      <c r="BF32" s="98" t="e">
        <f t="shared" si="150"/>
        <v>#REF!</v>
      </c>
      <c r="BG32" s="98" t="e">
        <f t="shared" si="150"/>
        <v>#REF!</v>
      </c>
      <c r="BH32" s="98" t="e">
        <f t="shared" si="150"/>
        <v>#REF!</v>
      </c>
      <c r="BI32" s="98" t="e">
        <f t="shared" si="150"/>
        <v>#REF!</v>
      </c>
      <c r="BJ32" s="98" t="e">
        <f t="shared" si="150"/>
        <v>#REF!</v>
      </c>
      <c r="BK32" s="363" t="e">
        <f t="shared" si="150"/>
        <v>#REF!</v>
      </c>
      <c r="BL32" s="98" t="e">
        <f t="shared" si="149"/>
        <v>#REF!</v>
      </c>
      <c r="BM32" s="98" t="e">
        <f t="shared" si="149"/>
        <v>#REF!</v>
      </c>
      <c r="BN32" s="98" t="e">
        <f t="shared" si="149"/>
        <v>#REF!</v>
      </c>
      <c r="BO32" s="98" t="e">
        <f t="shared" si="149"/>
        <v>#REF!</v>
      </c>
      <c r="BP32" s="98" t="e">
        <f t="shared" ref="BP32:BR32" si="151">BP31/BP5</f>
        <v>#REF!</v>
      </c>
      <c r="BQ32" s="98" t="e">
        <f t="shared" si="151"/>
        <v>#REF!</v>
      </c>
      <c r="BR32" s="98" t="e">
        <f t="shared" si="151"/>
        <v>#REF!</v>
      </c>
      <c r="BT32" s="121"/>
    </row>
    <row r="34" spans="1:91" s="244" customFormat="1" ht="14.1">
      <c r="A34" s="113" t="s">
        <v>163</v>
      </c>
      <c r="B34" s="240" t="s">
        <v>104</v>
      </c>
      <c r="C34" s="251"/>
      <c r="D34" s="242" t="e">
        <f>INDEX(#REF!, MATCH($A34,#REF!, 0), MATCH(D$4,#REF!, 0))</f>
        <v>#REF!</v>
      </c>
      <c r="E34" s="242" t="e">
        <f>INDEX(#REF!, MATCH($A34,#REF!, 0), MATCH(E$4,#REF!, 0))</f>
        <v>#REF!</v>
      </c>
      <c r="F34" s="242" t="e">
        <f>INDEX(#REF!, MATCH($A34,#REF!, 0), MATCH(F$4,#REF!, 0))</f>
        <v>#REF!</v>
      </c>
      <c r="G34" s="242" t="e">
        <f>INDEX(#REF!, MATCH($A34,#REF!, 0), MATCH(G$4,#REF!, 0))</f>
        <v>#REF!</v>
      </c>
      <c r="H34" s="242" t="e">
        <f>INDEX(#REF!, MATCH($A34,#REF!, 0), MATCH(H$4,#REF!, 0))</f>
        <v>#REF!</v>
      </c>
      <c r="I34" s="242" t="e">
        <f>INDEX(#REF!, MATCH($A34,#REF!, 0), MATCH(I$4,#REF!, 0))</f>
        <v>#REF!</v>
      </c>
      <c r="J34" s="242" t="e">
        <f>INDEX(#REF!, MATCH($A34,#REF!, 0), MATCH(J$4,#REF!, 0))</f>
        <v>#REF!</v>
      </c>
      <c r="K34" s="242" t="e">
        <f>INDEX(#REF!, MATCH($A34,#REF!, 0), MATCH(K$4,#REF!, 0))</f>
        <v>#REF!</v>
      </c>
      <c r="L34" s="242" t="e">
        <f>INDEX(#REF!, MATCH($A34,#REF!, 0), MATCH(L$4,#REF!, 0))</f>
        <v>#REF!</v>
      </c>
      <c r="M34" s="242" t="e">
        <f>INDEX(#REF!, MATCH($A34,#REF!, 0), MATCH(M$4,#REF!, 0))</f>
        <v>#REF!</v>
      </c>
      <c r="N34" s="242" t="e">
        <f>INDEX(#REF!, MATCH($A34,#REF!, 0), MATCH(N$4,#REF!, 0))</f>
        <v>#REF!</v>
      </c>
      <c r="O34" s="242" t="e">
        <f>INDEX(#REF!, MATCH($A34,#REF!, 0), MATCH(O$4,#REF!, 0))</f>
        <v>#REF!</v>
      </c>
      <c r="P34" s="242" t="e">
        <f>INDEX(#REF!, MATCH($A34,#REF!, 0), MATCH(P$4,#REF!, 0))</f>
        <v>#REF!</v>
      </c>
      <c r="Q34" s="242" t="e">
        <f>INDEX(#REF!, MATCH($A34,#REF!, 0), MATCH(Q$4,#REF!, 0))</f>
        <v>#REF!</v>
      </c>
      <c r="R34" s="242" t="e">
        <f>INDEX(#REF!, MATCH($A34,#REF!, 0), MATCH(R$4,#REF!, 0))</f>
        <v>#REF!</v>
      </c>
      <c r="S34" s="242" t="e">
        <f>INDEX(#REF!, MATCH($A34,#REF!, 0), MATCH(S$4,#REF!, 0))</f>
        <v>#REF!</v>
      </c>
      <c r="T34" s="242" t="e">
        <f>INDEX(#REF!, MATCH($A34,#REF!, 0), MATCH(T$4,#REF!, 0))</f>
        <v>#REF!</v>
      </c>
      <c r="U34" s="242" t="e">
        <f>INDEX(#REF!, MATCH($A34,#REF!, 0), MATCH(U$4,#REF!, 0))</f>
        <v>#REF!</v>
      </c>
      <c r="V34" s="321" t="e">
        <f>INDEX(#REF!, MATCH($A34,#REF!, 0), MATCH(V$4,#REF!, 0))</f>
        <v>#REF!</v>
      </c>
      <c r="W34" s="242" t="e">
        <f>INDEX(#REF!, MATCH($A34,#REF!, 0), MATCH(W$4,#REF!, 0))</f>
        <v>#REF!</v>
      </c>
      <c r="X34" s="242" t="e">
        <f>INDEX(#REF!, MATCH($A34,#REF!, 0), MATCH(X$4,#REF!, 0))</f>
        <v>#REF!</v>
      </c>
      <c r="Y34" s="242" t="e">
        <f>INDEX(#REF!, MATCH($A34,#REF!, 0), MATCH(Y$4,#REF!, 0))</f>
        <v>#REF!</v>
      </c>
      <c r="Z34" s="242" t="e">
        <f>INDEX(#REF!, MATCH($A34,#REF!, 0), MATCH(Z$4,#REF!, 0))</f>
        <v>#REF!</v>
      </c>
      <c r="AA34" s="242" t="e">
        <f>INDEX(#REF!, MATCH($A34,#REF!, 0), MATCH(AA$4,#REF!, 0))</f>
        <v>#REF!</v>
      </c>
      <c r="AB34" s="242" t="e">
        <f>INDEX(#REF!, MATCH($A34,#REF!, 0), MATCH(AB$4,#REF!, 0))</f>
        <v>#REF!</v>
      </c>
      <c r="AC34" s="321" t="e">
        <f>INDEX(#REF!, MATCH($A34,#REF!, 0), MATCH(AC$4,#REF!, 0))</f>
        <v>#REF!</v>
      </c>
      <c r="AD34" s="242" t="e">
        <f>INDEX(#REF!, MATCH($A34,#REF!, 0), MATCH(AD$4,#REF!, 0))</f>
        <v>#REF!</v>
      </c>
      <c r="AE34" s="242" t="e">
        <f>INDEX(#REF!, MATCH($A34,#REF!, 0), MATCH(AE$4,#REF!, 0))</f>
        <v>#REF!</v>
      </c>
      <c r="AF34" s="242" t="e">
        <f>INDEX(#REF!, MATCH($A34,#REF!, 0), MATCH(AF$4,#REF!, 0))</f>
        <v>#REF!</v>
      </c>
      <c r="AG34" s="242" t="e">
        <f>INDEX(#REF!, MATCH($A34,#REF!, 0), MATCH(AG$4,#REF!, 0))</f>
        <v>#REF!</v>
      </c>
      <c r="AH34" s="242" t="e">
        <f>INDEX(#REF!, MATCH($A34,#REF!, 0), MATCH(AH$4,#REF!, 0))</f>
        <v>#REF!</v>
      </c>
      <c r="AI34" s="242" t="e">
        <f>INDEX(#REF!, MATCH($A34,#REF!, 0), MATCH(AI$4,#REF!, 0))</f>
        <v>#REF!</v>
      </c>
      <c r="AJ34" s="321" t="e">
        <f>INDEX(#REF!, MATCH($A34,#REF!, 0), MATCH(AJ$4,#REF!, 0))</f>
        <v>#REF!</v>
      </c>
      <c r="AK34" s="242" t="e">
        <f>INDEX(#REF!, MATCH($A34,#REF!, 0), MATCH(AK$4,#REF!, 0))</f>
        <v>#REF!</v>
      </c>
      <c r="AL34" s="242" t="e">
        <f>INDEX(#REF!, MATCH($A34,#REF!, 0), MATCH(AL$4,#REF!, 0))</f>
        <v>#REF!</v>
      </c>
      <c r="AM34" s="242" t="e">
        <f>INDEX(#REF!, MATCH($A34,#REF!, 0), MATCH(AM$4,#REF!, 0))</f>
        <v>#REF!</v>
      </c>
      <c r="AN34" s="242" t="e">
        <f>INDEX(#REF!, MATCH($A34,#REF!, 0), MATCH(AN$4,#REF!, 0))</f>
        <v>#REF!</v>
      </c>
      <c r="AO34" s="242" t="e">
        <f>INDEX(#REF!, MATCH($A34,#REF!, 0), MATCH(AO$4,#REF!, 0))</f>
        <v>#REF!</v>
      </c>
      <c r="AP34" s="242" t="e">
        <f>INDEX(#REF!, MATCH($A34,#REF!, 0), MATCH(AP$4,#REF!, 0))</f>
        <v>#REF!</v>
      </c>
      <c r="AQ34" s="321" t="e">
        <f>INDEX(#REF!, MATCH($A34,#REF!, 0), MATCH(AQ$4,#REF!, 0))</f>
        <v>#REF!</v>
      </c>
      <c r="AR34" s="242" t="e">
        <f>INDEX(#REF!, MATCH($A34,#REF!, 0), MATCH(AR$4,#REF!, 0))</f>
        <v>#REF!</v>
      </c>
      <c r="AS34" s="242" t="e">
        <f>INDEX(#REF!, MATCH($A34,#REF!, 0), MATCH(AS$4,#REF!, 0))</f>
        <v>#REF!</v>
      </c>
      <c r="AT34" s="242" t="e">
        <f>INDEX(#REF!, MATCH($A34,#REF!, 0), MATCH(AT$4,#REF!, 0))</f>
        <v>#REF!</v>
      </c>
      <c r="AU34" s="242" t="e">
        <f>INDEX(#REF!, MATCH($A34,#REF!, 0), MATCH(AU$4,#REF!, 0))</f>
        <v>#REF!</v>
      </c>
      <c r="AV34" s="242" t="e">
        <f>INDEX(#REF!, MATCH($A34,#REF!, 0), MATCH(AV$4,#REF!, 0))</f>
        <v>#REF!</v>
      </c>
      <c r="AW34" s="242" t="e">
        <f>INDEX(#REF!, MATCH($A34,#REF!, 0), MATCH(AW$4,#REF!, 0))</f>
        <v>#REF!</v>
      </c>
      <c r="AX34" s="321" t="e">
        <f>INDEX(#REF!, MATCH($A34,#REF!, 0), MATCH(AX$4,#REF!, 0))</f>
        <v>#REF!</v>
      </c>
      <c r="AY34" s="242" t="e">
        <f>INDEX(#REF!, MATCH($A34,#REF!, 0), MATCH(AY$4,#REF!, 0))</f>
        <v>#REF!</v>
      </c>
      <c r="AZ34" s="242" t="e">
        <f>INDEX(#REF!, MATCH($A34,#REF!, 0), MATCH(AZ$4,#REF!, 0))</f>
        <v>#REF!</v>
      </c>
      <c r="BA34" s="242" t="e">
        <f>INDEX(#REF!, MATCH($A34,#REF!, 0), MATCH(BA$4,#REF!, 0))</f>
        <v>#REF!</v>
      </c>
      <c r="BB34" s="242" t="e">
        <f>INDEX(#REF!, MATCH($A34,#REF!, 0), MATCH(BB$4,#REF!, 0))</f>
        <v>#REF!</v>
      </c>
      <c r="BC34" s="242" t="e">
        <f>INDEX(#REF!, MATCH($A34,#REF!, 0), MATCH(BC$4,#REF!, 0))</f>
        <v>#REF!</v>
      </c>
      <c r="BD34" s="365" t="e">
        <f>INDEX(#REF!, MATCH($A34,#REF!, 0), MATCH(BD$4,#REF!, 0))</f>
        <v>#REF!</v>
      </c>
      <c r="BE34" s="321" t="e">
        <f>INDEX(#REF!, MATCH($A34,#REF!, 0), MATCH(BE$4,#REF!, 0))</f>
        <v>#REF!</v>
      </c>
      <c r="BF34" s="242" t="e">
        <f>INDEX(#REF!, MATCH($A34,#REF!, 0), MATCH(BF$4,#REF!, 0))</f>
        <v>#REF!</v>
      </c>
      <c r="BG34" s="242" t="e">
        <f>INDEX(#REF!, MATCH($A34,#REF!, 0), MATCH(BG$4,#REF!, 0))</f>
        <v>#REF!</v>
      </c>
      <c r="BH34" s="242" t="e">
        <f>INDEX(#REF!, MATCH($A34,#REF!, 0), MATCH(BH$4,#REF!, 0))</f>
        <v>#REF!</v>
      </c>
      <c r="BI34" s="242" t="e">
        <f>INDEX(#REF!, MATCH($A34,#REF!, 0), MATCH(BI$4,#REF!, 0))</f>
        <v>#REF!</v>
      </c>
      <c r="BJ34" s="242" t="e">
        <f>INDEX(#REF!, MATCH($A34,#REF!, 0), MATCH(BJ$4,#REF!, 0))</f>
        <v>#REF!</v>
      </c>
      <c r="BK34" s="365" t="e">
        <f>INDEX(#REF!, MATCH($A34,#REF!, 0), MATCH(BK$4,#REF!, 0))</f>
        <v>#REF!</v>
      </c>
      <c r="BL34" s="242" t="e">
        <f>IF(#REF!="财务费用重置为0", 0, BL36+BL37-BL35)</f>
        <v>#REF!</v>
      </c>
      <c r="BM34" s="242" t="e">
        <f>IF(#REF!="财务费用重置为0", 0, BM36+BM37-BM35)</f>
        <v>#REF!</v>
      </c>
      <c r="BN34" s="242" t="e">
        <f>IF(#REF!="财务费用重置为0", 0, BN36+BN37-BN35)</f>
        <v>#REF!</v>
      </c>
      <c r="BO34" s="242" t="e">
        <f>IF(#REF!="财务费用重置为0", 0, BO36+BO37-BO35)</f>
        <v>#REF!</v>
      </c>
      <c r="BP34" s="242" t="e">
        <f>IF(#REF!="财务费用重置为0", 0, BP36+BP37-BP35)</f>
        <v>#REF!</v>
      </c>
      <c r="BQ34" s="242" t="e">
        <f>IF(#REF!="财务费用重置为0", 0, BQ36+BQ37-BQ35)</f>
        <v>#REF!</v>
      </c>
      <c r="BR34" s="242" t="e">
        <f>IF(#REF!="财务费用重置为0", 0, BR36+BR37-BR35)</f>
        <v>#REF!</v>
      </c>
      <c r="BS34" s="235"/>
      <c r="BT34" s="113" t="s">
        <v>163</v>
      </c>
      <c r="BU34" s="235"/>
      <c r="BV34" s="235"/>
      <c r="BW34" s="235"/>
      <c r="BX34" s="235"/>
      <c r="BY34" s="235"/>
      <c r="BZ34" s="235"/>
      <c r="CA34" s="235"/>
      <c r="CB34" s="235"/>
      <c r="CC34" s="235"/>
      <c r="CD34" s="235"/>
      <c r="CE34" s="235"/>
      <c r="CF34" s="235"/>
      <c r="CG34" s="235"/>
      <c r="CH34" s="235"/>
      <c r="CI34" s="235"/>
      <c r="CJ34" s="235"/>
      <c r="CK34" s="235"/>
      <c r="CL34" s="235"/>
      <c r="CM34" s="235"/>
    </row>
    <row r="35" spans="1:91">
      <c r="A35" s="182"/>
      <c r="B35" s="117" t="s">
        <v>102</v>
      </c>
      <c r="C35" s="117"/>
      <c r="D35" s="107">
        <f>[69]!s_stm07_is_105(#REF!,D3,1,1000000)</f>
        <v>0</v>
      </c>
      <c r="E35" s="107">
        <f>[69]!s_stm07_is_105(#REF!,E3,1,1000000)</f>
        <v>0</v>
      </c>
      <c r="F35" s="107">
        <f>[69]!s_stm07_is_105(#REF!,F3,1,1000000)</f>
        <v>0</v>
      </c>
      <c r="G35" s="107">
        <f>[69]!s_stm07_is_105(#REF!,G3,1,1000000)</f>
        <v>0</v>
      </c>
      <c r="H35" s="107">
        <f>[69]!s_stm07_is_105(#REF!,H3,1,1000000)</f>
        <v>0</v>
      </c>
      <c r="I35" s="107">
        <f>[69]!s_stm07_is_105(#REF!,I3,1,1000000)</f>
        <v>0</v>
      </c>
      <c r="J35" s="107">
        <f>[69]!s_stm07_is_105(#REF!,J3,1,1000000)</f>
        <v>0</v>
      </c>
      <c r="K35" s="107">
        <f>[69]!s_stm07_is_105(#REF!,K3,1,1000000)</f>
        <v>0</v>
      </c>
      <c r="L35" s="107">
        <f>[69]!s_stm07_is_105(#REF!,L3,1,1000000)</f>
        <v>0</v>
      </c>
      <c r="M35" s="107">
        <f>[69]!s_stm07_is_105(#REF!,M3,1,1000000)</f>
        <v>0</v>
      </c>
      <c r="N35" s="107">
        <f>[69]!s_stm07_is_105(#REF!,N3,1,1000000)</f>
        <v>0</v>
      </c>
      <c r="O35" s="107">
        <f>[69]!s_stm07_is_105(#REF!,O3,1,1000000)</f>
        <v>0</v>
      </c>
      <c r="P35" s="107">
        <f>[69]!s_stm07_is_105(#REF!,P3,1,1000000)</f>
        <v>0</v>
      </c>
      <c r="Q35" s="107">
        <f>[69]!s_stm07_is_105(#REF!,Q3,1,1000000)</f>
        <v>0</v>
      </c>
      <c r="R35" s="107">
        <f>[69]!s_stm07_is_105(#REF!,R3,1,1000000)</f>
        <v>0</v>
      </c>
      <c r="S35" s="107">
        <f>[69]!s_stm07_is_105(#REF!,S3,1,1000000)</f>
        <v>0</v>
      </c>
      <c r="T35" s="107">
        <f>[69]!s_stm07_is_105(#REF!,T3,1,1000000)</f>
        <v>0</v>
      </c>
      <c r="U35" s="107">
        <f>[69]!s_stm07_is_105(#REF!,U3,1,1000000)</f>
        <v>0</v>
      </c>
      <c r="V35" s="136">
        <f>[69]!s_stm07_is_105(#REF!,V3,1,1000000)</f>
        <v>0</v>
      </c>
      <c r="W35" s="107">
        <f>[69]!s_stm07_is_105(#REF!,W3,1,1000000)</f>
        <v>0</v>
      </c>
      <c r="X35" s="107">
        <f>[69]!s_stm07_is_105(#REF!,X3,1,1000000)</f>
        <v>0</v>
      </c>
      <c r="Y35" s="107">
        <f>[69]!s_stm07_is_105(#REF!,Y3,1,1000000)</f>
        <v>0</v>
      </c>
      <c r="Z35" s="107">
        <f>[69]!s_stm07_is_105(#REF!,Z3,1,1000000)</f>
        <v>0</v>
      </c>
      <c r="AA35" s="107">
        <f>[69]!s_stm07_is_105(#REF!,AA3,1,1000000)</f>
        <v>0</v>
      </c>
      <c r="AB35" s="107">
        <f>[69]!s_stm07_is_105(#REF!,AB3,1,1000000)</f>
        <v>0</v>
      </c>
      <c r="AC35" s="136">
        <f>[69]!s_stm07_is_105(#REF!,AC3,1,1000000)</f>
        <v>0</v>
      </c>
      <c r="AD35" s="107">
        <f>[69]!s_stm07_is_105(#REF!,AD3,1,1000000)</f>
        <v>0</v>
      </c>
      <c r="AE35" s="107">
        <f>[69]!s_stm07_is_105(#REF!,AE3,1,1000000)</f>
        <v>0</v>
      </c>
      <c r="AF35" s="107">
        <f>[69]!s_stm07_is_105(#REF!,AF3,1,1000000)</f>
        <v>0</v>
      </c>
      <c r="AG35" s="107">
        <f>[69]!s_stm07_is_105(#REF!,AG3,1,1000000)</f>
        <v>0</v>
      </c>
      <c r="AH35" s="107">
        <f>[69]!s_stm07_is_105(#REF!,AH3,1,1000000)</f>
        <v>0</v>
      </c>
      <c r="AI35" s="107">
        <f>[69]!s_stm07_is_105(#REF!,AI3,1,1000000)</f>
        <v>0</v>
      </c>
      <c r="AJ35" s="136">
        <f>[69]!s_stm07_is_105(#REF!,AJ3,1,1000000)</f>
        <v>0</v>
      </c>
      <c r="AK35" s="107">
        <f>[69]!s_stm07_is_105(#REF!,AK3,1,1000000)</f>
        <v>0</v>
      </c>
      <c r="AL35" s="107">
        <f>[69]!s_stm07_is_105(#REF!,AL3,1,1000000)</f>
        <v>0</v>
      </c>
      <c r="AM35" s="107">
        <f>[69]!s_stm07_is_105(#REF!,AM3,1,1000000)</f>
        <v>0</v>
      </c>
      <c r="AN35" s="107">
        <f>[69]!s_stm07_is_105(#REF!,AN3,1,1000000)</f>
        <v>0</v>
      </c>
      <c r="AO35" s="107">
        <f>[69]!s_stm07_is_105(#REF!,AO3,1,1000000)</f>
        <v>0</v>
      </c>
      <c r="AP35" s="107">
        <f>[69]!s_stm07_is_105(#REF!,AP3,1,1000000)</f>
        <v>0</v>
      </c>
      <c r="AQ35" s="136">
        <f>[69]!s_stm07_is_105(#REF!,AQ3,1,1000000)</f>
        <v>0</v>
      </c>
      <c r="AR35" s="107">
        <f>[69]!s_stm07_is_105(#REF!,AR3,1,1000000)</f>
        <v>0</v>
      </c>
      <c r="AS35" s="107">
        <f>[69]!s_stm07_is_105(#REF!,AS3,1,1000000)</f>
        <v>0</v>
      </c>
      <c r="AT35" s="107">
        <f>[69]!s_stm07_is_105(#REF!,AT3,1,1000000)</f>
        <v>0</v>
      </c>
      <c r="AU35" s="107">
        <f>[69]!s_stm07_is_105(#REF!,AU3,1,1000000)</f>
        <v>0</v>
      </c>
      <c r="AV35" s="107">
        <f>[69]!s_stm07_is_105(#REF!,AV3,1,1000000)</f>
        <v>0</v>
      </c>
      <c r="AW35" s="107">
        <f>[69]!s_stm07_is_105(#REF!,AW3,1,1000000)</f>
        <v>0</v>
      </c>
      <c r="AX35" s="136">
        <f>[69]!s_stm07_is_105(#REF!,AX3,1,1000000)</f>
        <v>0</v>
      </c>
      <c r="AY35" s="107">
        <f>[69]!s_stm07_is_105(#REF!,AY3,1,1000000)</f>
        <v>0</v>
      </c>
      <c r="AZ35" s="107">
        <f>[69]!s_stm07_is_105(#REF!,AZ3,1,1000000)</f>
        <v>0</v>
      </c>
      <c r="BA35" s="107">
        <f>[69]!s_stm07_is_105(#REF!,BA3,1,1000000)</f>
        <v>0</v>
      </c>
      <c r="BB35" s="107">
        <f>[69]!s_stm07_is_105(#REF!,BB3,1,1000000)</f>
        <v>0</v>
      </c>
      <c r="BC35" s="107">
        <f>[69]!s_stm07_is_105(#REF!,BC3,1,1000000)</f>
        <v>0</v>
      </c>
      <c r="BD35" s="138">
        <f>[69]!s_stm07_is_105(#REF!,BD3,1,1000000)</f>
        <v>0</v>
      </c>
      <c r="BE35" s="136">
        <f>[69]!s_stm07_is_105(#REF!,BE3,1,1000000)</f>
        <v>0</v>
      </c>
      <c r="BF35" s="107">
        <f>[69]!s_stm07_is_105(#REF!,BF3,1,1000000)</f>
        <v>0</v>
      </c>
      <c r="BG35" s="107">
        <f>[69]!s_stm07_is_105(#REF!,BG3,1,1000000)</f>
        <v>0</v>
      </c>
      <c r="BH35" s="107">
        <f>[69]!s_stm07_is_105(#REF!,BH3,1,1000000)</f>
        <v>0</v>
      </c>
      <c r="BI35" s="107">
        <f>[69]!s_stm07_is_105(#REF!,BI3,1,1000000)</f>
        <v>0</v>
      </c>
      <c r="BJ35" s="107">
        <f>[69]!s_stm07_is_105(#REF!,BJ3,1,1000000)</f>
        <v>0</v>
      </c>
      <c r="BK35" s="138">
        <f>[69]!s_stm07_is_105(#REF!,BK3,1,1000000)</f>
        <v>0</v>
      </c>
      <c r="BL35" s="156" t="e">
        <f t="shared" ref="BL35:BR35" si="152">BL226</f>
        <v>#REF!</v>
      </c>
      <c r="BM35" s="156" t="e">
        <f t="shared" si="152"/>
        <v>#REF!</v>
      </c>
      <c r="BN35" s="156" t="e">
        <f t="shared" si="152"/>
        <v>#REF!</v>
      </c>
      <c r="BO35" s="156" t="e">
        <f t="shared" si="152"/>
        <v>#REF!</v>
      </c>
      <c r="BP35" s="156" t="e">
        <f t="shared" si="152"/>
        <v>#REF!</v>
      </c>
      <c r="BQ35" s="156" t="e">
        <f t="shared" si="152"/>
        <v>#REF!</v>
      </c>
      <c r="BR35" s="156" t="e">
        <f t="shared" si="152"/>
        <v>#REF!</v>
      </c>
      <c r="BT35" s="121"/>
    </row>
    <row r="36" spans="1:91">
      <c r="A36" s="182"/>
      <c r="B36" s="117" t="s">
        <v>103</v>
      </c>
      <c r="C36" s="117"/>
      <c r="D36" s="107">
        <f>[69]!s_stm07_is_104(#REF!,D3,1,1000000)</f>
        <v>0</v>
      </c>
      <c r="E36" s="107">
        <f>[69]!s_stm07_is_104(#REF!,E3,1,1000000)</f>
        <v>0</v>
      </c>
      <c r="F36" s="107">
        <f>[69]!s_stm07_is_104(#REF!,F3,1,1000000)</f>
        <v>0</v>
      </c>
      <c r="G36" s="107">
        <f>[69]!s_stm07_is_104(#REF!,G3,1,1000000)</f>
        <v>0</v>
      </c>
      <c r="H36" s="107">
        <f>[69]!s_stm07_is_104(#REF!,H3,1,1000000)</f>
        <v>0</v>
      </c>
      <c r="I36" s="107">
        <f>[69]!s_stm07_is_104(#REF!,I3,1,1000000)</f>
        <v>0</v>
      </c>
      <c r="J36" s="107">
        <f>[69]!s_stm07_is_104(#REF!,J3,1,1000000)</f>
        <v>0</v>
      </c>
      <c r="K36" s="107">
        <f>[69]!s_stm07_is_104(#REF!,K3,1,1000000)</f>
        <v>0</v>
      </c>
      <c r="L36" s="107">
        <f>[69]!s_stm07_is_104(#REF!,L3,1,1000000)</f>
        <v>0</v>
      </c>
      <c r="M36" s="107">
        <f>[69]!s_stm07_is_104(#REF!,M3,1,1000000)</f>
        <v>0</v>
      </c>
      <c r="N36" s="107">
        <f>[69]!s_stm07_is_104(#REF!,N3,1,1000000)</f>
        <v>0</v>
      </c>
      <c r="O36" s="107">
        <f>[69]!s_stm07_is_104(#REF!,O3,1,1000000)</f>
        <v>0</v>
      </c>
      <c r="P36" s="107">
        <f>[69]!s_stm07_is_104(#REF!,P3,1,1000000)</f>
        <v>0</v>
      </c>
      <c r="Q36" s="107">
        <f>[69]!s_stm07_is_104(#REF!,Q3,1,1000000)</f>
        <v>0</v>
      </c>
      <c r="R36" s="107">
        <f>[69]!s_stm07_is_104(#REF!,R3,1,1000000)</f>
        <v>0</v>
      </c>
      <c r="S36" s="107">
        <f>[69]!s_stm07_is_104(#REF!,S3,1,1000000)</f>
        <v>0</v>
      </c>
      <c r="T36" s="107">
        <f>[69]!s_stm07_is_104(#REF!,T3,1,1000000)</f>
        <v>0</v>
      </c>
      <c r="U36" s="107">
        <f>[69]!s_stm07_is_104(#REF!,U3,1,1000000)</f>
        <v>0</v>
      </c>
      <c r="V36" s="136">
        <f>[69]!s_stm07_is_104(#REF!,V3,1,1000000)</f>
        <v>0</v>
      </c>
      <c r="W36" s="107">
        <f>[69]!s_stm07_is_104(#REF!,W3,1,1000000)</f>
        <v>0</v>
      </c>
      <c r="X36" s="107">
        <f>[69]!s_stm07_is_104(#REF!,X3,1,1000000)</f>
        <v>0</v>
      </c>
      <c r="Y36" s="107">
        <f>[69]!s_stm07_is_104(#REF!,Y3,1,1000000)</f>
        <v>0</v>
      </c>
      <c r="Z36" s="107">
        <f>[69]!s_stm07_is_104(#REF!,Z3,1,1000000)</f>
        <v>0</v>
      </c>
      <c r="AA36" s="107">
        <f>[69]!s_stm07_is_104(#REF!,AA3,1,1000000)</f>
        <v>0</v>
      </c>
      <c r="AB36" s="107">
        <f>[69]!s_stm07_is_104(#REF!,AB3,1,1000000)</f>
        <v>0</v>
      </c>
      <c r="AC36" s="136">
        <f>[69]!s_stm07_is_104(#REF!,AC3,1,1000000)</f>
        <v>0</v>
      </c>
      <c r="AD36" s="107">
        <f>[69]!s_stm07_is_104(#REF!,AD3,1,1000000)</f>
        <v>0</v>
      </c>
      <c r="AE36" s="107">
        <f>[69]!s_stm07_is_104(#REF!,AE3,1,1000000)</f>
        <v>0</v>
      </c>
      <c r="AF36" s="107">
        <f>[69]!s_stm07_is_104(#REF!,AF3,1,1000000)</f>
        <v>0</v>
      </c>
      <c r="AG36" s="107">
        <f>[69]!s_stm07_is_104(#REF!,AG3,1,1000000)</f>
        <v>0</v>
      </c>
      <c r="AH36" s="107">
        <f>[69]!s_stm07_is_104(#REF!,AH3,1,1000000)</f>
        <v>0</v>
      </c>
      <c r="AI36" s="107">
        <f>[69]!s_stm07_is_104(#REF!,AI3,1,1000000)</f>
        <v>0</v>
      </c>
      <c r="AJ36" s="136">
        <f>[69]!s_stm07_is_104(#REF!,AJ3,1,1000000)</f>
        <v>0</v>
      </c>
      <c r="AK36" s="107">
        <f>[69]!s_stm07_is_104(#REF!,AK3,1,1000000)</f>
        <v>0</v>
      </c>
      <c r="AL36" s="107">
        <f>[69]!s_stm07_is_104(#REF!,AL3,1,1000000)</f>
        <v>0</v>
      </c>
      <c r="AM36" s="107">
        <f>[69]!s_stm07_is_104(#REF!,AM3,1,1000000)</f>
        <v>0</v>
      </c>
      <c r="AN36" s="107">
        <f>[69]!s_stm07_is_104(#REF!,AN3,1,1000000)</f>
        <v>0</v>
      </c>
      <c r="AO36" s="107">
        <f>[69]!s_stm07_is_104(#REF!,AO3,1,1000000)</f>
        <v>0</v>
      </c>
      <c r="AP36" s="107">
        <f>[69]!s_stm07_is_104(#REF!,AP3,1,1000000)</f>
        <v>0</v>
      </c>
      <c r="AQ36" s="136">
        <f>[69]!s_stm07_is_104(#REF!,AQ3,1,1000000)</f>
        <v>0</v>
      </c>
      <c r="AR36" s="107">
        <f>[69]!s_stm07_is_104(#REF!,AR3,1,1000000)</f>
        <v>0</v>
      </c>
      <c r="AS36" s="107">
        <f>[69]!s_stm07_is_104(#REF!,AS3,1,1000000)</f>
        <v>0</v>
      </c>
      <c r="AT36" s="107">
        <f>[69]!s_stm07_is_104(#REF!,AT3,1,1000000)</f>
        <v>0</v>
      </c>
      <c r="AU36" s="107">
        <f>[69]!s_stm07_is_104(#REF!,AU3,1,1000000)</f>
        <v>0</v>
      </c>
      <c r="AV36" s="107">
        <f>[69]!s_stm07_is_104(#REF!,AV3,1,1000000)</f>
        <v>0</v>
      </c>
      <c r="AW36" s="107">
        <f>[69]!s_stm07_is_104(#REF!,AW3,1,1000000)</f>
        <v>0</v>
      </c>
      <c r="AX36" s="136">
        <f>[69]!s_stm07_is_104(#REF!,AX3,1,1000000)</f>
        <v>0</v>
      </c>
      <c r="AY36" s="107">
        <f>[69]!s_stm07_is_104(#REF!,AY3,1,1000000)</f>
        <v>0</v>
      </c>
      <c r="AZ36" s="107">
        <f>[69]!s_stm07_is_104(#REF!,AZ3,1,1000000)</f>
        <v>0</v>
      </c>
      <c r="BA36" s="107">
        <f>[69]!s_stm07_is_104(#REF!,BA3,1,1000000)</f>
        <v>0</v>
      </c>
      <c r="BB36" s="107">
        <f>[69]!s_stm07_is_104(#REF!,BB3,1,1000000)</f>
        <v>0</v>
      </c>
      <c r="BC36" s="107">
        <f>[69]!s_stm07_is_104(#REF!,BC3,1,1000000)</f>
        <v>0</v>
      </c>
      <c r="BD36" s="138">
        <f>[69]!s_stm07_is_104(#REF!,BD3,1,1000000)</f>
        <v>0</v>
      </c>
      <c r="BE36" s="136">
        <f>[69]!s_stm07_is_104(#REF!,BE3,1,1000000)</f>
        <v>0</v>
      </c>
      <c r="BF36" s="107">
        <f>[69]!s_stm07_is_104(#REF!,BF3,1,1000000)</f>
        <v>0</v>
      </c>
      <c r="BG36" s="107">
        <f>[69]!s_stm07_is_104(#REF!,BG3,1,1000000)</f>
        <v>0</v>
      </c>
      <c r="BH36" s="107">
        <f>[69]!s_stm07_is_104(#REF!,BH3,1,1000000)</f>
        <v>0</v>
      </c>
      <c r="BI36" s="107">
        <f>[69]!s_stm07_is_104(#REF!,BI3,1,1000000)</f>
        <v>0</v>
      </c>
      <c r="BJ36" s="107">
        <f>[69]!s_stm07_is_104(#REF!,BJ3,1,1000000)</f>
        <v>0</v>
      </c>
      <c r="BK36" s="138">
        <f>[69]!s_stm07_is_104(#REF!,BK3,1,1000000)</f>
        <v>0</v>
      </c>
      <c r="BL36" s="150" t="e">
        <f t="shared" ref="BL36:BR36" si="153">BL222</f>
        <v>#REF!</v>
      </c>
      <c r="BM36" s="150" t="e">
        <f t="shared" si="153"/>
        <v>#REF!</v>
      </c>
      <c r="BN36" s="150" t="e">
        <f t="shared" si="153"/>
        <v>#REF!</v>
      </c>
      <c r="BO36" s="150" t="e">
        <f t="shared" si="153"/>
        <v>#REF!</v>
      </c>
      <c r="BP36" s="150" t="e">
        <f t="shared" si="153"/>
        <v>#REF!</v>
      </c>
      <c r="BQ36" s="150" t="e">
        <f t="shared" si="153"/>
        <v>#REF!</v>
      </c>
      <c r="BR36" s="150" t="e">
        <f t="shared" si="153"/>
        <v>#REF!</v>
      </c>
      <c r="BT36" s="121"/>
    </row>
    <row r="37" spans="1:91" s="408" customFormat="1">
      <c r="A37" s="401"/>
      <c r="B37" s="402" t="s">
        <v>332</v>
      </c>
      <c r="C37" s="402"/>
      <c r="D37" s="403" t="e">
        <f t="shared" ref="D37:AZ37" si="154">D34-(D36-D35)</f>
        <v>#REF!</v>
      </c>
      <c r="E37" s="403" t="e">
        <f t="shared" si="154"/>
        <v>#REF!</v>
      </c>
      <c r="F37" s="403" t="e">
        <f t="shared" si="154"/>
        <v>#REF!</v>
      </c>
      <c r="G37" s="403" t="e">
        <f t="shared" si="154"/>
        <v>#REF!</v>
      </c>
      <c r="H37" s="403" t="e">
        <f t="shared" si="154"/>
        <v>#REF!</v>
      </c>
      <c r="I37" s="403" t="e">
        <f t="shared" si="154"/>
        <v>#REF!</v>
      </c>
      <c r="J37" s="403" t="e">
        <f t="shared" si="154"/>
        <v>#REF!</v>
      </c>
      <c r="K37" s="403" t="e">
        <f t="shared" si="154"/>
        <v>#REF!</v>
      </c>
      <c r="L37" s="403" t="e">
        <f t="shared" si="154"/>
        <v>#REF!</v>
      </c>
      <c r="M37" s="403" t="e">
        <f t="shared" si="154"/>
        <v>#REF!</v>
      </c>
      <c r="N37" s="403" t="e">
        <f t="shared" si="154"/>
        <v>#REF!</v>
      </c>
      <c r="O37" s="403" t="e">
        <f t="shared" si="154"/>
        <v>#REF!</v>
      </c>
      <c r="P37" s="403" t="e">
        <f t="shared" si="154"/>
        <v>#REF!</v>
      </c>
      <c r="Q37" s="403" t="e">
        <f t="shared" si="154"/>
        <v>#REF!</v>
      </c>
      <c r="R37" s="403" t="e">
        <f t="shared" si="154"/>
        <v>#REF!</v>
      </c>
      <c r="S37" s="403" t="e">
        <f t="shared" si="154"/>
        <v>#REF!</v>
      </c>
      <c r="T37" s="403" t="e">
        <f t="shared" si="154"/>
        <v>#REF!</v>
      </c>
      <c r="U37" s="403" t="e">
        <f t="shared" si="154"/>
        <v>#REF!</v>
      </c>
      <c r="V37" s="404" t="e">
        <f t="shared" ref="V37:AA37" si="155">V34-(V36-V35)</f>
        <v>#REF!</v>
      </c>
      <c r="W37" s="403" t="e">
        <f t="shared" si="155"/>
        <v>#REF!</v>
      </c>
      <c r="X37" s="403" t="e">
        <f t="shared" si="155"/>
        <v>#REF!</v>
      </c>
      <c r="Y37" s="403" t="e">
        <f t="shared" si="155"/>
        <v>#REF!</v>
      </c>
      <c r="Z37" s="403" t="e">
        <f t="shared" si="155"/>
        <v>#REF!</v>
      </c>
      <c r="AA37" s="403" t="e">
        <f t="shared" si="155"/>
        <v>#REF!</v>
      </c>
      <c r="AB37" s="403" t="e">
        <f t="shared" si="154"/>
        <v>#REF!</v>
      </c>
      <c r="AC37" s="404" t="e">
        <f t="shared" ref="AC37:AH37" si="156">AC34-(AC36-AC35)</f>
        <v>#REF!</v>
      </c>
      <c r="AD37" s="403" t="e">
        <f t="shared" si="156"/>
        <v>#REF!</v>
      </c>
      <c r="AE37" s="403" t="e">
        <f t="shared" si="156"/>
        <v>#REF!</v>
      </c>
      <c r="AF37" s="403" t="e">
        <f t="shared" si="156"/>
        <v>#REF!</v>
      </c>
      <c r="AG37" s="403" t="e">
        <f t="shared" si="156"/>
        <v>#REF!</v>
      </c>
      <c r="AH37" s="403" t="e">
        <f t="shared" si="156"/>
        <v>#REF!</v>
      </c>
      <c r="AI37" s="403" t="e">
        <f t="shared" si="154"/>
        <v>#REF!</v>
      </c>
      <c r="AJ37" s="404" t="e">
        <f t="shared" ref="AJ37:AO37" si="157">AJ34-(AJ36-AJ35)</f>
        <v>#REF!</v>
      </c>
      <c r="AK37" s="403" t="e">
        <f t="shared" si="157"/>
        <v>#REF!</v>
      </c>
      <c r="AL37" s="403" t="e">
        <f t="shared" si="157"/>
        <v>#REF!</v>
      </c>
      <c r="AM37" s="403" t="e">
        <f t="shared" si="157"/>
        <v>#REF!</v>
      </c>
      <c r="AN37" s="403" t="e">
        <f t="shared" si="157"/>
        <v>#REF!</v>
      </c>
      <c r="AO37" s="403" t="e">
        <f t="shared" si="157"/>
        <v>#REF!</v>
      </c>
      <c r="AP37" s="403" t="e">
        <f t="shared" si="154"/>
        <v>#REF!</v>
      </c>
      <c r="AQ37" s="404" t="e">
        <f t="shared" ref="AQ37:AV37" si="158">AQ34-(AQ36-AQ35)</f>
        <v>#REF!</v>
      </c>
      <c r="AR37" s="403" t="e">
        <f t="shared" si="158"/>
        <v>#REF!</v>
      </c>
      <c r="AS37" s="403" t="e">
        <f t="shared" si="158"/>
        <v>#REF!</v>
      </c>
      <c r="AT37" s="403" t="e">
        <f t="shared" si="158"/>
        <v>#REF!</v>
      </c>
      <c r="AU37" s="403" t="e">
        <f t="shared" si="158"/>
        <v>#REF!</v>
      </c>
      <c r="AV37" s="403" t="e">
        <f t="shared" si="158"/>
        <v>#REF!</v>
      </c>
      <c r="AW37" s="403" t="e">
        <f t="shared" si="154"/>
        <v>#REF!</v>
      </c>
      <c r="AX37" s="404" t="e">
        <f t="shared" si="154"/>
        <v>#REF!</v>
      </c>
      <c r="AY37" s="403" t="e">
        <f t="shared" si="154"/>
        <v>#REF!</v>
      </c>
      <c r="AZ37" s="403" t="e">
        <f t="shared" si="154"/>
        <v>#REF!</v>
      </c>
      <c r="BA37" s="403" t="e">
        <f t="shared" ref="BA37:BC37" si="159">BA34-(BA36-BA35)</f>
        <v>#REF!</v>
      </c>
      <c r="BB37" s="403" t="e">
        <f t="shared" si="159"/>
        <v>#REF!</v>
      </c>
      <c r="BC37" s="403" t="e">
        <f t="shared" si="159"/>
        <v>#REF!</v>
      </c>
      <c r="BD37" s="405" t="e">
        <f t="shared" ref="BD37:BJ37" si="160">BD34-(BD36-BD35)</f>
        <v>#REF!</v>
      </c>
      <c r="BE37" s="404" t="e">
        <f t="shared" si="160"/>
        <v>#REF!</v>
      </c>
      <c r="BF37" s="403" t="e">
        <f t="shared" si="160"/>
        <v>#REF!</v>
      </c>
      <c r="BG37" s="403" t="e">
        <f t="shared" si="160"/>
        <v>#REF!</v>
      </c>
      <c r="BH37" s="403" t="e">
        <f t="shared" si="160"/>
        <v>#REF!</v>
      </c>
      <c r="BI37" s="403" t="e">
        <f t="shared" si="160"/>
        <v>#REF!</v>
      </c>
      <c r="BJ37" s="403" t="e">
        <f t="shared" si="160"/>
        <v>#REF!</v>
      </c>
      <c r="BK37" s="405" t="e">
        <f t="shared" ref="BK37" si="161">BK34-(BK36-BK35)</f>
        <v>#REF!</v>
      </c>
      <c r="BL37" s="406" t="e">
        <f>BK37</f>
        <v>#REF!</v>
      </c>
      <c r="BM37" s="406" t="e">
        <f t="shared" ref="BM37:BR37" si="162">BL37</f>
        <v>#REF!</v>
      </c>
      <c r="BN37" s="406" t="e">
        <f t="shared" si="162"/>
        <v>#REF!</v>
      </c>
      <c r="BO37" s="406" t="e">
        <f t="shared" si="162"/>
        <v>#REF!</v>
      </c>
      <c r="BP37" s="406" t="e">
        <f t="shared" si="162"/>
        <v>#REF!</v>
      </c>
      <c r="BQ37" s="406" t="e">
        <f t="shared" si="162"/>
        <v>#REF!</v>
      </c>
      <c r="BR37" s="406" t="e">
        <f t="shared" si="162"/>
        <v>#REF!</v>
      </c>
      <c r="BS37" s="232"/>
      <c r="BT37" s="407"/>
      <c r="BU37" s="232"/>
      <c r="BV37" s="232"/>
      <c r="BW37" s="232"/>
      <c r="BX37" s="232"/>
      <c r="BY37" s="232"/>
      <c r="BZ37" s="232"/>
      <c r="CA37" s="232"/>
      <c r="CB37" s="232"/>
      <c r="CC37" s="232"/>
      <c r="CD37" s="232"/>
      <c r="CE37" s="232"/>
      <c r="CF37" s="232"/>
      <c r="CG37" s="232"/>
      <c r="CH37" s="232"/>
      <c r="CI37" s="232"/>
      <c r="CJ37" s="232"/>
      <c r="CK37" s="232"/>
      <c r="CL37" s="232"/>
      <c r="CM37" s="232"/>
    </row>
    <row r="38" spans="1:91" s="244" customFormat="1">
      <c r="A38" s="252"/>
      <c r="B38" s="251"/>
      <c r="C38" s="251"/>
      <c r="D38" s="106"/>
      <c r="E38" s="106"/>
      <c r="F38" s="106"/>
      <c r="G38" s="106"/>
      <c r="H38" s="106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35"/>
      <c r="W38" s="106"/>
      <c r="X38" s="106"/>
      <c r="Y38" s="106"/>
      <c r="Z38" s="106"/>
      <c r="AA38" s="106"/>
      <c r="AB38" s="106"/>
      <c r="AC38" s="135"/>
      <c r="AD38" s="106"/>
      <c r="AE38" s="106"/>
      <c r="AF38" s="106"/>
      <c r="AG38" s="106"/>
      <c r="AH38" s="106"/>
      <c r="AI38" s="106"/>
      <c r="AJ38" s="135"/>
      <c r="AK38" s="106"/>
      <c r="AL38" s="106"/>
      <c r="AM38" s="106"/>
      <c r="AN38" s="106"/>
      <c r="AO38" s="106"/>
      <c r="AP38" s="106"/>
      <c r="AQ38" s="135"/>
      <c r="AR38" s="106"/>
      <c r="AS38" s="106"/>
      <c r="AT38" s="106"/>
      <c r="AU38" s="106"/>
      <c r="AV38" s="106"/>
      <c r="AW38" s="106"/>
      <c r="AX38" s="135"/>
      <c r="AY38" s="106"/>
      <c r="AZ38" s="106"/>
      <c r="BA38" s="106"/>
      <c r="BB38" s="106"/>
      <c r="BC38" s="106"/>
      <c r="BD38" s="137"/>
      <c r="BE38" s="135"/>
      <c r="BF38" s="106"/>
      <c r="BG38" s="106"/>
      <c r="BH38" s="106"/>
      <c r="BI38" s="106"/>
      <c r="BJ38" s="106"/>
      <c r="BK38" s="137"/>
      <c r="BL38" s="97"/>
      <c r="BM38" s="97"/>
      <c r="BN38" s="97"/>
      <c r="BO38" s="97"/>
      <c r="BP38" s="97"/>
      <c r="BQ38" s="97"/>
      <c r="BR38" s="97"/>
      <c r="BS38" s="235"/>
      <c r="BT38" s="253"/>
      <c r="BU38" s="235"/>
      <c r="BV38" s="235"/>
      <c r="BW38" s="235"/>
      <c r="BX38" s="235"/>
      <c r="BY38" s="235"/>
      <c r="BZ38" s="235"/>
      <c r="CA38" s="235"/>
      <c r="CB38" s="235"/>
      <c r="CC38" s="235"/>
      <c r="CD38" s="235"/>
      <c r="CE38" s="235"/>
      <c r="CF38" s="235"/>
      <c r="CG38" s="235"/>
      <c r="CH38" s="235"/>
      <c r="CI38" s="235"/>
      <c r="CJ38" s="235"/>
      <c r="CK38" s="235"/>
      <c r="CL38" s="235"/>
      <c r="CM38" s="235"/>
    </row>
    <row r="40" spans="1:91" s="244" customFormat="1">
      <c r="A40" s="254"/>
      <c r="B40" s="255" t="s">
        <v>263</v>
      </c>
      <c r="C40" s="241"/>
      <c r="V40" s="326"/>
      <c r="AC40" s="326"/>
      <c r="AJ40" s="326"/>
      <c r="AQ40" s="326"/>
      <c r="AX40" s="326"/>
      <c r="BD40" s="369"/>
      <c r="BE40" s="326"/>
      <c r="BK40" s="369"/>
      <c r="BS40" s="235"/>
      <c r="BT40" s="243"/>
      <c r="BU40" s="235"/>
      <c r="BV40" s="235"/>
      <c r="BW40" s="235"/>
      <c r="BX40" s="235"/>
      <c r="BY40" s="235"/>
      <c r="BZ40" s="235"/>
      <c r="CA40" s="235"/>
      <c r="CB40" s="235"/>
      <c r="CC40" s="235"/>
      <c r="CD40" s="235"/>
      <c r="CE40" s="235"/>
      <c r="CF40" s="235"/>
      <c r="CG40" s="235"/>
      <c r="CH40" s="235"/>
      <c r="CI40" s="235"/>
      <c r="CJ40" s="235"/>
      <c r="CK40" s="235"/>
      <c r="CL40" s="235"/>
      <c r="CM40" s="235"/>
    </row>
    <row r="41" spans="1:91">
      <c r="A41" s="105" t="s">
        <v>242</v>
      </c>
      <c r="B41" s="117" t="s">
        <v>247</v>
      </c>
      <c r="C41" s="117"/>
      <c r="D41" s="146" t="e">
        <f>INDEX(#REF!, MATCH($A41,#REF!, 0), MATCH(D$4,#REF!, 0))</f>
        <v>#REF!</v>
      </c>
      <c r="E41" s="146" t="e">
        <f>INDEX(#REF!, MATCH($A41,#REF!, 0), MATCH(E$4,#REF!, 0))</f>
        <v>#REF!</v>
      </c>
      <c r="F41" s="146" t="e">
        <f>INDEX(#REF!, MATCH($A41,#REF!, 0), MATCH(F$4,#REF!, 0))</f>
        <v>#REF!</v>
      </c>
      <c r="G41" s="146" t="e">
        <f>INDEX(#REF!, MATCH($A41,#REF!, 0), MATCH(G$4,#REF!, 0))</f>
        <v>#REF!</v>
      </c>
      <c r="H41" s="146" t="e">
        <f>INDEX(#REF!, MATCH($A41,#REF!, 0), MATCH(H$4,#REF!, 0))</f>
        <v>#REF!</v>
      </c>
      <c r="I41" s="146" t="e">
        <f>INDEX(#REF!, MATCH($A41,#REF!, 0), MATCH(I$4,#REF!, 0))</f>
        <v>#REF!</v>
      </c>
      <c r="J41" s="146" t="e">
        <f>INDEX(#REF!, MATCH($A41,#REF!, 0), MATCH(J$4,#REF!, 0))</f>
        <v>#REF!</v>
      </c>
      <c r="K41" s="146" t="e">
        <f>INDEX(#REF!, MATCH($A41,#REF!, 0), MATCH(K$4,#REF!, 0))</f>
        <v>#REF!</v>
      </c>
      <c r="L41" s="146" t="e">
        <f>INDEX(#REF!, MATCH($A41,#REF!, 0), MATCH(L$4,#REF!, 0))</f>
        <v>#REF!</v>
      </c>
      <c r="M41" s="146" t="e">
        <f>INDEX(#REF!, MATCH($A41,#REF!, 0), MATCH(M$4,#REF!, 0))</f>
        <v>#REF!</v>
      </c>
      <c r="N41" s="146" t="e">
        <f>INDEX(#REF!, MATCH($A41,#REF!, 0), MATCH(N$4,#REF!, 0))</f>
        <v>#REF!</v>
      </c>
      <c r="O41" s="146" t="e">
        <f>INDEX(#REF!, MATCH($A41,#REF!, 0), MATCH(O$4,#REF!, 0))</f>
        <v>#REF!</v>
      </c>
      <c r="P41" s="146" t="e">
        <f>INDEX(#REF!, MATCH($A41,#REF!, 0), MATCH(P$4,#REF!, 0))</f>
        <v>#REF!</v>
      </c>
      <c r="Q41" s="146" t="e">
        <f>INDEX(#REF!, MATCH($A41,#REF!, 0), MATCH(Q$4,#REF!, 0))</f>
        <v>#REF!</v>
      </c>
      <c r="R41" s="146" t="e">
        <f>INDEX(#REF!, MATCH($A41,#REF!, 0), MATCH(R$4,#REF!, 0))</f>
        <v>#REF!</v>
      </c>
      <c r="S41" s="146" t="e">
        <f>INDEX(#REF!, MATCH($A41,#REF!, 0), MATCH(S$4,#REF!, 0))</f>
        <v>#REF!</v>
      </c>
      <c r="T41" s="146" t="e">
        <f>INDEX(#REF!, MATCH($A41,#REF!, 0), MATCH(T$4,#REF!, 0))</f>
        <v>#REF!</v>
      </c>
      <c r="U41" s="146" t="e">
        <f>INDEX(#REF!, MATCH($A41,#REF!, 0), MATCH(U$4,#REF!, 0))</f>
        <v>#REF!</v>
      </c>
      <c r="V41" s="320" t="e">
        <f>INDEX(#REF!, MATCH($A41,#REF!, 0), MATCH(V$4,#REF!, 0))</f>
        <v>#REF!</v>
      </c>
      <c r="W41" s="146" t="e">
        <f>INDEX(#REF!, MATCH($A41,#REF!, 0), MATCH(W$4,#REF!, 0))</f>
        <v>#REF!</v>
      </c>
      <c r="X41" s="146" t="e">
        <f>INDEX(#REF!, MATCH($A41,#REF!, 0), MATCH(X$4,#REF!, 0))</f>
        <v>#REF!</v>
      </c>
      <c r="Y41" s="146" t="e">
        <f>INDEX(#REF!, MATCH($A41,#REF!, 0), MATCH(Y$4,#REF!, 0))</f>
        <v>#REF!</v>
      </c>
      <c r="Z41" s="146" t="e">
        <f>INDEX(#REF!, MATCH($A41,#REF!, 0), MATCH(Z$4,#REF!, 0))</f>
        <v>#REF!</v>
      </c>
      <c r="AA41" s="146" t="e">
        <f>INDEX(#REF!, MATCH($A41,#REF!, 0), MATCH(AA$4,#REF!, 0))</f>
        <v>#REF!</v>
      </c>
      <c r="AB41" s="146" t="e">
        <f>INDEX(#REF!, MATCH($A41,#REF!, 0), MATCH(AB$4,#REF!, 0))</f>
        <v>#REF!</v>
      </c>
      <c r="AC41" s="320" t="e">
        <f>INDEX(#REF!, MATCH($A41,#REF!, 0), MATCH(AC$4,#REF!, 0))</f>
        <v>#REF!</v>
      </c>
      <c r="AD41" s="146" t="e">
        <f>INDEX(#REF!, MATCH($A41,#REF!, 0), MATCH(AD$4,#REF!, 0))</f>
        <v>#REF!</v>
      </c>
      <c r="AE41" s="146" t="e">
        <f>INDEX(#REF!, MATCH($A41,#REF!, 0), MATCH(AE$4,#REF!, 0))</f>
        <v>#REF!</v>
      </c>
      <c r="AF41" s="146" t="e">
        <f>INDEX(#REF!, MATCH($A41,#REF!, 0), MATCH(AF$4,#REF!, 0))</f>
        <v>#REF!</v>
      </c>
      <c r="AG41" s="146" t="e">
        <f>INDEX(#REF!, MATCH($A41,#REF!, 0), MATCH(AG$4,#REF!, 0))</f>
        <v>#REF!</v>
      </c>
      <c r="AH41" s="146" t="e">
        <f>INDEX(#REF!, MATCH($A41,#REF!, 0), MATCH(AH$4,#REF!, 0))</f>
        <v>#REF!</v>
      </c>
      <c r="AI41" s="146" t="e">
        <f>INDEX(#REF!, MATCH($A41,#REF!, 0), MATCH(AI$4,#REF!, 0))</f>
        <v>#REF!</v>
      </c>
      <c r="AJ41" s="320" t="e">
        <f>INDEX(#REF!, MATCH($A41,#REF!, 0), MATCH(AJ$4,#REF!, 0))</f>
        <v>#REF!</v>
      </c>
      <c r="AK41" s="146" t="e">
        <f>INDEX(#REF!, MATCH($A41,#REF!, 0), MATCH(AK$4,#REF!, 0))</f>
        <v>#REF!</v>
      </c>
      <c r="AL41" s="146" t="e">
        <f>INDEX(#REF!, MATCH($A41,#REF!, 0), MATCH(AL$4,#REF!, 0))</f>
        <v>#REF!</v>
      </c>
      <c r="AM41" s="146" t="e">
        <f>INDEX(#REF!, MATCH($A41,#REF!, 0), MATCH(AM$4,#REF!, 0))</f>
        <v>#REF!</v>
      </c>
      <c r="AN41" s="146" t="e">
        <f>INDEX(#REF!, MATCH($A41,#REF!, 0), MATCH(AN$4,#REF!, 0))</f>
        <v>#REF!</v>
      </c>
      <c r="AO41" s="146" t="e">
        <f>INDEX(#REF!, MATCH($A41,#REF!, 0), MATCH(AO$4,#REF!, 0))</f>
        <v>#REF!</v>
      </c>
      <c r="AP41" s="146" t="e">
        <f>INDEX(#REF!, MATCH($A41,#REF!, 0), MATCH(AP$4,#REF!, 0))</f>
        <v>#REF!</v>
      </c>
      <c r="AQ41" s="320" t="e">
        <f>INDEX(#REF!, MATCH($A41,#REF!, 0), MATCH(AQ$4,#REF!, 0))</f>
        <v>#REF!</v>
      </c>
      <c r="AR41" s="146" t="e">
        <f>INDEX(#REF!, MATCH($A41,#REF!, 0), MATCH(AR$4,#REF!, 0))</f>
        <v>#REF!</v>
      </c>
      <c r="AS41" s="146" t="e">
        <f>INDEX(#REF!, MATCH($A41,#REF!, 0), MATCH(AS$4,#REF!, 0))</f>
        <v>#REF!</v>
      </c>
      <c r="AT41" s="146" t="e">
        <f>INDEX(#REF!, MATCH($A41,#REF!, 0), MATCH(AT$4,#REF!, 0))</f>
        <v>#REF!</v>
      </c>
      <c r="AU41" s="146" t="e">
        <f>INDEX(#REF!, MATCH($A41,#REF!, 0), MATCH(AU$4,#REF!, 0))</f>
        <v>#REF!</v>
      </c>
      <c r="AV41" s="146" t="e">
        <f>INDEX(#REF!, MATCH($A41,#REF!, 0), MATCH(AV$4,#REF!, 0))</f>
        <v>#REF!</v>
      </c>
      <c r="AW41" s="146" t="e">
        <f>INDEX(#REF!, MATCH($A41,#REF!, 0), MATCH(AW$4,#REF!, 0))</f>
        <v>#REF!</v>
      </c>
      <c r="AX41" s="320" t="e">
        <f>INDEX(#REF!, MATCH($A41,#REF!, 0), MATCH(AX$4,#REF!, 0))</f>
        <v>#REF!</v>
      </c>
      <c r="AY41" s="146" t="e">
        <f>INDEX(#REF!, MATCH($A41,#REF!, 0), MATCH(AY$4,#REF!, 0))</f>
        <v>#REF!</v>
      </c>
      <c r="AZ41" s="146" t="e">
        <f>INDEX(#REF!, MATCH($A41,#REF!, 0), MATCH(AZ$4,#REF!, 0))</f>
        <v>#REF!</v>
      </c>
      <c r="BA41" s="146" t="e">
        <f>INDEX(#REF!, MATCH($A41,#REF!, 0), MATCH(BA$4,#REF!, 0))</f>
        <v>#REF!</v>
      </c>
      <c r="BB41" s="146" t="e">
        <f>INDEX(#REF!, MATCH($A41,#REF!, 0), MATCH(BB$4,#REF!, 0))</f>
        <v>#REF!</v>
      </c>
      <c r="BC41" s="146" t="e">
        <f>INDEX(#REF!, MATCH($A41,#REF!, 0), MATCH(BC$4,#REF!, 0))</f>
        <v>#REF!</v>
      </c>
      <c r="BD41" s="364" t="e">
        <f>INDEX(#REF!, MATCH($A41,#REF!, 0), MATCH(BD$4,#REF!, 0))</f>
        <v>#REF!</v>
      </c>
      <c r="BE41" s="320" t="e">
        <f>INDEX(#REF!, MATCH($A41,#REF!, 0), MATCH(BE$4,#REF!, 0))</f>
        <v>#REF!</v>
      </c>
      <c r="BF41" s="146" t="e">
        <f>INDEX(#REF!, MATCH($A41,#REF!, 0), MATCH(BF$4,#REF!, 0))</f>
        <v>#REF!</v>
      </c>
      <c r="BG41" s="146" t="e">
        <f>INDEX(#REF!, MATCH($A41,#REF!, 0), MATCH(BG$4,#REF!, 0))</f>
        <v>#REF!</v>
      </c>
      <c r="BH41" s="146" t="e">
        <f>INDEX(#REF!, MATCH($A41,#REF!, 0), MATCH(BH$4,#REF!, 0))</f>
        <v>#REF!</v>
      </c>
      <c r="BI41" s="146" t="e">
        <f>INDEX(#REF!, MATCH($A41,#REF!, 0), MATCH(BI$4,#REF!, 0))</f>
        <v>#REF!</v>
      </c>
      <c r="BJ41" s="146" t="e">
        <f>INDEX(#REF!, MATCH($A41,#REF!, 0), MATCH(BJ$4,#REF!, 0))</f>
        <v>#REF!</v>
      </c>
      <c r="BK41" s="364" t="e">
        <f>INDEX(#REF!, MATCH($A41,#REF!, 0), MATCH(BK$4,#REF!, 0))</f>
        <v>#REF!</v>
      </c>
      <c r="BL41" s="146" t="e">
        <f>INDEX(#REF!, MATCH($BT41,#REF!, 0), MATCH(BL$4,#REF!, 0))</f>
        <v>#REF!</v>
      </c>
      <c r="BM41" s="146" t="e">
        <f>INDEX(#REF!, MATCH($BT41,#REF!, 0), MATCH(BM$4,#REF!, 0))</f>
        <v>#REF!</v>
      </c>
      <c r="BN41" s="146" t="e">
        <f>INDEX(#REF!, MATCH($BT41,#REF!, 0), MATCH(BN$4,#REF!, 0))</f>
        <v>#REF!</v>
      </c>
      <c r="BO41" s="146" t="e">
        <f>INDEX(#REF!, MATCH($BT41,#REF!, 0), MATCH(BO$4,#REF!, 0))</f>
        <v>#REF!</v>
      </c>
      <c r="BP41" s="146" t="e">
        <f>INDEX(#REF!, MATCH($BT41,#REF!, 0), MATCH(BP$4,#REF!, 0))</f>
        <v>#REF!</v>
      </c>
      <c r="BQ41" s="146" t="e">
        <f>INDEX(#REF!, MATCH($BT41,#REF!, 0), MATCH(BQ$4,#REF!, 0))</f>
        <v>#REF!</v>
      </c>
      <c r="BR41" s="146" t="e">
        <f>INDEX(#REF!, MATCH($BT41,#REF!, 0), MATCH(BR$4,#REF!, 0))</f>
        <v>#REF!</v>
      </c>
      <c r="BT41" s="105" t="s">
        <v>242</v>
      </c>
    </row>
    <row r="42" spans="1:91" ht="13.8">
      <c r="A42" s="105" t="s">
        <v>165</v>
      </c>
      <c r="B42" s="179" t="s">
        <v>262</v>
      </c>
      <c r="C42" s="117"/>
      <c r="D42" s="146" t="e">
        <f>INDEX(#REF!, MATCH($A42,#REF!, 0), MATCH(D$4,#REF!, 0))</f>
        <v>#REF!</v>
      </c>
      <c r="E42" s="146" t="e">
        <f>INDEX(#REF!, MATCH($A42,#REF!, 0), MATCH(E$4,#REF!, 0))</f>
        <v>#REF!</v>
      </c>
      <c r="F42" s="146" t="e">
        <f>INDEX(#REF!, MATCH($A42,#REF!, 0), MATCH(F$4,#REF!, 0))</f>
        <v>#REF!</v>
      </c>
      <c r="G42" s="146" t="e">
        <f>INDEX(#REF!, MATCH($A42,#REF!, 0), MATCH(G$4,#REF!, 0))</f>
        <v>#REF!</v>
      </c>
      <c r="H42" s="146" t="e">
        <f>INDEX(#REF!, MATCH($A42,#REF!, 0), MATCH(H$4,#REF!, 0))</f>
        <v>#REF!</v>
      </c>
      <c r="I42" s="146" t="e">
        <f>INDEX(#REF!, MATCH($A42,#REF!, 0), MATCH(I$4,#REF!, 0))</f>
        <v>#REF!</v>
      </c>
      <c r="J42" s="146" t="e">
        <f>INDEX(#REF!, MATCH($A42,#REF!, 0), MATCH(J$4,#REF!, 0))</f>
        <v>#REF!</v>
      </c>
      <c r="K42" s="146" t="e">
        <f>INDEX(#REF!, MATCH($A42,#REF!, 0), MATCH(K$4,#REF!, 0))</f>
        <v>#REF!</v>
      </c>
      <c r="L42" s="146" t="e">
        <f>INDEX(#REF!, MATCH($A42,#REF!, 0), MATCH(L$4,#REF!, 0))</f>
        <v>#REF!</v>
      </c>
      <c r="M42" s="146" t="e">
        <f>INDEX(#REF!, MATCH($A42,#REF!, 0), MATCH(M$4,#REF!, 0))</f>
        <v>#REF!</v>
      </c>
      <c r="N42" s="146" t="e">
        <f>INDEX(#REF!, MATCH($A42,#REF!, 0), MATCH(N$4,#REF!, 0))</f>
        <v>#REF!</v>
      </c>
      <c r="O42" s="146" t="e">
        <f>INDEX(#REF!, MATCH($A42,#REF!, 0), MATCH(O$4,#REF!, 0))</f>
        <v>#REF!</v>
      </c>
      <c r="P42" s="146" t="e">
        <f>INDEX(#REF!, MATCH($A42,#REF!, 0), MATCH(P$4,#REF!, 0))</f>
        <v>#REF!</v>
      </c>
      <c r="Q42" s="146" t="e">
        <f>INDEX(#REF!, MATCH($A42,#REF!, 0), MATCH(Q$4,#REF!, 0))</f>
        <v>#REF!</v>
      </c>
      <c r="R42" s="146" t="e">
        <f>INDEX(#REF!, MATCH($A42,#REF!, 0), MATCH(R$4,#REF!, 0))</f>
        <v>#REF!</v>
      </c>
      <c r="S42" s="146" t="e">
        <f>INDEX(#REF!, MATCH($A42,#REF!, 0), MATCH(S$4,#REF!, 0))</f>
        <v>#REF!</v>
      </c>
      <c r="T42" s="146" t="e">
        <f>INDEX(#REF!, MATCH($A42,#REF!, 0), MATCH(T$4,#REF!, 0))</f>
        <v>#REF!</v>
      </c>
      <c r="U42" s="146" t="e">
        <f>INDEX(#REF!, MATCH($A42,#REF!, 0), MATCH(U$4,#REF!, 0))</f>
        <v>#REF!</v>
      </c>
      <c r="V42" s="320" t="e">
        <f>INDEX(#REF!, MATCH($A42,#REF!, 0), MATCH(V$4,#REF!, 0))</f>
        <v>#REF!</v>
      </c>
      <c r="W42" s="146" t="e">
        <f>INDEX(#REF!, MATCH($A42,#REF!, 0), MATCH(W$4,#REF!, 0))</f>
        <v>#REF!</v>
      </c>
      <c r="X42" s="146" t="e">
        <f>INDEX(#REF!, MATCH($A42,#REF!, 0), MATCH(X$4,#REF!, 0))</f>
        <v>#REF!</v>
      </c>
      <c r="Y42" s="146" t="e">
        <f>INDEX(#REF!, MATCH($A42,#REF!, 0), MATCH(Y$4,#REF!, 0))</f>
        <v>#REF!</v>
      </c>
      <c r="Z42" s="146" t="e">
        <f>INDEX(#REF!, MATCH($A42,#REF!, 0), MATCH(Z$4,#REF!, 0))</f>
        <v>#REF!</v>
      </c>
      <c r="AA42" s="146" t="e">
        <f>INDEX(#REF!, MATCH($A42,#REF!, 0), MATCH(AA$4,#REF!, 0))</f>
        <v>#REF!</v>
      </c>
      <c r="AB42" s="146" t="e">
        <f>INDEX(#REF!, MATCH($A42,#REF!, 0), MATCH(AB$4,#REF!, 0))</f>
        <v>#REF!</v>
      </c>
      <c r="AC42" s="320" t="e">
        <f>INDEX(#REF!, MATCH($A42,#REF!, 0), MATCH(AC$4,#REF!, 0))</f>
        <v>#REF!</v>
      </c>
      <c r="AD42" s="146" t="e">
        <f>INDEX(#REF!, MATCH($A42,#REF!, 0), MATCH(AD$4,#REF!, 0))</f>
        <v>#REF!</v>
      </c>
      <c r="AE42" s="146" t="e">
        <f>INDEX(#REF!, MATCH($A42,#REF!, 0), MATCH(AE$4,#REF!, 0))</f>
        <v>#REF!</v>
      </c>
      <c r="AF42" s="146" t="e">
        <f>INDEX(#REF!, MATCH($A42,#REF!, 0), MATCH(AF$4,#REF!, 0))</f>
        <v>#REF!</v>
      </c>
      <c r="AG42" s="146" t="e">
        <f>INDEX(#REF!, MATCH($A42,#REF!, 0), MATCH(AG$4,#REF!, 0))</f>
        <v>#REF!</v>
      </c>
      <c r="AH42" s="146" t="e">
        <f>INDEX(#REF!, MATCH($A42,#REF!, 0), MATCH(AH$4,#REF!, 0))</f>
        <v>#REF!</v>
      </c>
      <c r="AI42" s="146" t="e">
        <f>INDEX(#REF!, MATCH($A42,#REF!, 0), MATCH(AI$4,#REF!, 0))</f>
        <v>#REF!</v>
      </c>
      <c r="AJ42" s="320" t="e">
        <f>INDEX(#REF!, MATCH($A42,#REF!, 0), MATCH(AJ$4,#REF!, 0))</f>
        <v>#REF!</v>
      </c>
      <c r="AK42" s="146" t="e">
        <f>INDEX(#REF!, MATCH($A42,#REF!, 0), MATCH(AK$4,#REF!, 0))</f>
        <v>#REF!</v>
      </c>
      <c r="AL42" s="146" t="e">
        <f>INDEX(#REF!, MATCH($A42,#REF!, 0), MATCH(AL$4,#REF!, 0))</f>
        <v>#REF!</v>
      </c>
      <c r="AM42" s="146" t="e">
        <f>INDEX(#REF!, MATCH($A42,#REF!, 0), MATCH(AM$4,#REF!, 0))</f>
        <v>#REF!</v>
      </c>
      <c r="AN42" s="146" t="e">
        <f>INDEX(#REF!, MATCH($A42,#REF!, 0), MATCH(AN$4,#REF!, 0))</f>
        <v>#REF!</v>
      </c>
      <c r="AO42" s="146" t="e">
        <f>INDEX(#REF!, MATCH($A42,#REF!, 0), MATCH(AO$4,#REF!, 0))</f>
        <v>#REF!</v>
      </c>
      <c r="AP42" s="146" t="e">
        <f>INDEX(#REF!, MATCH($A42,#REF!, 0), MATCH(AP$4,#REF!, 0))</f>
        <v>#REF!</v>
      </c>
      <c r="AQ42" s="320" t="e">
        <f>INDEX(#REF!, MATCH($A42,#REF!, 0), MATCH(AQ$4,#REF!, 0))</f>
        <v>#REF!</v>
      </c>
      <c r="AR42" s="146" t="e">
        <f>INDEX(#REF!, MATCH($A42,#REF!, 0), MATCH(AR$4,#REF!, 0))</f>
        <v>#REF!</v>
      </c>
      <c r="AS42" s="146" t="e">
        <f>INDEX(#REF!, MATCH($A42,#REF!, 0), MATCH(AS$4,#REF!, 0))</f>
        <v>#REF!</v>
      </c>
      <c r="AT42" s="146" t="e">
        <f>INDEX(#REF!, MATCH($A42,#REF!, 0), MATCH(AT$4,#REF!, 0))</f>
        <v>#REF!</v>
      </c>
      <c r="AU42" s="146" t="e">
        <f>INDEX(#REF!, MATCH($A42,#REF!, 0), MATCH(AU$4,#REF!, 0))</f>
        <v>#REF!</v>
      </c>
      <c r="AV42" s="146" t="e">
        <f>INDEX(#REF!, MATCH($A42,#REF!, 0), MATCH(AV$4,#REF!, 0))</f>
        <v>#REF!</v>
      </c>
      <c r="AW42" s="146" t="e">
        <f>INDEX(#REF!, MATCH($A42,#REF!, 0), MATCH(AW$4,#REF!, 0))</f>
        <v>#REF!</v>
      </c>
      <c r="AX42" s="320" t="e">
        <f>INDEX(#REF!, MATCH($A42,#REF!, 0), MATCH(AX$4,#REF!, 0))</f>
        <v>#REF!</v>
      </c>
      <c r="AY42" s="146" t="e">
        <f>INDEX(#REF!, MATCH($A42,#REF!, 0), MATCH(AY$4,#REF!, 0))</f>
        <v>#REF!</v>
      </c>
      <c r="AZ42" s="146" t="e">
        <f>INDEX(#REF!, MATCH($A42,#REF!, 0), MATCH(AZ$4,#REF!, 0))</f>
        <v>#REF!</v>
      </c>
      <c r="BA42" s="146" t="e">
        <f>INDEX(#REF!, MATCH($A42,#REF!, 0), MATCH(BA$4,#REF!, 0))</f>
        <v>#REF!</v>
      </c>
      <c r="BB42" s="146" t="e">
        <f>INDEX(#REF!, MATCH($A42,#REF!, 0), MATCH(BB$4,#REF!, 0))</f>
        <v>#REF!</v>
      </c>
      <c r="BC42" s="146" t="e">
        <f>INDEX(#REF!, MATCH($A42,#REF!, 0), MATCH(BC$4,#REF!, 0))</f>
        <v>#REF!</v>
      </c>
      <c r="BD42" s="364" t="e">
        <f>INDEX(#REF!, MATCH($A42,#REF!, 0), MATCH(BD$4,#REF!, 0))</f>
        <v>#REF!</v>
      </c>
      <c r="BE42" s="320" t="e">
        <f>INDEX(#REF!, MATCH($A42,#REF!, 0), MATCH(BE$4,#REF!, 0))</f>
        <v>#REF!</v>
      </c>
      <c r="BF42" s="146" t="e">
        <f>INDEX(#REF!, MATCH($A42,#REF!, 0), MATCH(BF$4,#REF!, 0))</f>
        <v>#REF!</v>
      </c>
      <c r="BG42" s="146" t="e">
        <f>INDEX(#REF!, MATCH($A42,#REF!, 0), MATCH(BG$4,#REF!, 0))</f>
        <v>#REF!</v>
      </c>
      <c r="BH42" s="146" t="e">
        <f>INDEX(#REF!, MATCH($A42,#REF!, 0), MATCH(BH$4,#REF!, 0))</f>
        <v>#REF!</v>
      </c>
      <c r="BI42" s="146" t="e">
        <f>INDEX(#REF!, MATCH($A42,#REF!, 0), MATCH(BI$4,#REF!, 0))</f>
        <v>#REF!</v>
      </c>
      <c r="BJ42" s="146" t="e">
        <f>INDEX(#REF!, MATCH($A42,#REF!, 0), MATCH(BJ$4,#REF!, 0))</f>
        <v>#REF!</v>
      </c>
      <c r="BK42" s="364" t="e">
        <f>INDEX(#REF!, MATCH($A42,#REF!, 0), MATCH(BK$4,#REF!, 0))</f>
        <v>#REF!</v>
      </c>
      <c r="BL42" s="146" t="e">
        <f>INDEX(#REF!, MATCH($BT42,#REF!, 0), MATCH(BL$4,#REF!, 0))</f>
        <v>#REF!</v>
      </c>
      <c r="BM42" s="146" t="e">
        <f>INDEX(#REF!, MATCH($BT42,#REF!, 0), MATCH(BM$4,#REF!, 0))</f>
        <v>#REF!</v>
      </c>
      <c r="BN42" s="146" t="e">
        <f>INDEX(#REF!, MATCH($BT42,#REF!, 0), MATCH(BN$4,#REF!, 0))</f>
        <v>#REF!</v>
      </c>
      <c r="BO42" s="146" t="e">
        <f>INDEX(#REF!, MATCH($BT42,#REF!, 0), MATCH(BO$4,#REF!, 0))</f>
        <v>#REF!</v>
      </c>
      <c r="BP42" s="146" t="e">
        <f>INDEX(#REF!, MATCH($BT42,#REF!, 0), MATCH(BP$4,#REF!, 0))</f>
        <v>#REF!</v>
      </c>
      <c r="BQ42" s="146" t="e">
        <f>INDEX(#REF!, MATCH($BT42,#REF!, 0), MATCH(BQ$4,#REF!, 0))</f>
        <v>#REF!</v>
      </c>
      <c r="BR42" s="146" t="e">
        <f>INDEX(#REF!, MATCH($BT42,#REF!, 0), MATCH(BR$4,#REF!, 0))</f>
        <v>#REF!</v>
      </c>
      <c r="BT42" s="105" t="s">
        <v>165</v>
      </c>
    </row>
    <row r="43" spans="1:91" ht="12.6">
      <c r="A43" s="130"/>
      <c r="B43" s="183" t="s">
        <v>249</v>
      </c>
      <c r="C43" s="184"/>
      <c r="D43" s="156"/>
      <c r="E43" s="156"/>
      <c r="F43" s="156"/>
      <c r="G43" s="156"/>
      <c r="H43" s="156"/>
      <c r="I43" s="156"/>
      <c r="J43" s="156"/>
      <c r="K43" s="156"/>
      <c r="L43" s="156"/>
      <c r="M43" s="156"/>
      <c r="N43" s="156"/>
      <c r="O43" s="156"/>
      <c r="P43" s="156"/>
      <c r="Q43" s="156"/>
      <c r="R43" s="156"/>
      <c r="S43" s="156"/>
      <c r="T43" s="156"/>
      <c r="U43" s="156"/>
      <c r="V43" s="323"/>
      <c r="W43" s="156"/>
      <c r="X43" s="156"/>
      <c r="Y43" s="156"/>
      <c r="Z43" s="156"/>
      <c r="AA43" s="156"/>
      <c r="AB43" s="156"/>
      <c r="AC43" s="323"/>
      <c r="AD43" s="156"/>
      <c r="AE43" s="156"/>
      <c r="AF43" s="156"/>
      <c r="AG43" s="156"/>
      <c r="AH43" s="156"/>
      <c r="AI43" s="156"/>
      <c r="AJ43" s="323"/>
      <c r="AK43" s="156"/>
      <c r="AL43" s="156"/>
      <c r="AM43" s="156"/>
      <c r="AN43" s="156"/>
      <c r="AO43" s="156"/>
      <c r="AP43" s="156"/>
      <c r="AQ43" s="323"/>
      <c r="AR43" s="156"/>
      <c r="AS43" s="156"/>
      <c r="AT43" s="156"/>
      <c r="AU43" s="156"/>
      <c r="AV43" s="156"/>
      <c r="AW43" s="156"/>
      <c r="AX43" s="323"/>
      <c r="AY43" s="156"/>
      <c r="AZ43" s="156"/>
      <c r="BA43" s="156"/>
      <c r="BB43" s="156"/>
      <c r="BC43" s="156"/>
      <c r="BD43" s="367"/>
      <c r="BE43" s="323"/>
      <c r="BF43" s="156"/>
      <c r="BG43" s="156"/>
      <c r="BH43" s="156"/>
      <c r="BI43" s="156"/>
      <c r="BJ43" s="156"/>
      <c r="BK43" s="367"/>
      <c r="BL43" s="165"/>
      <c r="BM43" s="165"/>
      <c r="BN43" s="119"/>
      <c r="BO43" s="119"/>
      <c r="BP43" s="165"/>
      <c r="BQ43" s="119"/>
      <c r="BR43" s="165"/>
      <c r="BT43" s="121"/>
    </row>
    <row r="44" spans="1:91" ht="12.6">
      <c r="A44" s="185"/>
      <c r="B44" s="183" t="s">
        <v>248</v>
      </c>
      <c r="C44" s="184"/>
      <c r="D44" s="157"/>
      <c r="E44" s="157"/>
      <c r="F44" s="157"/>
      <c r="G44" s="157"/>
      <c r="H44" s="157"/>
      <c r="I44" s="157"/>
      <c r="J44" s="157"/>
      <c r="K44" s="157"/>
      <c r="L44" s="157"/>
      <c r="M44" s="157"/>
      <c r="N44" s="157"/>
      <c r="O44" s="157"/>
      <c r="P44" s="157"/>
      <c r="Q44" s="157"/>
      <c r="R44" s="157"/>
      <c r="S44" s="157"/>
      <c r="T44" s="157"/>
      <c r="U44" s="157"/>
      <c r="V44" s="327"/>
      <c r="W44" s="157"/>
      <c r="X44" s="157"/>
      <c r="Y44" s="157"/>
      <c r="Z44" s="157"/>
      <c r="AA44" s="157"/>
      <c r="AB44" s="157"/>
      <c r="AC44" s="327"/>
      <c r="AD44" s="157"/>
      <c r="AE44" s="157"/>
      <c r="AF44" s="157"/>
      <c r="AG44" s="157"/>
      <c r="AH44" s="157"/>
      <c r="AI44" s="157"/>
      <c r="AJ44" s="327"/>
      <c r="AK44" s="157"/>
      <c r="AL44" s="157"/>
      <c r="AM44" s="157"/>
      <c r="AN44" s="157"/>
      <c r="AO44" s="157"/>
      <c r="AP44" s="157"/>
      <c r="AQ44" s="327"/>
      <c r="AR44" s="157"/>
      <c r="AS44" s="157"/>
      <c r="AT44" s="157"/>
      <c r="AU44" s="157"/>
      <c r="AV44" s="157"/>
      <c r="AW44" s="157"/>
      <c r="AX44" s="327"/>
      <c r="AY44" s="157"/>
      <c r="AZ44" s="157"/>
      <c r="BA44" s="157"/>
      <c r="BB44" s="157"/>
      <c r="BC44" s="157"/>
      <c r="BD44" s="370"/>
      <c r="BE44" s="327"/>
      <c r="BF44" s="157"/>
      <c r="BG44" s="157"/>
      <c r="BH44" s="157"/>
      <c r="BI44" s="157"/>
      <c r="BJ44" s="157"/>
      <c r="BK44" s="370"/>
      <c r="BL44" s="165"/>
      <c r="BM44" s="165"/>
      <c r="BN44" s="119"/>
      <c r="BO44" s="119"/>
      <c r="BP44" s="165"/>
      <c r="BQ44" s="119"/>
      <c r="BR44" s="165"/>
      <c r="BT44" s="121"/>
    </row>
    <row r="45" spans="1:91" ht="13.8">
      <c r="A45" s="105" t="s">
        <v>166</v>
      </c>
      <c r="B45" s="179" t="s">
        <v>261</v>
      </c>
      <c r="C45" s="117"/>
      <c r="D45" s="146" t="e">
        <f>INDEX(#REF!, MATCH($A45,#REF!, 0), MATCH(D$4,#REF!, 0))</f>
        <v>#REF!</v>
      </c>
      <c r="E45" s="146" t="e">
        <f>INDEX(#REF!, MATCH($A45,#REF!, 0), MATCH(E$4,#REF!, 0))</f>
        <v>#REF!</v>
      </c>
      <c r="F45" s="146" t="e">
        <f>INDEX(#REF!, MATCH($A45,#REF!, 0), MATCH(F$4,#REF!, 0))</f>
        <v>#REF!</v>
      </c>
      <c r="G45" s="146" t="e">
        <f>INDEX(#REF!, MATCH($A45,#REF!, 0), MATCH(G$4,#REF!, 0))</f>
        <v>#REF!</v>
      </c>
      <c r="H45" s="146" t="e">
        <f>INDEX(#REF!, MATCH($A45,#REF!, 0), MATCH(H$4,#REF!, 0))</f>
        <v>#REF!</v>
      </c>
      <c r="I45" s="146" t="e">
        <f>INDEX(#REF!, MATCH($A45,#REF!, 0), MATCH(I$4,#REF!, 0))</f>
        <v>#REF!</v>
      </c>
      <c r="J45" s="146" t="e">
        <f>INDEX(#REF!, MATCH($A45,#REF!, 0), MATCH(J$4,#REF!, 0))</f>
        <v>#REF!</v>
      </c>
      <c r="K45" s="146" t="e">
        <f>INDEX(#REF!, MATCH($A45,#REF!, 0), MATCH(K$4,#REF!, 0))</f>
        <v>#REF!</v>
      </c>
      <c r="L45" s="146" t="e">
        <f>INDEX(#REF!, MATCH($A45,#REF!, 0), MATCH(L$4,#REF!, 0))</f>
        <v>#REF!</v>
      </c>
      <c r="M45" s="146" t="e">
        <f>INDEX(#REF!, MATCH($A45,#REF!, 0), MATCH(M$4,#REF!, 0))</f>
        <v>#REF!</v>
      </c>
      <c r="N45" s="146" t="e">
        <f>INDEX(#REF!, MATCH($A45,#REF!, 0), MATCH(N$4,#REF!, 0))</f>
        <v>#REF!</v>
      </c>
      <c r="O45" s="146" t="e">
        <f>INDEX(#REF!, MATCH($A45,#REF!, 0), MATCH(O$4,#REF!, 0))</f>
        <v>#REF!</v>
      </c>
      <c r="P45" s="146" t="e">
        <f>INDEX(#REF!, MATCH($A45,#REF!, 0), MATCH(P$4,#REF!, 0))</f>
        <v>#REF!</v>
      </c>
      <c r="Q45" s="146" t="e">
        <f>INDEX(#REF!, MATCH($A45,#REF!, 0), MATCH(Q$4,#REF!, 0))</f>
        <v>#REF!</v>
      </c>
      <c r="R45" s="146" t="e">
        <f>INDEX(#REF!, MATCH($A45,#REF!, 0), MATCH(R$4,#REF!, 0))</f>
        <v>#REF!</v>
      </c>
      <c r="S45" s="146" t="e">
        <f>INDEX(#REF!, MATCH($A45,#REF!, 0), MATCH(S$4,#REF!, 0))</f>
        <v>#REF!</v>
      </c>
      <c r="T45" s="146" t="e">
        <f>INDEX(#REF!, MATCH($A45,#REF!, 0), MATCH(T$4,#REF!, 0))</f>
        <v>#REF!</v>
      </c>
      <c r="U45" s="146" t="e">
        <f>INDEX(#REF!, MATCH($A45,#REF!, 0), MATCH(U$4,#REF!, 0))</f>
        <v>#REF!</v>
      </c>
      <c r="V45" s="320" t="e">
        <f>INDEX(#REF!, MATCH($A45,#REF!, 0), MATCH(V$4,#REF!, 0))</f>
        <v>#REF!</v>
      </c>
      <c r="W45" s="146" t="e">
        <f>INDEX(#REF!, MATCH($A45,#REF!, 0), MATCH(W$4,#REF!, 0))</f>
        <v>#REF!</v>
      </c>
      <c r="X45" s="146" t="e">
        <f>INDEX(#REF!, MATCH($A45,#REF!, 0), MATCH(X$4,#REF!, 0))</f>
        <v>#REF!</v>
      </c>
      <c r="Y45" s="146" t="e">
        <f>INDEX(#REF!, MATCH($A45,#REF!, 0), MATCH(Y$4,#REF!, 0))</f>
        <v>#REF!</v>
      </c>
      <c r="Z45" s="146" t="e">
        <f>INDEX(#REF!, MATCH($A45,#REF!, 0), MATCH(Z$4,#REF!, 0))</f>
        <v>#REF!</v>
      </c>
      <c r="AA45" s="146" t="e">
        <f>INDEX(#REF!, MATCH($A45,#REF!, 0), MATCH(AA$4,#REF!, 0))</f>
        <v>#REF!</v>
      </c>
      <c r="AB45" s="146" t="e">
        <f>INDEX(#REF!, MATCH($A45,#REF!, 0), MATCH(AB$4,#REF!, 0))</f>
        <v>#REF!</v>
      </c>
      <c r="AC45" s="320" t="e">
        <f>INDEX(#REF!, MATCH($A45,#REF!, 0), MATCH(AC$4,#REF!, 0))</f>
        <v>#REF!</v>
      </c>
      <c r="AD45" s="146" t="e">
        <f>INDEX(#REF!, MATCH($A45,#REF!, 0), MATCH(AD$4,#REF!, 0))</f>
        <v>#REF!</v>
      </c>
      <c r="AE45" s="146" t="e">
        <f>INDEX(#REF!, MATCH($A45,#REF!, 0), MATCH(AE$4,#REF!, 0))</f>
        <v>#REF!</v>
      </c>
      <c r="AF45" s="146" t="e">
        <f>INDEX(#REF!, MATCH($A45,#REF!, 0), MATCH(AF$4,#REF!, 0))</f>
        <v>#REF!</v>
      </c>
      <c r="AG45" s="146" t="e">
        <f>INDEX(#REF!, MATCH($A45,#REF!, 0), MATCH(AG$4,#REF!, 0))</f>
        <v>#REF!</v>
      </c>
      <c r="AH45" s="146" t="e">
        <f>INDEX(#REF!, MATCH($A45,#REF!, 0), MATCH(AH$4,#REF!, 0))</f>
        <v>#REF!</v>
      </c>
      <c r="AI45" s="146" t="e">
        <f>INDEX(#REF!, MATCH($A45,#REF!, 0), MATCH(AI$4,#REF!, 0))</f>
        <v>#REF!</v>
      </c>
      <c r="AJ45" s="320" t="e">
        <f>INDEX(#REF!, MATCH($A45,#REF!, 0), MATCH(AJ$4,#REF!, 0))</f>
        <v>#REF!</v>
      </c>
      <c r="AK45" s="146" t="e">
        <f>INDEX(#REF!, MATCH($A45,#REF!, 0), MATCH(AK$4,#REF!, 0))</f>
        <v>#REF!</v>
      </c>
      <c r="AL45" s="146" t="e">
        <f>INDEX(#REF!, MATCH($A45,#REF!, 0), MATCH(AL$4,#REF!, 0))</f>
        <v>#REF!</v>
      </c>
      <c r="AM45" s="146" t="e">
        <f>INDEX(#REF!, MATCH($A45,#REF!, 0), MATCH(AM$4,#REF!, 0))</f>
        <v>#REF!</v>
      </c>
      <c r="AN45" s="146" t="e">
        <f>INDEX(#REF!, MATCH($A45,#REF!, 0), MATCH(AN$4,#REF!, 0))</f>
        <v>#REF!</v>
      </c>
      <c r="AO45" s="146" t="e">
        <f>INDEX(#REF!, MATCH($A45,#REF!, 0), MATCH(AO$4,#REF!, 0))</f>
        <v>#REF!</v>
      </c>
      <c r="AP45" s="146" t="e">
        <f>INDEX(#REF!, MATCH($A45,#REF!, 0), MATCH(AP$4,#REF!, 0))</f>
        <v>#REF!</v>
      </c>
      <c r="AQ45" s="320" t="e">
        <f>INDEX(#REF!, MATCH($A45,#REF!, 0), MATCH(AQ$4,#REF!, 0))</f>
        <v>#REF!</v>
      </c>
      <c r="AR45" s="146" t="e">
        <f>INDEX(#REF!, MATCH($A45,#REF!, 0), MATCH(AR$4,#REF!, 0))</f>
        <v>#REF!</v>
      </c>
      <c r="AS45" s="146" t="e">
        <f>INDEX(#REF!, MATCH($A45,#REF!, 0), MATCH(AS$4,#REF!, 0))</f>
        <v>#REF!</v>
      </c>
      <c r="AT45" s="146" t="e">
        <f>INDEX(#REF!, MATCH($A45,#REF!, 0), MATCH(AT$4,#REF!, 0))</f>
        <v>#REF!</v>
      </c>
      <c r="AU45" s="146" t="e">
        <f>INDEX(#REF!, MATCH($A45,#REF!, 0), MATCH(AU$4,#REF!, 0))</f>
        <v>#REF!</v>
      </c>
      <c r="AV45" s="146" t="e">
        <f>INDEX(#REF!, MATCH($A45,#REF!, 0), MATCH(AV$4,#REF!, 0))</f>
        <v>#REF!</v>
      </c>
      <c r="AW45" s="146" t="e">
        <f>INDEX(#REF!, MATCH($A45,#REF!, 0), MATCH(AW$4,#REF!, 0))</f>
        <v>#REF!</v>
      </c>
      <c r="AX45" s="320" t="e">
        <f>INDEX(#REF!, MATCH($A45,#REF!, 0), MATCH(AX$4,#REF!, 0))</f>
        <v>#REF!</v>
      </c>
      <c r="AY45" s="146" t="e">
        <f>INDEX(#REF!, MATCH($A45,#REF!, 0), MATCH(AY$4,#REF!, 0))</f>
        <v>#REF!</v>
      </c>
      <c r="AZ45" s="146" t="e">
        <f>INDEX(#REF!, MATCH($A45,#REF!, 0), MATCH(AZ$4,#REF!, 0))</f>
        <v>#REF!</v>
      </c>
      <c r="BA45" s="146" t="e">
        <f>INDEX(#REF!, MATCH($A45,#REF!, 0), MATCH(BA$4,#REF!, 0))</f>
        <v>#REF!</v>
      </c>
      <c r="BB45" s="146" t="e">
        <f>INDEX(#REF!, MATCH($A45,#REF!, 0), MATCH(BB$4,#REF!, 0))</f>
        <v>#REF!</v>
      </c>
      <c r="BC45" s="146" t="e">
        <f>INDEX(#REF!, MATCH($A45,#REF!, 0), MATCH(BC$4,#REF!, 0))</f>
        <v>#REF!</v>
      </c>
      <c r="BD45" s="364" t="e">
        <f>INDEX(#REF!, MATCH($A45,#REF!, 0), MATCH(BD$4,#REF!, 0))</f>
        <v>#REF!</v>
      </c>
      <c r="BE45" s="320" t="e">
        <f>INDEX(#REF!, MATCH($A45,#REF!, 0), MATCH(BE$4,#REF!, 0))</f>
        <v>#REF!</v>
      </c>
      <c r="BF45" s="146" t="e">
        <f>INDEX(#REF!, MATCH($A45,#REF!, 0), MATCH(BF$4,#REF!, 0))</f>
        <v>#REF!</v>
      </c>
      <c r="BG45" s="146" t="e">
        <f>INDEX(#REF!, MATCH($A45,#REF!, 0), MATCH(BG$4,#REF!, 0))</f>
        <v>#REF!</v>
      </c>
      <c r="BH45" s="146" t="e">
        <f>INDEX(#REF!, MATCH($A45,#REF!, 0), MATCH(BH$4,#REF!, 0))</f>
        <v>#REF!</v>
      </c>
      <c r="BI45" s="146" t="e">
        <f>INDEX(#REF!, MATCH($A45,#REF!, 0), MATCH(BI$4,#REF!, 0))</f>
        <v>#REF!</v>
      </c>
      <c r="BJ45" s="146" t="e">
        <f>INDEX(#REF!, MATCH($A45,#REF!, 0), MATCH(BJ$4,#REF!, 0))</f>
        <v>#REF!</v>
      </c>
      <c r="BK45" s="364" t="e">
        <f>INDEX(#REF!, MATCH($A45,#REF!, 0), MATCH(BK$4,#REF!, 0))</f>
        <v>#REF!</v>
      </c>
      <c r="BL45" s="146" t="e">
        <f>INDEX(#REF!, MATCH($BT45,#REF!, 0), MATCH(BL$4,#REF!, 0))</f>
        <v>#REF!</v>
      </c>
      <c r="BM45" s="146" t="e">
        <f>INDEX(#REF!, MATCH($BT45,#REF!, 0), MATCH(BM$4,#REF!, 0))</f>
        <v>#REF!</v>
      </c>
      <c r="BN45" s="146" t="e">
        <f>INDEX(#REF!, MATCH($BT45,#REF!, 0), MATCH(BN$4,#REF!, 0))</f>
        <v>#REF!</v>
      </c>
      <c r="BO45" s="146" t="e">
        <f>INDEX(#REF!, MATCH($BT45,#REF!, 0), MATCH(BO$4,#REF!, 0))</f>
        <v>#REF!</v>
      </c>
      <c r="BP45" s="146" t="e">
        <f>INDEX(#REF!, MATCH($BT45,#REF!, 0), MATCH(BP$4,#REF!, 0))</f>
        <v>#REF!</v>
      </c>
      <c r="BQ45" s="146" t="e">
        <f>INDEX(#REF!, MATCH($BT45,#REF!, 0), MATCH(BQ$4,#REF!, 0))</f>
        <v>#REF!</v>
      </c>
      <c r="BR45" s="146" t="e">
        <f>INDEX(#REF!, MATCH($BT45,#REF!, 0), MATCH(BR$4,#REF!, 0))</f>
        <v>#REF!</v>
      </c>
      <c r="BT45" s="105" t="s">
        <v>166</v>
      </c>
    </row>
    <row r="46" spans="1:91">
      <c r="A46" s="105" t="s">
        <v>240</v>
      </c>
      <c r="B46" s="117" t="s">
        <v>250</v>
      </c>
      <c r="C46" s="117"/>
      <c r="D46" s="146" t="e">
        <f>INDEX(#REF!, MATCH($A46,#REF!, 0), MATCH(D$4,#REF!, 0))</f>
        <v>#REF!</v>
      </c>
      <c r="E46" s="146" t="e">
        <f>INDEX(#REF!, MATCH($A46,#REF!, 0), MATCH(E$4,#REF!, 0))</f>
        <v>#REF!</v>
      </c>
      <c r="F46" s="146" t="e">
        <f>INDEX(#REF!, MATCH($A46,#REF!, 0), MATCH(F$4,#REF!, 0))</f>
        <v>#REF!</v>
      </c>
      <c r="G46" s="146" t="e">
        <f>INDEX(#REF!, MATCH($A46,#REF!, 0), MATCH(G$4,#REF!, 0))</f>
        <v>#REF!</v>
      </c>
      <c r="H46" s="146" t="e">
        <f>INDEX(#REF!, MATCH($A46,#REF!, 0), MATCH(H$4,#REF!, 0))</f>
        <v>#REF!</v>
      </c>
      <c r="I46" s="146" t="e">
        <f>INDEX(#REF!, MATCH($A46,#REF!, 0), MATCH(I$4,#REF!, 0))</f>
        <v>#REF!</v>
      </c>
      <c r="J46" s="146" t="e">
        <f>INDEX(#REF!, MATCH($A46,#REF!, 0), MATCH(J$4,#REF!, 0))</f>
        <v>#REF!</v>
      </c>
      <c r="K46" s="146" t="e">
        <f>INDEX(#REF!, MATCH($A46,#REF!, 0), MATCH(K$4,#REF!, 0))</f>
        <v>#REF!</v>
      </c>
      <c r="L46" s="146" t="e">
        <f>INDEX(#REF!, MATCH($A46,#REF!, 0), MATCH(L$4,#REF!, 0))</f>
        <v>#REF!</v>
      </c>
      <c r="M46" s="146" t="e">
        <f>INDEX(#REF!, MATCH($A46,#REF!, 0), MATCH(M$4,#REF!, 0))</f>
        <v>#REF!</v>
      </c>
      <c r="N46" s="146" t="e">
        <f>INDEX(#REF!, MATCH($A46,#REF!, 0), MATCH(N$4,#REF!, 0))</f>
        <v>#REF!</v>
      </c>
      <c r="O46" s="146" t="e">
        <f>INDEX(#REF!, MATCH($A46,#REF!, 0), MATCH(O$4,#REF!, 0))</f>
        <v>#REF!</v>
      </c>
      <c r="P46" s="146" t="e">
        <f>INDEX(#REF!, MATCH($A46,#REF!, 0), MATCH(P$4,#REF!, 0))</f>
        <v>#REF!</v>
      </c>
      <c r="Q46" s="146" t="e">
        <f>INDEX(#REF!, MATCH($A46,#REF!, 0), MATCH(Q$4,#REF!, 0))</f>
        <v>#REF!</v>
      </c>
      <c r="R46" s="146" t="e">
        <f>INDEX(#REF!, MATCH($A46,#REF!, 0), MATCH(R$4,#REF!, 0))</f>
        <v>#REF!</v>
      </c>
      <c r="S46" s="146" t="e">
        <f>INDEX(#REF!, MATCH($A46,#REF!, 0), MATCH(S$4,#REF!, 0))</f>
        <v>#REF!</v>
      </c>
      <c r="T46" s="146" t="e">
        <f>INDEX(#REF!, MATCH($A46,#REF!, 0), MATCH(T$4,#REF!, 0))</f>
        <v>#REF!</v>
      </c>
      <c r="U46" s="146" t="e">
        <f>INDEX(#REF!, MATCH($A46,#REF!, 0), MATCH(U$4,#REF!, 0))</f>
        <v>#REF!</v>
      </c>
      <c r="V46" s="320" t="e">
        <f>INDEX(#REF!, MATCH($A46,#REF!, 0), MATCH(V$4,#REF!, 0))</f>
        <v>#REF!</v>
      </c>
      <c r="W46" s="146" t="e">
        <f>INDEX(#REF!, MATCH($A46,#REF!, 0), MATCH(W$4,#REF!, 0))</f>
        <v>#REF!</v>
      </c>
      <c r="X46" s="146" t="e">
        <f>INDEX(#REF!, MATCH($A46,#REF!, 0), MATCH(X$4,#REF!, 0))</f>
        <v>#REF!</v>
      </c>
      <c r="Y46" s="146" t="e">
        <f>INDEX(#REF!, MATCH($A46,#REF!, 0), MATCH(Y$4,#REF!, 0))</f>
        <v>#REF!</v>
      </c>
      <c r="Z46" s="146" t="e">
        <f>INDEX(#REF!, MATCH($A46,#REF!, 0), MATCH(Z$4,#REF!, 0))</f>
        <v>#REF!</v>
      </c>
      <c r="AA46" s="146" t="e">
        <f>INDEX(#REF!, MATCH($A46,#REF!, 0), MATCH(AA$4,#REF!, 0))</f>
        <v>#REF!</v>
      </c>
      <c r="AB46" s="146" t="e">
        <f>INDEX(#REF!, MATCH($A46,#REF!, 0), MATCH(AB$4,#REF!, 0))</f>
        <v>#REF!</v>
      </c>
      <c r="AC46" s="320" t="e">
        <f>INDEX(#REF!, MATCH($A46,#REF!, 0), MATCH(AC$4,#REF!, 0))</f>
        <v>#REF!</v>
      </c>
      <c r="AD46" s="146" t="e">
        <f>INDEX(#REF!, MATCH($A46,#REF!, 0), MATCH(AD$4,#REF!, 0))</f>
        <v>#REF!</v>
      </c>
      <c r="AE46" s="146" t="e">
        <f>INDEX(#REF!, MATCH($A46,#REF!, 0), MATCH(AE$4,#REF!, 0))</f>
        <v>#REF!</v>
      </c>
      <c r="AF46" s="146" t="e">
        <f>INDEX(#REF!, MATCH($A46,#REF!, 0), MATCH(AF$4,#REF!, 0))</f>
        <v>#REF!</v>
      </c>
      <c r="AG46" s="146" t="e">
        <f>INDEX(#REF!, MATCH($A46,#REF!, 0), MATCH(AG$4,#REF!, 0))</f>
        <v>#REF!</v>
      </c>
      <c r="AH46" s="146" t="e">
        <f>INDEX(#REF!, MATCH($A46,#REF!, 0), MATCH(AH$4,#REF!, 0))</f>
        <v>#REF!</v>
      </c>
      <c r="AI46" s="146" t="e">
        <f>INDEX(#REF!, MATCH($A46,#REF!, 0), MATCH(AI$4,#REF!, 0))</f>
        <v>#REF!</v>
      </c>
      <c r="AJ46" s="320" t="e">
        <f>INDEX(#REF!, MATCH($A46,#REF!, 0), MATCH(AJ$4,#REF!, 0))</f>
        <v>#REF!</v>
      </c>
      <c r="AK46" s="146" t="e">
        <f>INDEX(#REF!, MATCH($A46,#REF!, 0), MATCH(AK$4,#REF!, 0))</f>
        <v>#REF!</v>
      </c>
      <c r="AL46" s="146" t="e">
        <f>INDEX(#REF!, MATCH($A46,#REF!, 0), MATCH(AL$4,#REF!, 0))</f>
        <v>#REF!</v>
      </c>
      <c r="AM46" s="146" t="e">
        <f>INDEX(#REF!, MATCH($A46,#REF!, 0), MATCH(AM$4,#REF!, 0))</f>
        <v>#REF!</v>
      </c>
      <c r="AN46" s="146" t="e">
        <f>INDEX(#REF!, MATCH($A46,#REF!, 0), MATCH(AN$4,#REF!, 0))</f>
        <v>#REF!</v>
      </c>
      <c r="AO46" s="146" t="e">
        <f>INDEX(#REF!, MATCH($A46,#REF!, 0), MATCH(AO$4,#REF!, 0))</f>
        <v>#REF!</v>
      </c>
      <c r="AP46" s="146" t="e">
        <f>INDEX(#REF!, MATCH($A46,#REF!, 0), MATCH(AP$4,#REF!, 0))</f>
        <v>#REF!</v>
      </c>
      <c r="AQ46" s="320" t="e">
        <f>INDEX(#REF!, MATCH($A46,#REF!, 0), MATCH(AQ$4,#REF!, 0))</f>
        <v>#REF!</v>
      </c>
      <c r="AR46" s="146" t="e">
        <f>INDEX(#REF!, MATCH($A46,#REF!, 0), MATCH(AR$4,#REF!, 0))</f>
        <v>#REF!</v>
      </c>
      <c r="AS46" s="146" t="e">
        <f>INDEX(#REF!, MATCH($A46,#REF!, 0), MATCH(AS$4,#REF!, 0))</f>
        <v>#REF!</v>
      </c>
      <c r="AT46" s="146" t="e">
        <f>INDEX(#REF!, MATCH($A46,#REF!, 0), MATCH(AT$4,#REF!, 0))</f>
        <v>#REF!</v>
      </c>
      <c r="AU46" s="146" t="e">
        <f>INDEX(#REF!, MATCH($A46,#REF!, 0), MATCH(AU$4,#REF!, 0))</f>
        <v>#REF!</v>
      </c>
      <c r="AV46" s="146" t="e">
        <f>INDEX(#REF!, MATCH($A46,#REF!, 0), MATCH(AV$4,#REF!, 0))</f>
        <v>#REF!</v>
      </c>
      <c r="AW46" s="146" t="e">
        <f>INDEX(#REF!, MATCH($A46,#REF!, 0), MATCH(AW$4,#REF!, 0))</f>
        <v>#REF!</v>
      </c>
      <c r="AX46" s="320" t="e">
        <f>INDEX(#REF!, MATCH($A46,#REF!, 0), MATCH(AX$4,#REF!, 0))</f>
        <v>#REF!</v>
      </c>
      <c r="AY46" s="146" t="e">
        <f>INDEX(#REF!, MATCH($A46,#REF!, 0), MATCH(AY$4,#REF!, 0))</f>
        <v>#REF!</v>
      </c>
      <c r="AZ46" s="146" t="e">
        <f>INDEX(#REF!, MATCH($A46,#REF!, 0), MATCH(AZ$4,#REF!, 0))</f>
        <v>#REF!</v>
      </c>
      <c r="BA46" s="146" t="e">
        <f>INDEX(#REF!, MATCH($A46,#REF!, 0), MATCH(BA$4,#REF!, 0))</f>
        <v>#REF!</v>
      </c>
      <c r="BB46" s="146" t="e">
        <f>INDEX(#REF!, MATCH($A46,#REF!, 0), MATCH(BB$4,#REF!, 0))</f>
        <v>#REF!</v>
      </c>
      <c r="BC46" s="146" t="e">
        <f>INDEX(#REF!, MATCH($A46,#REF!, 0), MATCH(BC$4,#REF!, 0))</f>
        <v>#REF!</v>
      </c>
      <c r="BD46" s="364" t="e">
        <f>INDEX(#REF!, MATCH($A46,#REF!, 0), MATCH(BD$4,#REF!, 0))</f>
        <v>#REF!</v>
      </c>
      <c r="BE46" s="320" t="e">
        <f>INDEX(#REF!, MATCH($A46,#REF!, 0), MATCH(BE$4,#REF!, 0))</f>
        <v>#REF!</v>
      </c>
      <c r="BF46" s="146" t="e">
        <f>INDEX(#REF!, MATCH($A46,#REF!, 0), MATCH(BF$4,#REF!, 0))</f>
        <v>#REF!</v>
      </c>
      <c r="BG46" s="146" t="e">
        <f>INDEX(#REF!, MATCH($A46,#REF!, 0), MATCH(BG$4,#REF!, 0))</f>
        <v>#REF!</v>
      </c>
      <c r="BH46" s="146" t="e">
        <f>INDEX(#REF!, MATCH($A46,#REF!, 0), MATCH(BH$4,#REF!, 0))</f>
        <v>#REF!</v>
      </c>
      <c r="BI46" s="146" t="e">
        <f>INDEX(#REF!, MATCH($A46,#REF!, 0), MATCH(BI$4,#REF!, 0))</f>
        <v>#REF!</v>
      </c>
      <c r="BJ46" s="146" t="e">
        <f>INDEX(#REF!, MATCH($A46,#REF!, 0), MATCH(BJ$4,#REF!, 0))</f>
        <v>#REF!</v>
      </c>
      <c r="BK46" s="364" t="e">
        <f>INDEX(#REF!, MATCH($A46,#REF!, 0), MATCH(BK$4,#REF!, 0))</f>
        <v>#REF!</v>
      </c>
      <c r="BL46" s="146" t="e">
        <f>INDEX(#REF!, MATCH($BT46,#REF!, 0), MATCH(BL$4,#REF!, 0))</f>
        <v>#REF!</v>
      </c>
      <c r="BM46" s="146" t="e">
        <f>INDEX(#REF!, MATCH($BT46,#REF!, 0), MATCH(BM$4,#REF!, 0))</f>
        <v>#REF!</v>
      </c>
      <c r="BN46" s="146" t="e">
        <f>INDEX(#REF!, MATCH($BT46,#REF!, 0), MATCH(BN$4,#REF!, 0))</f>
        <v>#REF!</v>
      </c>
      <c r="BO46" s="146" t="e">
        <f>INDEX(#REF!, MATCH($BT46,#REF!, 0), MATCH(BO$4,#REF!, 0))</f>
        <v>#REF!</v>
      </c>
      <c r="BP46" s="146" t="e">
        <f>INDEX(#REF!, MATCH($BT46,#REF!, 0), MATCH(BP$4,#REF!, 0))</f>
        <v>#REF!</v>
      </c>
      <c r="BQ46" s="146" t="e">
        <f>INDEX(#REF!, MATCH($BT46,#REF!, 0), MATCH(BQ$4,#REF!, 0))</f>
        <v>#REF!</v>
      </c>
      <c r="BR46" s="146" t="e">
        <f>INDEX(#REF!, MATCH($BT46,#REF!, 0), MATCH(BR$4,#REF!, 0))</f>
        <v>#REF!</v>
      </c>
      <c r="BT46" s="105" t="s">
        <v>240</v>
      </c>
    </row>
    <row r="47" spans="1:91">
      <c r="A47" s="105" t="s">
        <v>243</v>
      </c>
      <c r="B47" s="117" t="s">
        <v>101</v>
      </c>
      <c r="C47" s="117"/>
      <c r="D47" s="146" t="e">
        <f>INDEX(#REF!, MATCH($A47,#REF!, 0), MATCH(D$4,#REF!, 0))</f>
        <v>#REF!</v>
      </c>
      <c r="E47" s="146" t="e">
        <f>INDEX(#REF!, MATCH($A47,#REF!, 0), MATCH(E$4,#REF!, 0))</f>
        <v>#REF!</v>
      </c>
      <c r="F47" s="146" t="e">
        <f>INDEX(#REF!, MATCH($A47,#REF!, 0), MATCH(F$4,#REF!, 0))</f>
        <v>#REF!</v>
      </c>
      <c r="G47" s="146" t="e">
        <f>INDEX(#REF!, MATCH($A47,#REF!, 0), MATCH(G$4,#REF!, 0))</f>
        <v>#REF!</v>
      </c>
      <c r="H47" s="146" t="e">
        <f>INDEX(#REF!, MATCH($A47,#REF!, 0), MATCH(H$4,#REF!, 0))</f>
        <v>#REF!</v>
      </c>
      <c r="I47" s="146" t="e">
        <f>INDEX(#REF!, MATCH($A47,#REF!, 0), MATCH(I$4,#REF!, 0))</f>
        <v>#REF!</v>
      </c>
      <c r="J47" s="146" t="e">
        <f>INDEX(#REF!, MATCH($A47,#REF!, 0), MATCH(J$4,#REF!, 0))</f>
        <v>#REF!</v>
      </c>
      <c r="K47" s="146" t="e">
        <f>INDEX(#REF!, MATCH($A47,#REF!, 0), MATCH(K$4,#REF!, 0))</f>
        <v>#REF!</v>
      </c>
      <c r="L47" s="146" t="e">
        <f>INDEX(#REF!, MATCH($A47,#REF!, 0), MATCH(L$4,#REF!, 0))</f>
        <v>#REF!</v>
      </c>
      <c r="M47" s="146" t="e">
        <f>INDEX(#REF!, MATCH($A47,#REF!, 0), MATCH(M$4,#REF!, 0))</f>
        <v>#REF!</v>
      </c>
      <c r="N47" s="146" t="e">
        <f>INDEX(#REF!, MATCH($A47,#REF!, 0), MATCH(N$4,#REF!, 0))</f>
        <v>#REF!</v>
      </c>
      <c r="O47" s="146" t="e">
        <f>INDEX(#REF!, MATCH($A47,#REF!, 0), MATCH(O$4,#REF!, 0))</f>
        <v>#REF!</v>
      </c>
      <c r="P47" s="146" t="e">
        <f>INDEX(#REF!, MATCH($A47,#REF!, 0), MATCH(P$4,#REF!, 0))</f>
        <v>#REF!</v>
      </c>
      <c r="Q47" s="146" t="e">
        <f>INDEX(#REF!, MATCH($A47,#REF!, 0), MATCH(Q$4,#REF!, 0))</f>
        <v>#REF!</v>
      </c>
      <c r="R47" s="146" t="e">
        <f>INDEX(#REF!, MATCH($A47,#REF!, 0), MATCH(R$4,#REF!, 0))</f>
        <v>#REF!</v>
      </c>
      <c r="S47" s="146" t="e">
        <f>INDEX(#REF!, MATCH($A47,#REF!, 0), MATCH(S$4,#REF!, 0))</f>
        <v>#REF!</v>
      </c>
      <c r="T47" s="146" t="e">
        <f>INDEX(#REF!, MATCH($A47,#REF!, 0), MATCH(T$4,#REF!, 0))</f>
        <v>#REF!</v>
      </c>
      <c r="U47" s="146" t="e">
        <f>INDEX(#REF!, MATCH($A47,#REF!, 0), MATCH(U$4,#REF!, 0))</f>
        <v>#REF!</v>
      </c>
      <c r="V47" s="320" t="e">
        <f>INDEX(#REF!, MATCH($A47,#REF!, 0), MATCH(V$4,#REF!, 0))</f>
        <v>#REF!</v>
      </c>
      <c r="W47" s="146" t="e">
        <f>INDEX(#REF!, MATCH($A47,#REF!, 0), MATCH(W$4,#REF!, 0))</f>
        <v>#REF!</v>
      </c>
      <c r="X47" s="146" t="e">
        <f>INDEX(#REF!, MATCH($A47,#REF!, 0), MATCH(X$4,#REF!, 0))</f>
        <v>#REF!</v>
      </c>
      <c r="Y47" s="146" t="e">
        <f>INDEX(#REF!, MATCH($A47,#REF!, 0), MATCH(Y$4,#REF!, 0))</f>
        <v>#REF!</v>
      </c>
      <c r="Z47" s="146" t="e">
        <f>INDEX(#REF!, MATCH($A47,#REF!, 0), MATCH(Z$4,#REF!, 0))</f>
        <v>#REF!</v>
      </c>
      <c r="AA47" s="146" t="e">
        <f>INDEX(#REF!, MATCH($A47,#REF!, 0), MATCH(AA$4,#REF!, 0))</f>
        <v>#REF!</v>
      </c>
      <c r="AB47" s="146" t="e">
        <f>INDEX(#REF!, MATCH($A47,#REF!, 0), MATCH(AB$4,#REF!, 0))</f>
        <v>#REF!</v>
      </c>
      <c r="AC47" s="320" t="e">
        <f>INDEX(#REF!, MATCH($A47,#REF!, 0), MATCH(AC$4,#REF!, 0))</f>
        <v>#REF!</v>
      </c>
      <c r="AD47" s="146" t="e">
        <f>INDEX(#REF!, MATCH($A47,#REF!, 0), MATCH(AD$4,#REF!, 0))</f>
        <v>#REF!</v>
      </c>
      <c r="AE47" s="146" t="e">
        <f>INDEX(#REF!, MATCH($A47,#REF!, 0), MATCH(AE$4,#REF!, 0))</f>
        <v>#REF!</v>
      </c>
      <c r="AF47" s="146" t="e">
        <f>INDEX(#REF!, MATCH($A47,#REF!, 0), MATCH(AF$4,#REF!, 0))</f>
        <v>#REF!</v>
      </c>
      <c r="AG47" s="146" t="e">
        <f>INDEX(#REF!, MATCH($A47,#REF!, 0), MATCH(AG$4,#REF!, 0))</f>
        <v>#REF!</v>
      </c>
      <c r="AH47" s="146" t="e">
        <f>INDEX(#REF!, MATCH($A47,#REF!, 0), MATCH(AH$4,#REF!, 0))</f>
        <v>#REF!</v>
      </c>
      <c r="AI47" s="146" t="e">
        <f>INDEX(#REF!, MATCH($A47,#REF!, 0), MATCH(AI$4,#REF!, 0))</f>
        <v>#REF!</v>
      </c>
      <c r="AJ47" s="320" t="e">
        <f>INDEX(#REF!, MATCH($A47,#REF!, 0), MATCH(AJ$4,#REF!, 0))</f>
        <v>#REF!</v>
      </c>
      <c r="AK47" s="146" t="e">
        <f>INDEX(#REF!, MATCH($A47,#REF!, 0), MATCH(AK$4,#REF!, 0))</f>
        <v>#REF!</v>
      </c>
      <c r="AL47" s="146" t="e">
        <f>INDEX(#REF!, MATCH($A47,#REF!, 0), MATCH(AL$4,#REF!, 0))</f>
        <v>#REF!</v>
      </c>
      <c r="AM47" s="146" t="e">
        <f>INDEX(#REF!, MATCH($A47,#REF!, 0), MATCH(AM$4,#REF!, 0))</f>
        <v>#REF!</v>
      </c>
      <c r="AN47" s="146" t="e">
        <f>INDEX(#REF!, MATCH($A47,#REF!, 0), MATCH(AN$4,#REF!, 0))</f>
        <v>#REF!</v>
      </c>
      <c r="AO47" s="146" t="e">
        <f>INDEX(#REF!, MATCH($A47,#REF!, 0), MATCH(AO$4,#REF!, 0))</f>
        <v>#REF!</v>
      </c>
      <c r="AP47" s="146" t="e">
        <f>INDEX(#REF!, MATCH($A47,#REF!, 0), MATCH(AP$4,#REF!, 0))</f>
        <v>#REF!</v>
      </c>
      <c r="AQ47" s="320" t="e">
        <f>INDEX(#REF!, MATCH($A47,#REF!, 0), MATCH(AQ$4,#REF!, 0))</f>
        <v>#REF!</v>
      </c>
      <c r="AR47" s="146" t="e">
        <f>INDEX(#REF!, MATCH($A47,#REF!, 0), MATCH(AR$4,#REF!, 0))</f>
        <v>#REF!</v>
      </c>
      <c r="AS47" s="146" t="e">
        <f>INDEX(#REF!, MATCH($A47,#REF!, 0), MATCH(AS$4,#REF!, 0))</f>
        <v>#REF!</v>
      </c>
      <c r="AT47" s="146" t="e">
        <f>INDEX(#REF!, MATCH($A47,#REF!, 0), MATCH(AT$4,#REF!, 0))</f>
        <v>#REF!</v>
      </c>
      <c r="AU47" s="146" t="e">
        <f>INDEX(#REF!, MATCH($A47,#REF!, 0), MATCH(AU$4,#REF!, 0))</f>
        <v>#REF!</v>
      </c>
      <c r="AV47" s="146" t="e">
        <f>INDEX(#REF!, MATCH($A47,#REF!, 0), MATCH(AV$4,#REF!, 0))</f>
        <v>#REF!</v>
      </c>
      <c r="AW47" s="146" t="e">
        <f>INDEX(#REF!, MATCH($A47,#REF!, 0), MATCH(AW$4,#REF!, 0))</f>
        <v>#REF!</v>
      </c>
      <c r="AX47" s="320" t="e">
        <f>INDEX(#REF!, MATCH($A47,#REF!, 0), MATCH(AX$4,#REF!, 0))</f>
        <v>#REF!</v>
      </c>
      <c r="AY47" s="146" t="e">
        <f>INDEX(#REF!, MATCH($A47,#REF!, 0), MATCH(AY$4,#REF!, 0))</f>
        <v>#REF!</v>
      </c>
      <c r="AZ47" s="146" t="e">
        <f>INDEX(#REF!, MATCH($A47,#REF!, 0), MATCH(AZ$4,#REF!, 0))</f>
        <v>#REF!</v>
      </c>
      <c r="BA47" s="146" t="e">
        <f>INDEX(#REF!, MATCH($A47,#REF!, 0), MATCH(BA$4,#REF!, 0))</f>
        <v>#REF!</v>
      </c>
      <c r="BB47" s="146" t="e">
        <f>INDEX(#REF!, MATCH($A47,#REF!, 0), MATCH(BB$4,#REF!, 0))</f>
        <v>#REF!</v>
      </c>
      <c r="BC47" s="146" t="e">
        <f>INDEX(#REF!, MATCH($A47,#REF!, 0), MATCH(BC$4,#REF!, 0))</f>
        <v>#REF!</v>
      </c>
      <c r="BD47" s="364" t="e">
        <f>INDEX(#REF!, MATCH($A47,#REF!, 0), MATCH(BD$4,#REF!, 0))</f>
        <v>#REF!</v>
      </c>
      <c r="BE47" s="320" t="e">
        <f>INDEX(#REF!, MATCH($A47,#REF!, 0), MATCH(BE$4,#REF!, 0))</f>
        <v>#REF!</v>
      </c>
      <c r="BF47" s="146" t="e">
        <f>INDEX(#REF!, MATCH($A47,#REF!, 0), MATCH(BF$4,#REF!, 0))</f>
        <v>#REF!</v>
      </c>
      <c r="BG47" s="146" t="e">
        <f>INDEX(#REF!, MATCH($A47,#REF!, 0), MATCH(BG$4,#REF!, 0))</f>
        <v>#REF!</v>
      </c>
      <c r="BH47" s="146" t="e">
        <f>INDEX(#REF!, MATCH($A47,#REF!, 0), MATCH(BH$4,#REF!, 0))</f>
        <v>#REF!</v>
      </c>
      <c r="BI47" s="146" t="e">
        <f>INDEX(#REF!, MATCH($A47,#REF!, 0), MATCH(BI$4,#REF!, 0))</f>
        <v>#REF!</v>
      </c>
      <c r="BJ47" s="146" t="e">
        <f>INDEX(#REF!, MATCH($A47,#REF!, 0), MATCH(BJ$4,#REF!, 0))</f>
        <v>#REF!</v>
      </c>
      <c r="BK47" s="364" t="e">
        <f>INDEX(#REF!, MATCH($A47,#REF!, 0), MATCH(BK$4,#REF!, 0))</f>
        <v>#REF!</v>
      </c>
      <c r="BL47" s="400" t="e">
        <f>INDEX(#REF!, MATCH($BT47,#REF!, 0), MATCH(BL$4,#REF!, 0))</f>
        <v>#REF!</v>
      </c>
      <c r="BM47" s="400" t="e">
        <f>INDEX(#REF!, MATCH($BT47,#REF!, 0), MATCH(BM$4,#REF!, 0))</f>
        <v>#REF!</v>
      </c>
      <c r="BN47" s="400" t="e">
        <f>INDEX(#REF!, MATCH($BT47,#REF!, 0), MATCH(BN$4,#REF!, 0))</f>
        <v>#REF!</v>
      </c>
      <c r="BO47" s="400" t="e">
        <f>INDEX(#REF!, MATCH($BT47,#REF!, 0), MATCH(BO$4,#REF!, 0))</f>
        <v>#REF!</v>
      </c>
      <c r="BP47" s="400" t="e">
        <f>INDEX(#REF!, MATCH($BT47,#REF!, 0), MATCH(BP$4,#REF!, 0))</f>
        <v>#REF!</v>
      </c>
      <c r="BQ47" s="400" t="e">
        <f>INDEX(#REF!, MATCH($BT47,#REF!, 0), MATCH(BQ$4,#REF!, 0))</f>
        <v>#REF!</v>
      </c>
      <c r="BR47" s="400" t="e">
        <f>INDEX(#REF!, MATCH($BT47,#REF!, 0), MATCH(BR$4,#REF!, 0))</f>
        <v>#REF!</v>
      </c>
      <c r="BT47" s="105" t="s">
        <v>243</v>
      </c>
    </row>
    <row r="48" spans="1:91" ht="12.6">
      <c r="A48" s="185"/>
      <c r="B48" s="183"/>
      <c r="C48" s="184"/>
      <c r="D48" s="157"/>
      <c r="E48" s="157"/>
      <c r="F48" s="157"/>
      <c r="G48" s="157"/>
      <c r="H48" s="157"/>
      <c r="I48" s="157"/>
      <c r="J48" s="157"/>
      <c r="K48" s="157"/>
      <c r="L48" s="157"/>
      <c r="M48" s="157"/>
      <c r="N48" s="157"/>
      <c r="O48" s="157"/>
      <c r="P48" s="157"/>
      <c r="Q48" s="157"/>
      <c r="R48" s="157"/>
      <c r="S48" s="157"/>
      <c r="T48" s="157"/>
      <c r="U48" s="157"/>
      <c r="V48" s="327"/>
      <c r="W48" s="157"/>
      <c r="X48" s="157"/>
      <c r="Y48" s="157"/>
      <c r="Z48" s="157"/>
      <c r="AA48" s="157"/>
      <c r="AB48" s="157"/>
      <c r="AC48" s="327"/>
      <c r="AD48" s="157"/>
      <c r="AE48" s="157"/>
      <c r="AF48" s="157"/>
      <c r="AG48" s="157"/>
      <c r="AH48" s="157"/>
      <c r="AI48" s="157"/>
      <c r="AJ48" s="327"/>
      <c r="AK48" s="157"/>
      <c r="AL48" s="157"/>
      <c r="AM48" s="157"/>
      <c r="AN48" s="157"/>
      <c r="AO48" s="157"/>
      <c r="AP48" s="157"/>
      <c r="AQ48" s="327"/>
      <c r="AR48" s="157"/>
      <c r="AS48" s="157"/>
      <c r="AT48" s="157"/>
      <c r="AU48" s="157"/>
      <c r="AV48" s="157"/>
      <c r="AW48" s="157"/>
      <c r="AX48" s="327"/>
      <c r="AY48" s="157"/>
      <c r="AZ48" s="157"/>
      <c r="BA48" s="157"/>
      <c r="BB48" s="157"/>
      <c r="BC48" s="157"/>
      <c r="BD48" s="370"/>
      <c r="BE48" s="327"/>
      <c r="BF48" s="157"/>
      <c r="BG48" s="157"/>
      <c r="BH48" s="157"/>
      <c r="BI48" s="157"/>
      <c r="BJ48" s="157"/>
      <c r="BK48" s="370"/>
      <c r="BL48" s="165"/>
      <c r="BM48" s="165"/>
      <c r="BN48" s="119"/>
      <c r="BO48" s="119"/>
      <c r="BP48" s="165"/>
      <c r="BQ48" s="119"/>
      <c r="BR48" s="165"/>
      <c r="BT48" s="121"/>
    </row>
    <row r="49" spans="1:91" ht="12.6">
      <c r="A49" s="105" t="s">
        <v>167</v>
      </c>
      <c r="B49" s="109" t="s">
        <v>167</v>
      </c>
      <c r="C49" s="184"/>
      <c r="D49" s="146" t="e">
        <f>INDEX(#REF!, MATCH($A49,#REF!, 0), MATCH(D$4,#REF!, 0))</f>
        <v>#REF!</v>
      </c>
      <c r="E49" s="146" t="e">
        <f>INDEX(#REF!, MATCH($A49,#REF!, 0), MATCH(E$4,#REF!, 0))</f>
        <v>#REF!</v>
      </c>
      <c r="F49" s="146" t="e">
        <f>INDEX(#REF!, MATCH($A49,#REF!, 0), MATCH(F$4,#REF!, 0))</f>
        <v>#REF!</v>
      </c>
      <c r="G49" s="146" t="e">
        <f>INDEX(#REF!, MATCH($A49,#REF!, 0), MATCH(G$4,#REF!, 0))</f>
        <v>#REF!</v>
      </c>
      <c r="H49" s="146" t="e">
        <f>INDEX(#REF!, MATCH($A49,#REF!, 0), MATCH(H$4,#REF!, 0))</f>
        <v>#REF!</v>
      </c>
      <c r="I49" s="146" t="e">
        <f>INDEX(#REF!, MATCH($A49,#REF!, 0), MATCH(I$4,#REF!, 0))</f>
        <v>#REF!</v>
      </c>
      <c r="J49" s="146" t="e">
        <f>INDEX(#REF!, MATCH($A49,#REF!, 0), MATCH(J$4,#REF!, 0))</f>
        <v>#REF!</v>
      </c>
      <c r="K49" s="146" t="e">
        <f>INDEX(#REF!, MATCH($A49,#REF!, 0), MATCH(K$4,#REF!, 0))</f>
        <v>#REF!</v>
      </c>
      <c r="L49" s="146" t="e">
        <f>INDEX(#REF!, MATCH($A49,#REF!, 0), MATCH(L$4,#REF!, 0))</f>
        <v>#REF!</v>
      </c>
      <c r="M49" s="146" t="e">
        <f>INDEX(#REF!, MATCH($A49,#REF!, 0), MATCH(M$4,#REF!, 0))</f>
        <v>#REF!</v>
      </c>
      <c r="N49" s="146" t="e">
        <f>INDEX(#REF!, MATCH($A49,#REF!, 0), MATCH(N$4,#REF!, 0))</f>
        <v>#REF!</v>
      </c>
      <c r="O49" s="146" t="e">
        <f>INDEX(#REF!, MATCH($A49,#REF!, 0), MATCH(O$4,#REF!, 0))</f>
        <v>#REF!</v>
      </c>
      <c r="P49" s="146" t="e">
        <f>INDEX(#REF!, MATCH($A49,#REF!, 0), MATCH(P$4,#REF!, 0))</f>
        <v>#REF!</v>
      </c>
      <c r="Q49" s="146" t="e">
        <f>INDEX(#REF!, MATCH($A49,#REF!, 0), MATCH(Q$4,#REF!, 0))</f>
        <v>#REF!</v>
      </c>
      <c r="R49" s="146" t="e">
        <f>INDEX(#REF!, MATCH($A49,#REF!, 0), MATCH(R$4,#REF!, 0))</f>
        <v>#REF!</v>
      </c>
      <c r="S49" s="146" t="e">
        <f>INDEX(#REF!, MATCH($A49,#REF!, 0), MATCH(S$4,#REF!, 0))</f>
        <v>#REF!</v>
      </c>
      <c r="T49" s="146" t="e">
        <f>INDEX(#REF!, MATCH($A49,#REF!, 0), MATCH(T$4,#REF!, 0))</f>
        <v>#REF!</v>
      </c>
      <c r="U49" s="146" t="e">
        <f>INDEX(#REF!, MATCH($A49,#REF!, 0), MATCH(U$4,#REF!, 0))</f>
        <v>#REF!</v>
      </c>
      <c r="V49" s="320" t="e">
        <f>INDEX(#REF!, MATCH($A49,#REF!, 0), MATCH(V$4,#REF!, 0))</f>
        <v>#REF!</v>
      </c>
      <c r="W49" s="146" t="e">
        <f>INDEX(#REF!, MATCH($A49,#REF!, 0), MATCH(W$4,#REF!, 0))</f>
        <v>#REF!</v>
      </c>
      <c r="X49" s="146" t="e">
        <f>INDEX(#REF!, MATCH($A49,#REF!, 0), MATCH(X$4,#REF!, 0))</f>
        <v>#REF!</v>
      </c>
      <c r="Y49" s="146" t="e">
        <f>INDEX(#REF!, MATCH($A49,#REF!, 0), MATCH(Y$4,#REF!, 0))</f>
        <v>#REF!</v>
      </c>
      <c r="Z49" s="146" t="e">
        <f>INDEX(#REF!, MATCH($A49,#REF!, 0), MATCH(Z$4,#REF!, 0))</f>
        <v>#REF!</v>
      </c>
      <c r="AA49" s="146" t="e">
        <f>INDEX(#REF!, MATCH($A49,#REF!, 0), MATCH(AA$4,#REF!, 0))</f>
        <v>#REF!</v>
      </c>
      <c r="AB49" s="146" t="e">
        <f>INDEX(#REF!, MATCH($A49,#REF!, 0), MATCH(AB$4,#REF!, 0))</f>
        <v>#REF!</v>
      </c>
      <c r="AC49" s="320" t="e">
        <f>INDEX(#REF!, MATCH($A49,#REF!, 0), MATCH(AC$4,#REF!, 0))</f>
        <v>#REF!</v>
      </c>
      <c r="AD49" s="146" t="e">
        <f>INDEX(#REF!, MATCH($A49,#REF!, 0), MATCH(AD$4,#REF!, 0))</f>
        <v>#REF!</v>
      </c>
      <c r="AE49" s="146" t="e">
        <f>INDEX(#REF!, MATCH($A49,#REF!, 0), MATCH(AE$4,#REF!, 0))</f>
        <v>#REF!</v>
      </c>
      <c r="AF49" s="146" t="e">
        <f>INDEX(#REF!, MATCH($A49,#REF!, 0), MATCH(AF$4,#REF!, 0))</f>
        <v>#REF!</v>
      </c>
      <c r="AG49" s="146" t="e">
        <f>INDEX(#REF!, MATCH($A49,#REF!, 0), MATCH(AG$4,#REF!, 0))</f>
        <v>#REF!</v>
      </c>
      <c r="AH49" s="146" t="e">
        <f>INDEX(#REF!, MATCH($A49,#REF!, 0), MATCH(AH$4,#REF!, 0))</f>
        <v>#REF!</v>
      </c>
      <c r="AI49" s="146" t="e">
        <f>INDEX(#REF!, MATCH($A49,#REF!, 0), MATCH(AI$4,#REF!, 0))</f>
        <v>#REF!</v>
      </c>
      <c r="AJ49" s="320" t="e">
        <f>INDEX(#REF!, MATCH($A49,#REF!, 0), MATCH(AJ$4,#REF!, 0))</f>
        <v>#REF!</v>
      </c>
      <c r="AK49" s="146" t="e">
        <f>INDEX(#REF!, MATCH($A49,#REF!, 0), MATCH(AK$4,#REF!, 0))</f>
        <v>#REF!</v>
      </c>
      <c r="AL49" s="146" t="e">
        <f>INDEX(#REF!, MATCH($A49,#REF!, 0), MATCH(AL$4,#REF!, 0))</f>
        <v>#REF!</v>
      </c>
      <c r="AM49" s="146" t="e">
        <f>INDEX(#REF!, MATCH($A49,#REF!, 0), MATCH(AM$4,#REF!, 0))</f>
        <v>#REF!</v>
      </c>
      <c r="AN49" s="146" t="e">
        <f>INDEX(#REF!, MATCH($A49,#REF!, 0), MATCH(AN$4,#REF!, 0))</f>
        <v>#REF!</v>
      </c>
      <c r="AO49" s="146" t="e">
        <f>INDEX(#REF!, MATCH($A49,#REF!, 0), MATCH(AO$4,#REF!, 0))</f>
        <v>#REF!</v>
      </c>
      <c r="AP49" s="146" t="e">
        <f>INDEX(#REF!, MATCH($A49,#REF!, 0), MATCH(AP$4,#REF!, 0))</f>
        <v>#REF!</v>
      </c>
      <c r="AQ49" s="320" t="e">
        <f>INDEX(#REF!, MATCH($A49,#REF!, 0), MATCH(AQ$4,#REF!, 0))</f>
        <v>#REF!</v>
      </c>
      <c r="AR49" s="146" t="e">
        <f>INDEX(#REF!, MATCH($A49,#REF!, 0), MATCH(AR$4,#REF!, 0))</f>
        <v>#REF!</v>
      </c>
      <c r="AS49" s="146" t="e">
        <f>INDEX(#REF!, MATCH($A49,#REF!, 0), MATCH(AS$4,#REF!, 0))</f>
        <v>#REF!</v>
      </c>
      <c r="AT49" s="146" t="e">
        <f>INDEX(#REF!, MATCH($A49,#REF!, 0), MATCH(AT$4,#REF!, 0))</f>
        <v>#REF!</v>
      </c>
      <c r="AU49" s="146" t="e">
        <f>INDEX(#REF!, MATCH($A49,#REF!, 0), MATCH(AU$4,#REF!, 0))</f>
        <v>#REF!</v>
      </c>
      <c r="AV49" s="146" t="e">
        <f>INDEX(#REF!, MATCH($A49,#REF!, 0), MATCH(AV$4,#REF!, 0))</f>
        <v>#REF!</v>
      </c>
      <c r="AW49" s="146" t="e">
        <f>INDEX(#REF!, MATCH($A49,#REF!, 0), MATCH(AW$4,#REF!, 0))</f>
        <v>#REF!</v>
      </c>
      <c r="AX49" s="320" t="e">
        <f>INDEX(#REF!, MATCH($A49,#REF!, 0), MATCH(AX$4,#REF!, 0))</f>
        <v>#REF!</v>
      </c>
      <c r="AY49" s="146" t="e">
        <f>INDEX(#REF!, MATCH($A49,#REF!, 0), MATCH(AY$4,#REF!, 0))</f>
        <v>#REF!</v>
      </c>
      <c r="AZ49" s="146" t="e">
        <f>INDEX(#REF!, MATCH($A49,#REF!, 0), MATCH(AZ$4,#REF!, 0))</f>
        <v>#REF!</v>
      </c>
      <c r="BA49" s="146" t="e">
        <f>INDEX(#REF!, MATCH($A49,#REF!, 0), MATCH(BA$4,#REF!, 0))</f>
        <v>#REF!</v>
      </c>
      <c r="BB49" s="146" t="e">
        <f>INDEX(#REF!, MATCH($A49,#REF!, 0), MATCH(BB$4,#REF!, 0))</f>
        <v>#REF!</v>
      </c>
      <c r="BC49" s="146" t="e">
        <f>INDEX(#REF!, MATCH($A49,#REF!, 0), MATCH(BC$4,#REF!, 0))</f>
        <v>#REF!</v>
      </c>
      <c r="BD49" s="364" t="e">
        <f>INDEX(#REF!, MATCH($A49,#REF!, 0), MATCH(BD$4,#REF!, 0))</f>
        <v>#REF!</v>
      </c>
      <c r="BE49" s="320" t="e">
        <f>INDEX(#REF!, MATCH($A49,#REF!, 0), MATCH(BE$4,#REF!, 0))</f>
        <v>#REF!</v>
      </c>
      <c r="BF49" s="146" t="e">
        <f>INDEX(#REF!, MATCH($A49,#REF!, 0), MATCH(BF$4,#REF!, 0))</f>
        <v>#REF!</v>
      </c>
      <c r="BG49" s="146" t="e">
        <f>INDEX(#REF!, MATCH($A49,#REF!, 0), MATCH(BG$4,#REF!, 0))</f>
        <v>#REF!</v>
      </c>
      <c r="BH49" s="146" t="e">
        <f>INDEX(#REF!, MATCH($A49,#REF!, 0), MATCH(BH$4,#REF!, 0))</f>
        <v>#REF!</v>
      </c>
      <c r="BI49" s="146" t="e">
        <f>INDEX(#REF!, MATCH($A49,#REF!, 0), MATCH(BI$4,#REF!, 0))</f>
        <v>#REF!</v>
      </c>
      <c r="BJ49" s="146" t="e">
        <f>INDEX(#REF!, MATCH($A49,#REF!, 0), MATCH(BJ$4,#REF!, 0))</f>
        <v>#REF!</v>
      </c>
      <c r="BK49" s="364" t="e">
        <f>INDEX(#REF!, MATCH($A49,#REF!, 0), MATCH(BK$4,#REF!, 0))</f>
        <v>#REF!</v>
      </c>
      <c r="BL49" s="146" t="e">
        <f>INDEX(#REF!, MATCH($BT49,#REF!, 0), MATCH(BL$4,#REF!, 0))</f>
        <v>#REF!</v>
      </c>
      <c r="BM49" s="146" t="e">
        <f>INDEX(#REF!, MATCH($BT49,#REF!, 0), MATCH(BM$4,#REF!, 0))</f>
        <v>#REF!</v>
      </c>
      <c r="BN49" s="146" t="e">
        <f>INDEX(#REF!, MATCH($BT49,#REF!, 0), MATCH(BN$4,#REF!, 0))</f>
        <v>#REF!</v>
      </c>
      <c r="BO49" s="146" t="e">
        <f>INDEX(#REF!, MATCH($BT49,#REF!, 0), MATCH(BO$4,#REF!, 0))</f>
        <v>#REF!</v>
      </c>
      <c r="BP49" s="146" t="e">
        <f>INDEX(#REF!, MATCH($BT49,#REF!, 0), MATCH(BP$4,#REF!, 0))</f>
        <v>#REF!</v>
      </c>
      <c r="BQ49" s="146" t="e">
        <f>INDEX(#REF!, MATCH($BT49,#REF!, 0), MATCH(BQ$4,#REF!, 0))</f>
        <v>#REF!</v>
      </c>
      <c r="BR49" s="146" t="e">
        <f>INDEX(#REF!, MATCH($BT49,#REF!, 0), MATCH(BR$4,#REF!, 0))</f>
        <v>#REF!</v>
      </c>
      <c r="BT49" s="105" t="s">
        <v>167</v>
      </c>
    </row>
    <row r="50" spans="1:91" ht="12.6">
      <c r="A50" s="105" t="s">
        <v>168</v>
      </c>
      <c r="B50" s="109" t="s">
        <v>168</v>
      </c>
      <c r="C50" s="184"/>
      <c r="D50" s="146" t="e">
        <f>INDEX(#REF!, MATCH($A50,#REF!, 0), MATCH(D$4,#REF!, 0))</f>
        <v>#REF!</v>
      </c>
      <c r="E50" s="146" t="e">
        <f>INDEX(#REF!, MATCH($A50,#REF!, 0), MATCH(E$4,#REF!, 0))</f>
        <v>#REF!</v>
      </c>
      <c r="F50" s="146" t="e">
        <f>INDEX(#REF!, MATCH($A50,#REF!, 0), MATCH(F$4,#REF!, 0))</f>
        <v>#REF!</v>
      </c>
      <c r="G50" s="146" t="e">
        <f>INDEX(#REF!, MATCH($A50,#REF!, 0), MATCH(G$4,#REF!, 0))</f>
        <v>#REF!</v>
      </c>
      <c r="H50" s="146" t="e">
        <f>INDEX(#REF!, MATCH($A50,#REF!, 0), MATCH(H$4,#REF!, 0))</f>
        <v>#REF!</v>
      </c>
      <c r="I50" s="146" t="e">
        <f>INDEX(#REF!, MATCH($A50,#REF!, 0), MATCH(I$4,#REF!, 0))</f>
        <v>#REF!</v>
      </c>
      <c r="J50" s="146" t="e">
        <f>INDEX(#REF!, MATCH($A50,#REF!, 0), MATCH(J$4,#REF!, 0))</f>
        <v>#REF!</v>
      </c>
      <c r="K50" s="146" t="e">
        <f>INDEX(#REF!, MATCH($A50,#REF!, 0), MATCH(K$4,#REF!, 0))</f>
        <v>#REF!</v>
      </c>
      <c r="L50" s="146" t="e">
        <f>INDEX(#REF!, MATCH($A50,#REF!, 0), MATCH(L$4,#REF!, 0))</f>
        <v>#REF!</v>
      </c>
      <c r="M50" s="146" t="e">
        <f>INDEX(#REF!, MATCH($A50,#REF!, 0), MATCH(M$4,#REF!, 0))</f>
        <v>#REF!</v>
      </c>
      <c r="N50" s="146" t="e">
        <f>INDEX(#REF!, MATCH($A50,#REF!, 0), MATCH(N$4,#REF!, 0))</f>
        <v>#REF!</v>
      </c>
      <c r="O50" s="146" t="e">
        <f>INDEX(#REF!, MATCH($A50,#REF!, 0), MATCH(O$4,#REF!, 0))</f>
        <v>#REF!</v>
      </c>
      <c r="P50" s="146" t="e">
        <f>INDEX(#REF!, MATCH($A50,#REF!, 0), MATCH(P$4,#REF!, 0))</f>
        <v>#REF!</v>
      </c>
      <c r="Q50" s="146" t="e">
        <f>INDEX(#REF!, MATCH($A50,#REF!, 0), MATCH(Q$4,#REF!, 0))</f>
        <v>#REF!</v>
      </c>
      <c r="R50" s="146" t="e">
        <f>INDEX(#REF!, MATCH($A50,#REF!, 0), MATCH(R$4,#REF!, 0))</f>
        <v>#REF!</v>
      </c>
      <c r="S50" s="146" t="e">
        <f>INDEX(#REF!, MATCH($A50,#REF!, 0), MATCH(S$4,#REF!, 0))</f>
        <v>#REF!</v>
      </c>
      <c r="T50" s="146" t="e">
        <f>INDEX(#REF!, MATCH($A50,#REF!, 0), MATCH(T$4,#REF!, 0))</f>
        <v>#REF!</v>
      </c>
      <c r="U50" s="146" t="e">
        <f>INDEX(#REF!, MATCH($A50,#REF!, 0), MATCH(U$4,#REF!, 0))</f>
        <v>#REF!</v>
      </c>
      <c r="V50" s="320" t="e">
        <f>INDEX(#REF!, MATCH($A50,#REF!, 0), MATCH(V$4,#REF!, 0))</f>
        <v>#REF!</v>
      </c>
      <c r="W50" s="146" t="e">
        <f>INDEX(#REF!, MATCH($A50,#REF!, 0), MATCH(W$4,#REF!, 0))</f>
        <v>#REF!</v>
      </c>
      <c r="X50" s="146" t="e">
        <f>INDEX(#REF!, MATCH($A50,#REF!, 0), MATCH(X$4,#REF!, 0))</f>
        <v>#REF!</v>
      </c>
      <c r="Y50" s="146" t="e">
        <f>INDEX(#REF!, MATCH($A50,#REF!, 0), MATCH(Y$4,#REF!, 0))</f>
        <v>#REF!</v>
      </c>
      <c r="Z50" s="146" t="e">
        <f>INDEX(#REF!, MATCH($A50,#REF!, 0), MATCH(Z$4,#REF!, 0))</f>
        <v>#REF!</v>
      </c>
      <c r="AA50" s="146" t="e">
        <f>INDEX(#REF!, MATCH($A50,#REF!, 0), MATCH(AA$4,#REF!, 0))</f>
        <v>#REF!</v>
      </c>
      <c r="AB50" s="146" t="e">
        <f>INDEX(#REF!, MATCH($A50,#REF!, 0), MATCH(AB$4,#REF!, 0))</f>
        <v>#REF!</v>
      </c>
      <c r="AC50" s="320" t="e">
        <f>INDEX(#REF!, MATCH($A50,#REF!, 0), MATCH(AC$4,#REF!, 0))</f>
        <v>#REF!</v>
      </c>
      <c r="AD50" s="146" t="e">
        <f>INDEX(#REF!, MATCH($A50,#REF!, 0), MATCH(AD$4,#REF!, 0))</f>
        <v>#REF!</v>
      </c>
      <c r="AE50" s="146" t="e">
        <f>INDEX(#REF!, MATCH($A50,#REF!, 0), MATCH(AE$4,#REF!, 0))</f>
        <v>#REF!</v>
      </c>
      <c r="AF50" s="146" t="e">
        <f>INDEX(#REF!, MATCH($A50,#REF!, 0), MATCH(AF$4,#REF!, 0))</f>
        <v>#REF!</v>
      </c>
      <c r="AG50" s="146" t="e">
        <f>INDEX(#REF!, MATCH($A50,#REF!, 0), MATCH(AG$4,#REF!, 0))</f>
        <v>#REF!</v>
      </c>
      <c r="AH50" s="146" t="e">
        <f>INDEX(#REF!, MATCH($A50,#REF!, 0), MATCH(AH$4,#REF!, 0))</f>
        <v>#REF!</v>
      </c>
      <c r="AI50" s="146" t="e">
        <f>INDEX(#REF!, MATCH($A50,#REF!, 0), MATCH(AI$4,#REF!, 0))</f>
        <v>#REF!</v>
      </c>
      <c r="AJ50" s="320" t="e">
        <f>INDEX(#REF!, MATCH($A50,#REF!, 0), MATCH(AJ$4,#REF!, 0))</f>
        <v>#REF!</v>
      </c>
      <c r="AK50" s="146" t="e">
        <f>INDEX(#REF!, MATCH($A50,#REF!, 0), MATCH(AK$4,#REF!, 0))</f>
        <v>#REF!</v>
      </c>
      <c r="AL50" s="146" t="e">
        <f>INDEX(#REF!, MATCH($A50,#REF!, 0), MATCH(AL$4,#REF!, 0))</f>
        <v>#REF!</v>
      </c>
      <c r="AM50" s="146" t="e">
        <f>INDEX(#REF!, MATCH($A50,#REF!, 0), MATCH(AM$4,#REF!, 0))</f>
        <v>#REF!</v>
      </c>
      <c r="AN50" s="146" t="e">
        <f>INDEX(#REF!, MATCH($A50,#REF!, 0), MATCH(AN$4,#REF!, 0))</f>
        <v>#REF!</v>
      </c>
      <c r="AO50" s="146" t="e">
        <f>INDEX(#REF!, MATCH($A50,#REF!, 0), MATCH(AO$4,#REF!, 0))</f>
        <v>#REF!</v>
      </c>
      <c r="AP50" s="146" t="e">
        <f>INDEX(#REF!, MATCH($A50,#REF!, 0), MATCH(AP$4,#REF!, 0))</f>
        <v>#REF!</v>
      </c>
      <c r="AQ50" s="320" t="e">
        <f>INDEX(#REF!, MATCH($A50,#REF!, 0), MATCH(AQ$4,#REF!, 0))</f>
        <v>#REF!</v>
      </c>
      <c r="AR50" s="146" t="e">
        <f>INDEX(#REF!, MATCH($A50,#REF!, 0), MATCH(AR$4,#REF!, 0))</f>
        <v>#REF!</v>
      </c>
      <c r="AS50" s="146" t="e">
        <f>INDEX(#REF!, MATCH($A50,#REF!, 0), MATCH(AS$4,#REF!, 0))</f>
        <v>#REF!</v>
      </c>
      <c r="AT50" s="146" t="e">
        <f>INDEX(#REF!, MATCH($A50,#REF!, 0), MATCH(AT$4,#REF!, 0))</f>
        <v>#REF!</v>
      </c>
      <c r="AU50" s="146" t="e">
        <f>INDEX(#REF!, MATCH($A50,#REF!, 0), MATCH(AU$4,#REF!, 0))</f>
        <v>#REF!</v>
      </c>
      <c r="AV50" s="146" t="e">
        <f>INDEX(#REF!, MATCH($A50,#REF!, 0), MATCH(AV$4,#REF!, 0))</f>
        <v>#REF!</v>
      </c>
      <c r="AW50" s="146" t="e">
        <f>INDEX(#REF!, MATCH($A50,#REF!, 0), MATCH(AW$4,#REF!, 0))</f>
        <v>#REF!</v>
      </c>
      <c r="AX50" s="320" t="e">
        <f>INDEX(#REF!, MATCH($A50,#REF!, 0), MATCH(AX$4,#REF!, 0))</f>
        <v>#REF!</v>
      </c>
      <c r="AY50" s="146" t="e">
        <f>INDEX(#REF!, MATCH($A50,#REF!, 0), MATCH(AY$4,#REF!, 0))</f>
        <v>#REF!</v>
      </c>
      <c r="AZ50" s="146" t="e">
        <f>INDEX(#REF!, MATCH($A50,#REF!, 0), MATCH(AZ$4,#REF!, 0))</f>
        <v>#REF!</v>
      </c>
      <c r="BA50" s="146" t="e">
        <f>INDEX(#REF!, MATCH($A50,#REF!, 0), MATCH(BA$4,#REF!, 0))</f>
        <v>#REF!</v>
      </c>
      <c r="BB50" s="146" t="e">
        <f>INDEX(#REF!, MATCH($A50,#REF!, 0), MATCH(BB$4,#REF!, 0))</f>
        <v>#REF!</v>
      </c>
      <c r="BC50" s="146" t="e">
        <f>INDEX(#REF!, MATCH($A50,#REF!, 0), MATCH(BC$4,#REF!, 0))</f>
        <v>#REF!</v>
      </c>
      <c r="BD50" s="364" t="e">
        <f>INDEX(#REF!, MATCH($A50,#REF!, 0), MATCH(BD$4,#REF!, 0))</f>
        <v>#REF!</v>
      </c>
      <c r="BE50" s="320" t="e">
        <f>INDEX(#REF!, MATCH($A50,#REF!, 0), MATCH(BE$4,#REF!, 0))</f>
        <v>#REF!</v>
      </c>
      <c r="BF50" s="146" t="e">
        <f>INDEX(#REF!, MATCH($A50,#REF!, 0), MATCH(BF$4,#REF!, 0))</f>
        <v>#REF!</v>
      </c>
      <c r="BG50" s="146" t="e">
        <f>INDEX(#REF!, MATCH($A50,#REF!, 0), MATCH(BG$4,#REF!, 0))</f>
        <v>#REF!</v>
      </c>
      <c r="BH50" s="146" t="e">
        <f>INDEX(#REF!, MATCH($A50,#REF!, 0), MATCH(BH$4,#REF!, 0))</f>
        <v>#REF!</v>
      </c>
      <c r="BI50" s="146" t="e">
        <f>INDEX(#REF!, MATCH($A50,#REF!, 0), MATCH(BI$4,#REF!, 0))</f>
        <v>#REF!</v>
      </c>
      <c r="BJ50" s="146" t="e">
        <f>INDEX(#REF!, MATCH($A50,#REF!, 0), MATCH(BJ$4,#REF!, 0))</f>
        <v>#REF!</v>
      </c>
      <c r="BK50" s="364" t="e">
        <f>INDEX(#REF!, MATCH($A50,#REF!, 0), MATCH(BK$4,#REF!, 0))</f>
        <v>#REF!</v>
      </c>
      <c r="BL50" s="146" t="e">
        <f>INDEX(#REF!, MATCH($BT50,#REF!, 0), MATCH(BL$4,#REF!, 0))</f>
        <v>#REF!</v>
      </c>
      <c r="BM50" s="146" t="e">
        <f>INDEX(#REF!, MATCH($BT50,#REF!, 0), MATCH(BM$4,#REF!, 0))</f>
        <v>#REF!</v>
      </c>
      <c r="BN50" s="146" t="e">
        <f>INDEX(#REF!, MATCH($BT50,#REF!, 0), MATCH(BN$4,#REF!, 0))</f>
        <v>#REF!</v>
      </c>
      <c r="BO50" s="146" t="e">
        <f>INDEX(#REF!, MATCH($BT50,#REF!, 0), MATCH(BO$4,#REF!, 0))</f>
        <v>#REF!</v>
      </c>
      <c r="BP50" s="146" t="e">
        <f>INDEX(#REF!, MATCH($BT50,#REF!, 0), MATCH(BP$4,#REF!, 0))</f>
        <v>#REF!</v>
      </c>
      <c r="BQ50" s="146" t="e">
        <f>INDEX(#REF!, MATCH($BT50,#REF!, 0), MATCH(BQ$4,#REF!, 0))</f>
        <v>#REF!</v>
      </c>
      <c r="BR50" s="146" t="e">
        <f>INDEX(#REF!, MATCH($BT50,#REF!, 0), MATCH(BR$4,#REF!, 0))</f>
        <v>#REF!</v>
      </c>
      <c r="BT50" s="105" t="s">
        <v>168</v>
      </c>
    </row>
    <row r="51" spans="1:91">
      <c r="A51" s="130"/>
      <c r="B51" s="117" t="s">
        <v>105</v>
      </c>
      <c r="C51" s="117"/>
      <c r="D51" s="157" t="e">
        <f t="shared" ref="D51:P51" si="163">D49-D50</f>
        <v>#REF!</v>
      </c>
      <c r="E51" s="157" t="e">
        <f t="shared" si="163"/>
        <v>#REF!</v>
      </c>
      <c r="F51" s="157" t="e">
        <f t="shared" si="163"/>
        <v>#REF!</v>
      </c>
      <c r="G51" s="157" t="e">
        <f t="shared" si="163"/>
        <v>#REF!</v>
      </c>
      <c r="H51" s="157" t="e">
        <f t="shared" si="163"/>
        <v>#REF!</v>
      </c>
      <c r="I51" s="157" t="e">
        <f t="shared" si="163"/>
        <v>#REF!</v>
      </c>
      <c r="J51" s="157" t="e">
        <f t="shared" si="163"/>
        <v>#REF!</v>
      </c>
      <c r="K51" s="157" t="e">
        <f t="shared" si="163"/>
        <v>#REF!</v>
      </c>
      <c r="L51" s="157" t="e">
        <f t="shared" si="163"/>
        <v>#REF!</v>
      </c>
      <c r="M51" s="157" t="e">
        <f t="shared" si="163"/>
        <v>#REF!</v>
      </c>
      <c r="N51" s="157" t="e">
        <f t="shared" si="163"/>
        <v>#REF!</v>
      </c>
      <c r="O51" s="157" t="e">
        <f t="shared" si="163"/>
        <v>#REF!</v>
      </c>
      <c r="P51" s="157" t="e">
        <f t="shared" si="163"/>
        <v>#REF!</v>
      </c>
      <c r="Q51" s="157" t="e">
        <f>Q49-Q50</f>
        <v>#REF!</v>
      </c>
      <c r="R51" s="157" t="e">
        <f>R49-R50</f>
        <v>#REF!</v>
      </c>
      <c r="S51" s="157" t="e">
        <f>S49-S50</f>
        <v>#REF!</v>
      </c>
      <c r="T51" s="157" t="e">
        <f>T49-T50</f>
        <v>#REF!</v>
      </c>
      <c r="U51" s="157" t="e">
        <f t="shared" ref="U51:BO51" si="164">U49-U50</f>
        <v>#REF!</v>
      </c>
      <c r="V51" s="327" t="e">
        <f t="shared" ref="V51:AA51" si="165">V49-V50</f>
        <v>#REF!</v>
      </c>
      <c r="W51" s="157" t="e">
        <f t="shared" si="165"/>
        <v>#REF!</v>
      </c>
      <c r="X51" s="157" t="e">
        <f t="shared" si="165"/>
        <v>#REF!</v>
      </c>
      <c r="Y51" s="157" t="e">
        <f t="shared" si="165"/>
        <v>#REF!</v>
      </c>
      <c r="Z51" s="157" t="e">
        <f t="shared" si="165"/>
        <v>#REF!</v>
      </c>
      <c r="AA51" s="157" t="e">
        <f t="shared" si="165"/>
        <v>#REF!</v>
      </c>
      <c r="AB51" s="157" t="e">
        <f t="shared" si="164"/>
        <v>#REF!</v>
      </c>
      <c r="AC51" s="327" t="e">
        <f t="shared" ref="AC51:AH51" si="166">AC49-AC50</f>
        <v>#REF!</v>
      </c>
      <c r="AD51" s="157" t="e">
        <f t="shared" si="166"/>
        <v>#REF!</v>
      </c>
      <c r="AE51" s="157" t="e">
        <f t="shared" si="166"/>
        <v>#REF!</v>
      </c>
      <c r="AF51" s="157" t="e">
        <f t="shared" si="166"/>
        <v>#REF!</v>
      </c>
      <c r="AG51" s="157" t="e">
        <f t="shared" si="166"/>
        <v>#REF!</v>
      </c>
      <c r="AH51" s="157" t="e">
        <f t="shared" si="166"/>
        <v>#REF!</v>
      </c>
      <c r="AI51" s="157" t="e">
        <f t="shared" si="164"/>
        <v>#REF!</v>
      </c>
      <c r="AJ51" s="327" t="e">
        <f t="shared" ref="AJ51:AO51" si="167">AJ49-AJ50</f>
        <v>#REF!</v>
      </c>
      <c r="AK51" s="157" t="e">
        <f t="shared" si="167"/>
        <v>#REF!</v>
      </c>
      <c r="AL51" s="157" t="e">
        <f t="shared" si="167"/>
        <v>#REF!</v>
      </c>
      <c r="AM51" s="157" t="e">
        <f t="shared" si="167"/>
        <v>#REF!</v>
      </c>
      <c r="AN51" s="157" t="e">
        <f t="shared" si="167"/>
        <v>#REF!</v>
      </c>
      <c r="AO51" s="157" t="e">
        <f t="shared" si="167"/>
        <v>#REF!</v>
      </c>
      <c r="AP51" s="157" t="e">
        <f t="shared" si="164"/>
        <v>#REF!</v>
      </c>
      <c r="AQ51" s="327" t="e">
        <f t="shared" ref="AQ51:AV51" si="168">AQ49-AQ50</f>
        <v>#REF!</v>
      </c>
      <c r="AR51" s="157" t="e">
        <f t="shared" si="168"/>
        <v>#REF!</v>
      </c>
      <c r="AS51" s="157" t="e">
        <f t="shared" si="168"/>
        <v>#REF!</v>
      </c>
      <c r="AT51" s="157" t="e">
        <f t="shared" si="168"/>
        <v>#REF!</v>
      </c>
      <c r="AU51" s="157" t="e">
        <f t="shared" si="168"/>
        <v>#REF!</v>
      </c>
      <c r="AV51" s="157" t="e">
        <f t="shared" si="168"/>
        <v>#REF!</v>
      </c>
      <c r="AW51" s="157" t="e">
        <f t="shared" si="164"/>
        <v>#REF!</v>
      </c>
      <c r="AX51" s="327" t="e">
        <f t="shared" si="164"/>
        <v>#REF!</v>
      </c>
      <c r="AY51" s="157" t="e">
        <f t="shared" si="164"/>
        <v>#REF!</v>
      </c>
      <c r="AZ51" s="157" t="e">
        <f t="shared" si="164"/>
        <v>#REF!</v>
      </c>
      <c r="BA51" s="157" t="e">
        <f t="shared" ref="BA51:BC51" si="169">BA49-BA50</f>
        <v>#REF!</v>
      </c>
      <c r="BB51" s="157" t="e">
        <f t="shared" si="169"/>
        <v>#REF!</v>
      </c>
      <c r="BC51" s="157" t="e">
        <f t="shared" si="169"/>
        <v>#REF!</v>
      </c>
      <c r="BD51" s="370" t="e">
        <f t="shared" ref="BD51:BJ51" si="170">BD49-BD50</f>
        <v>#REF!</v>
      </c>
      <c r="BE51" s="327" t="e">
        <f t="shared" si="170"/>
        <v>#REF!</v>
      </c>
      <c r="BF51" s="157" t="e">
        <f t="shared" si="170"/>
        <v>#REF!</v>
      </c>
      <c r="BG51" s="157" t="e">
        <f t="shared" si="170"/>
        <v>#REF!</v>
      </c>
      <c r="BH51" s="157" t="e">
        <f t="shared" si="170"/>
        <v>#REF!</v>
      </c>
      <c r="BI51" s="157" t="e">
        <f t="shared" si="170"/>
        <v>#REF!</v>
      </c>
      <c r="BJ51" s="157" t="e">
        <f t="shared" si="170"/>
        <v>#REF!</v>
      </c>
      <c r="BK51" s="370" t="e">
        <f t="shared" ref="BK51" si="171">BK49-BK50</f>
        <v>#REF!</v>
      </c>
      <c r="BL51" s="157" t="e">
        <f t="shared" si="164"/>
        <v>#REF!</v>
      </c>
      <c r="BM51" s="157" t="e">
        <f t="shared" si="164"/>
        <v>#REF!</v>
      </c>
      <c r="BN51" s="157" t="e">
        <f t="shared" si="164"/>
        <v>#REF!</v>
      </c>
      <c r="BO51" s="157" t="e">
        <f t="shared" si="164"/>
        <v>#REF!</v>
      </c>
      <c r="BP51" s="157" t="e">
        <f>BP49-BP50</f>
        <v>#REF!</v>
      </c>
      <c r="BQ51" s="157" t="e">
        <f>BQ49-BQ50</f>
        <v>#REF!</v>
      </c>
      <c r="BR51" s="157" t="e">
        <f>BR49-BR50</f>
        <v>#REF!</v>
      </c>
      <c r="BT51" s="121"/>
    </row>
    <row r="52" spans="1:91">
      <c r="A52" s="185"/>
      <c r="B52" s="117" t="s">
        <v>266</v>
      </c>
      <c r="C52" s="117"/>
      <c r="D52" s="157" t="e">
        <f t="shared" ref="D52:BR52" si="172">D45+D41+D46+D42+D51+D47</f>
        <v>#REF!</v>
      </c>
      <c r="E52" s="157" t="e">
        <f t="shared" si="172"/>
        <v>#REF!</v>
      </c>
      <c r="F52" s="157" t="e">
        <f t="shared" si="172"/>
        <v>#REF!</v>
      </c>
      <c r="G52" s="157" t="e">
        <f t="shared" si="172"/>
        <v>#REF!</v>
      </c>
      <c r="H52" s="157" t="e">
        <f t="shared" si="172"/>
        <v>#REF!</v>
      </c>
      <c r="I52" s="157" t="e">
        <f t="shared" si="172"/>
        <v>#REF!</v>
      </c>
      <c r="J52" s="157" t="e">
        <f t="shared" si="172"/>
        <v>#REF!</v>
      </c>
      <c r="K52" s="157" t="e">
        <f t="shared" si="172"/>
        <v>#REF!</v>
      </c>
      <c r="L52" s="157" t="e">
        <f t="shared" si="172"/>
        <v>#REF!</v>
      </c>
      <c r="M52" s="157" t="e">
        <f t="shared" si="172"/>
        <v>#REF!</v>
      </c>
      <c r="N52" s="157" t="e">
        <f t="shared" si="172"/>
        <v>#REF!</v>
      </c>
      <c r="O52" s="157" t="e">
        <f t="shared" si="172"/>
        <v>#REF!</v>
      </c>
      <c r="P52" s="157" t="e">
        <f t="shared" si="172"/>
        <v>#REF!</v>
      </c>
      <c r="Q52" s="157" t="e">
        <f t="shared" si="172"/>
        <v>#REF!</v>
      </c>
      <c r="R52" s="157" t="e">
        <f t="shared" si="172"/>
        <v>#REF!</v>
      </c>
      <c r="S52" s="157" t="e">
        <f t="shared" si="172"/>
        <v>#REF!</v>
      </c>
      <c r="T52" s="157" t="e">
        <f t="shared" si="172"/>
        <v>#REF!</v>
      </c>
      <c r="U52" s="157" t="e">
        <f t="shared" si="172"/>
        <v>#REF!</v>
      </c>
      <c r="V52" s="327" t="e">
        <f t="shared" ref="V52:AA52" si="173">V45+V41+V46+V42+V51+V47</f>
        <v>#REF!</v>
      </c>
      <c r="W52" s="157" t="e">
        <f t="shared" si="173"/>
        <v>#REF!</v>
      </c>
      <c r="X52" s="157" t="e">
        <f t="shared" si="173"/>
        <v>#REF!</v>
      </c>
      <c r="Y52" s="157" t="e">
        <f t="shared" si="173"/>
        <v>#REF!</v>
      </c>
      <c r="Z52" s="157" t="e">
        <f t="shared" si="173"/>
        <v>#REF!</v>
      </c>
      <c r="AA52" s="157" t="e">
        <f t="shared" si="173"/>
        <v>#REF!</v>
      </c>
      <c r="AB52" s="157" t="e">
        <f t="shared" si="172"/>
        <v>#REF!</v>
      </c>
      <c r="AC52" s="327" t="e">
        <f t="shared" ref="AC52:AH52" si="174">AC45+AC41+AC46+AC42+AC51+AC47</f>
        <v>#REF!</v>
      </c>
      <c r="AD52" s="157" t="e">
        <f t="shared" si="174"/>
        <v>#REF!</v>
      </c>
      <c r="AE52" s="157" t="e">
        <f t="shared" si="174"/>
        <v>#REF!</v>
      </c>
      <c r="AF52" s="157" t="e">
        <f t="shared" si="174"/>
        <v>#REF!</v>
      </c>
      <c r="AG52" s="157" t="e">
        <f t="shared" si="174"/>
        <v>#REF!</v>
      </c>
      <c r="AH52" s="157" t="e">
        <f t="shared" si="174"/>
        <v>#REF!</v>
      </c>
      <c r="AI52" s="157" t="e">
        <f t="shared" si="172"/>
        <v>#REF!</v>
      </c>
      <c r="AJ52" s="327" t="e">
        <f t="shared" ref="AJ52:AO52" si="175">AJ45+AJ41+AJ46+AJ42+AJ51+AJ47</f>
        <v>#REF!</v>
      </c>
      <c r="AK52" s="157" t="e">
        <f t="shared" si="175"/>
        <v>#REF!</v>
      </c>
      <c r="AL52" s="157" t="e">
        <f t="shared" si="175"/>
        <v>#REF!</v>
      </c>
      <c r="AM52" s="157" t="e">
        <f t="shared" si="175"/>
        <v>#REF!</v>
      </c>
      <c r="AN52" s="157" t="e">
        <f t="shared" si="175"/>
        <v>#REF!</v>
      </c>
      <c r="AO52" s="157" t="e">
        <f t="shared" si="175"/>
        <v>#REF!</v>
      </c>
      <c r="AP52" s="157" t="e">
        <f t="shared" si="172"/>
        <v>#REF!</v>
      </c>
      <c r="AQ52" s="327" t="e">
        <f t="shared" ref="AQ52:AV52" si="176">AQ45+AQ41+AQ46+AQ42+AQ51+AQ47</f>
        <v>#REF!</v>
      </c>
      <c r="AR52" s="157" t="e">
        <f t="shared" si="176"/>
        <v>#REF!</v>
      </c>
      <c r="AS52" s="157" t="e">
        <f t="shared" si="176"/>
        <v>#REF!</v>
      </c>
      <c r="AT52" s="157" t="e">
        <f t="shared" si="176"/>
        <v>#REF!</v>
      </c>
      <c r="AU52" s="157" t="e">
        <f t="shared" si="176"/>
        <v>#REF!</v>
      </c>
      <c r="AV52" s="157" t="e">
        <f t="shared" si="176"/>
        <v>#REF!</v>
      </c>
      <c r="AW52" s="157" t="e">
        <f t="shared" si="172"/>
        <v>#REF!</v>
      </c>
      <c r="AX52" s="327" t="e">
        <f t="shared" si="172"/>
        <v>#REF!</v>
      </c>
      <c r="AY52" s="157" t="e">
        <f t="shared" si="172"/>
        <v>#REF!</v>
      </c>
      <c r="AZ52" s="157" t="e">
        <f t="shared" si="172"/>
        <v>#REF!</v>
      </c>
      <c r="BA52" s="157" t="e">
        <f t="shared" ref="BA52:BC52" si="177">BA45+BA41+BA46+BA42+BA51+BA47</f>
        <v>#REF!</v>
      </c>
      <c r="BB52" s="157" t="e">
        <f t="shared" si="177"/>
        <v>#REF!</v>
      </c>
      <c r="BC52" s="157" t="e">
        <f t="shared" si="177"/>
        <v>#REF!</v>
      </c>
      <c r="BD52" s="370" t="e">
        <f t="shared" ref="BD52:BJ52" si="178">BD45+BD41+BD46+BD42+BD51+BD47</f>
        <v>#REF!</v>
      </c>
      <c r="BE52" s="327" t="e">
        <f t="shared" si="178"/>
        <v>#REF!</v>
      </c>
      <c r="BF52" s="157" t="e">
        <f t="shared" si="178"/>
        <v>#REF!</v>
      </c>
      <c r="BG52" s="157" t="e">
        <f t="shared" si="178"/>
        <v>#REF!</v>
      </c>
      <c r="BH52" s="157" t="e">
        <f t="shared" si="178"/>
        <v>#REF!</v>
      </c>
      <c r="BI52" s="157" t="e">
        <f t="shared" si="178"/>
        <v>#REF!</v>
      </c>
      <c r="BJ52" s="157" t="e">
        <f t="shared" si="178"/>
        <v>#REF!</v>
      </c>
      <c r="BK52" s="370" t="e">
        <f t="shared" ref="BK52" si="179">BK45+BK41+BK46+BK42+BK51+BK47</f>
        <v>#REF!</v>
      </c>
      <c r="BL52" s="157" t="e">
        <f t="shared" si="172"/>
        <v>#REF!</v>
      </c>
      <c r="BM52" s="157" t="e">
        <f t="shared" si="172"/>
        <v>#REF!</v>
      </c>
      <c r="BN52" s="157" t="e">
        <f t="shared" si="172"/>
        <v>#REF!</v>
      </c>
      <c r="BO52" s="157" t="e">
        <f t="shared" si="172"/>
        <v>#REF!</v>
      </c>
      <c r="BP52" s="157" t="e">
        <f t="shared" si="172"/>
        <v>#REF!</v>
      </c>
      <c r="BQ52" s="157" t="e">
        <f t="shared" si="172"/>
        <v>#REF!</v>
      </c>
      <c r="BR52" s="157" t="e">
        <f t="shared" si="172"/>
        <v>#REF!</v>
      </c>
      <c r="BT52" s="121"/>
    </row>
    <row r="53" spans="1:91" s="244" customFormat="1">
      <c r="A53" s="256"/>
      <c r="B53" s="251"/>
      <c r="C53" s="251"/>
      <c r="D53" s="257"/>
      <c r="E53" s="257"/>
      <c r="F53" s="257"/>
      <c r="G53" s="257"/>
      <c r="H53" s="257"/>
      <c r="I53" s="257"/>
      <c r="J53" s="257"/>
      <c r="K53" s="257"/>
      <c r="L53" s="257"/>
      <c r="M53" s="257"/>
      <c r="N53" s="257"/>
      <c r="O53" s="257"/>
      <c r="P53" s="257"/>
      <c r="Q53" s="257"/>
      <c r="R53" s="257"/>
      <c r="S53" s="257"/>
      <c r="T53" s="257"/>
      <c r="U53" s="257"/>
      <c r="V53" s="328"/>
      <c r="W53" s="257"/>
      <c r="X53" s="257"/>
      <c r="Y53" s="257"/>
      <c r="Z53" s="257"/>
      <c r="AA53" s="257"/>
      <c r="AB53" s="257"/>
      <c r="AC53" s="328"/>
      <c r="AD53" s="257"/>
      <c r="AE53" s="257"/>
      <c r="AF53" s="257"/>
      <c r="AG53" s="257"/>
      <c r="AH53" s="257"/>
      <c r="AI53" s="257"/>
      <c r="AJ53" s="328"/>
      <c r="AK53" s="257"/>
      <c r="AL53" s="257"/>
      <c r="AM53" s="257"/>
      <c r="AN53" s="257"/>
      <c r="AO53" s="257"/>
      <c r="AP53" s="257"/>
      <c r="AQ53" s="328"/>
      <c r="AR53" s="257"/>
      <c r="AS53" s="257"/>
      <c r="AT53" s="257"/>
      <c r="AU53" s="257"/>
      <c r="AV53" s="257"/>
      <c r="AW53" s="257"/>
      <c r="AX53" s="328"/>
      <c r="AY53" s="257"/>
      <c r="AZ53" s="257"/>
      <c r="BA53" s="257"/>
      <c r="BB53" s="257"/>
      <c r="BC53" s="257"/>
      <c r="BD53" s="371"/>
      <c r="BE53" s="328"/>
      <c r="BF53" s="257"/>
      <c r="BG53" s="257"/>
      <c r="BH53" s="257"/>
      <c r="BI53" s="257"/>
      <c r="BJ53" s="257"/>
      <c r="BK53" s="371"/>
      <c r="BL53" s="258"/>
      <c r="BM53" s="258"/>
      <c r="BN53" s="235"/>
      <c r="BO53" s="235"/>
      <c r="BP53" s="258"/>
      <c r="BQ53" s="235"/>
      <c r="BR53" s="258"/>
      <c r="BS53" s="235"/>
      <c r="BT53" s="253"/>
      <c r="BU53" s="235"/>
      <c r="BV53" s="235"/>
      <c r="BW53" s="235"/>
      <c r="BX53" s="235"/>
      <c r="BY53" s="235"/>
      <c r="BZ53" s="235"/>
      <c r="CA53" s="235"/>
      <c r="CB53" s="235"/>
      <c r="CC53" s="235"/>
      <c r="CD53" s="235"/>
      <c r="CE53" s="235"/>
      <c r="CF53" s="235"/>
      <c r="CG53" s="235"/>
      <c r="CH53" s="235"/>
      <c r="CI53" s="235"/>
      <c r="CJ53" s="235"/>
      <c r="CK53" s="235"/>
      <c r="CL53" s="235"/>
      <c r="CM53" s="235"/>
    </row>
    <row r="54" spans="1:91" s="244" customFormat="1">
      <c r="A54" s="259"/>
      <c r="B54" s="263" t="s">
        <v>32</v>
      </c>
      <c r="C54" s="264"/>
      <c r="D54" s="265" t="e">
        <f t="shared" ref="D54:AI54" si="180">D52+D31-D34</f>
        <v>#REF!</v>
      </c>
      <c r="E54" s="265" t="e">
        <f t="shared" si="180"/>
        <v>#REF!</v>
      </c>
      <c r="F54" s="265" t="e">
        <f t="shared" si="180"/>
        <v>#REF!</v>
      </c>
      <c r="G54" s="265" t="e">
        <f t="shared" si="180"/>
        <v>#REF!</v>
      </c>
      <c r="H54" s="265" t="e">
        <f t="shared" si="180"/>
        <v>#REF!</v>
      </c>
      <c r="I54" s="265" t="e">
        <f t="shared" si="180"/>
        <v>#REF!</v>
      </c>
      <c r="J54" s="265" t="e">
        <f t="shared" si="180"/>
        <v>#REF!</v>
      </c>
      <c r="K54" s="265" t="e">
        <f t="shared" si="180"/>
        <v>#REF!</v>
      </c>
      <c r="L54" s="265" t="e">
        <f t="shared" si="180"/>
        <v>#REF!</v>
      </c>
      <c r="M54" s="265" t="e">
        <f t="shared" si="180"/>
        <v>#REF!</v>
      </c>
      <c r="N54" s="265" t="e">
        <f t="shared" si="180"/>
        <v>#REF!</v>
      </c>
      <c r="O54" s="265" t="e">
        <f t="shared" si="180"/>
        <v>#REF!</v>
      </c>
      <c r="P54" s="265" t="e">
        <f t="shared" si="180"/>
        <v>#REF!</v>
      </c>
      <c r="Q54" s="265" t="e">
        <f t="shared" si="180"/>
        <v>#REF!</v>
      </c>
      <c r="R54" s="265" t="e">
        <f t="shared" si="180"/>
        <v>#REF!</v>
      </c>
      <c r="S54" s="265" t="e">
        <f t="shared" si="180"/>
        <v>#REF!</v>
      </c>
      <c r="T54" s="265" t="e">
        <f t="shared" si="180"/>
        <v>#REF!</v>
      </c>
      <c r="U54" s="265" t="e">
        <f t="shared" si="180"/>
        <v>#REF!</v>
      </c>
      <c r="V54" s="329" t="e">
        <f t="shared" si="180"/>
        <v>#REF!</v>
      </c>
      <c r="W54" s="265" t="e">
        <f t="shared" si="180"/>
        <v>#REF!</v>
      </c>
      <c r="X54" s="265" t="e">
        <f t="shared" si="180"/>
        <v>#REF!</v>
      </c>
      <c r="Y54" s="265" t="e">
        <f t="shared" si="180"/>
        <v>#REF!</v>
      </c>
      <c r="Z54" s="265" t="e">
        <f t="shared" si="180"/>
        <v>#REF!</v>
      </c>
      <c r="AA54" s="265" t="e">
        <f t="shared" si="180"/>
        <v>#REF!</v>
      </c>
      <c r="AB54" s="265" t="e">
        <f t="shared" si="180"/>
        <v>#REF!</v>
      </c>
      <c r="AC54" s="329" t="e">
        <f t="shared" si="180"/>
        <v>#REF!</v>
      </c>
      <c r="AD54" s="265" t="e">
        <f t="shared" si="180"/>
        <v>#REF!</v>
      </c>
      <c r="AE54" s="265" t="e">
        <f t="shared" si="180"/>
        <v>#REF!</v>
      </c>
      <c r="AF54" s="265" t="e">
        <f t="shared" si="180"/>
        <v>#REF!</v>
      </c>
      <c r="AG54" s="265" t="e">
        <f t="shared" si="180"/>
        <v>#REF!</v>
      </c>
      <c r="AH54" s="265" t="e">
        <f t="shared" si="180"/>
        <v>#REF!</v>
      </c>
      <c r="AI54" s="265" t="e">
        <f t="shared" si="180"/>
        <v>#REF!</v>
      </c>
      <c r="AJ54" s="329" t="e">
        <f t="shared" ref="AJ54:BR54" si="181">AJ52+AJ31-AJ34</f>
        <v>#REF!</v>
      </c>
      <c r="AK54" s="265" t="e">
        <f t="shared" si="181"/>
        <v>#REF!</v>
      </c>
      <c r="AL54" s="265" t="e">
        <f t="shared" si="181"/>
        <v>#REF!</v>
      </c>
      <c r="AM54" s="265" t="e">
        <f t="shared" si="181"/>
        <v>#REF!</v>
      </c>
      <c r="AN54" s="265" t="e">
        <f t="shared" si="181"/>
        <v>#REF!</v>
      </c>
      <c r="AO54" s="265" t="e">
        <f t="shared" si="181"/>
        <v>#REF!</v>
      </c>
      <c r="AP54" s="265" t="e">
        <f t="shared" si="181"/>
        <v>#REF!</v>
      </c>
      <c r="AQ54" s="329" t="e">
        <f t="shared" si="181"/>
        <v>#REF!</v>
      </c>
      <c r="AR54" s="265" t="e">
        <f t="shared" si="181"/>
        <v>#REF!</v>
      </c>
      <c r="AS54" s="265" t="e">
        <f t="shared" si="181"/>
        <v>#REF!</v>
      </c>
      <c r="AT54" s="265" t="e">
        <f t="shared" si="181"/>
        <v>#REF!</v>
      </c>
      <c r="AU54" s="265" t="e">
        <f t="shared" si="181"/>
        <v>#REF!</v>
      </c>
      <c r="AV54" s="265" t="e">
        <f t="shared" si="181"/>
        <v>#REF!</v>
      </c>
      <c r="AW54" s="265" t="e">
        <f t="shared" si="181"/>
        <v>#REF!</v>
      </c>
      <c r="AX54" s="329" t="e">
        <f t="shared" si="181"/>
        <v>#REF!</v>
      </c>
      <c r="AY54" s="265" t="e">
        <f t="shared" si="181"/>
        <v>#REF!</v>
      </c>
      <c r="AZ54" s="265" t="e">
        <f t="shared" si="181"/>
        <v>#REF!</v>
      </c>
      <c r="BA54" s="265" t="e">
        <f t="shared" si="181"/>
        <v>#REF!</v>
      </c>
      <c r="BB54" s="265" t="e">
        <f t="shared" si="181"/>
        <v>#REF!</v>
      </c>
      <c r="BC54" s="265" t="e">
        <f t="shared" si="181"/>
        <v>#REF!</v>
      </c>
      <c r="BD54" s="372" t="e">
        <f t="shared" si="181"/>
        <v>#REF!</v>
      </c>
      <c r="BE54" s="329" t="e">
        <f t="shared" ref="BE54:BK54" si="182">BE52+BE31-BE34</f>
        <v>#REF!</v>
      </c>
      <c r="BF54" s="265" t="e">
        <f t="shared" si="182"/>
        <v>#REF!</v>
      </c>
      <c r="BG54" s="265" t="e">
        <f t="shared" si="182"/>
        <v>#REF!</v>
      </c>
      <c r="BH54" s="265" t="e">
        <f t="shared" si="182"/>
        <v>#REF!</v>
      </c>
      <c r="BI54" s="265" t="e">
        <f t="shared" si="182"/>
        <v>#REF!</v>
      </c>
      <c r="BJ54" s="265" t="e">
        <f t="shared" si="182"/>
        <v>#REF!</v>
      </c>
      <c r="BK54" s="372" t="e">
        <f t="shared" si="182"/>
        <v>#REF!</v>
      </c>
      <c r="BL54" s="265" t="e">
        <f t="shared" si="181"/>
        <v>#REF!</v>
      </c>
      <c r="BM54" s="265" t="e">
        <f t="shared" si="181"/>
        <v>#REF!</v>
      </c>
      <c r="BN54" s="265" t="e">
        <f t="shared" si="181"/>
        <v>#REF!</v>
      </c>
      <c r="BO54" s="265" t="e">
        <f t="shared" si="181"/>
        <v>#REF!</v>
      </c>
      <c r="BP54" s="265" t="e">
        <f t="shared" si="181"/>
        <v>#REF!</v>
      </c>
      <c r="BQ54" s="265" t="e">
        <f t="shared" si="181"/>
        <v>#REF!</v>
      </c>
      <c r="BR54" s="265" t="e">
        <f t="shared" si="181"/>
        <v>#REF!</v>
      </c>
      <c r="BS54" s="235"/>
      <c r="BT54" s="253"/>
      <c r="BU54" s="235"/>
      <c r="BV54" s="235"/>
      <c r="BW54" s="235"/>
      <c r="BX54" s="235"/>
      <c r="BY54" s="235"/>
      <c r="BZ54" s="235"/>
      <c r="CA54" s="235"/>
      <c r="CB54" s="235"/>
      <c r="CC54" s="235"/>
      <c r="CD54" s="235"/>
      <c r="CE54" s="235"/>
      <c r="CF54" s="235"/>
      <c r="CG54" s="235"/>
      <c r="CH54" s="235"/>
      <c r="CI54" s="235"/>
      <c r="CJ54" s="235"/>
      <c r="CK54" s="235"/>
      <c r="CL54" s="235"/>
      <c r="CM54" s="235"/>
    </row>
    <row r="55" spans="1:91">
      <c r="A55" s="105" t="s">
        <v>169</v>
      </c>
      <c r="B55" s="117" t="s">
        <v>107</v>
      </c>
      <c r="C55" s="117"/>
      <c r="D55" s="146" t="e">
        <f>INDEX(#REF!, MATCH($A55,#REF!, 0), MATCH(D$4,#REF!, 0))</f>
        <v>#REF!</v>
      </c>
      <c r="E55" s="146" t="e">
        <f>INDEX(#REF!, MATCH($A55,#REF!, 0), MATCH(E$4,#REF!, 0))</f>
        <v>#REF!</v>
      </c>
      <c r="F55" s="146" t="e">
        <f>INDEX(#REF!, MATCH($A55,#REF!, 0), MATCH(F$4,#REF!, 0))</f>
        <v>#REF!</v>
      </c>
      <c r="G55" s="146" t="e">
        <f>INDEX(#REF!, MATCH($A55,#REF!, 0), MATCH(G$4,#REF!, 0))</f>
        <v>#REF!</v>
      </c>
      <c r="H55" s="146" t="e">
        <f>INDEX(#REF!, MATCH($A55,#REF!, 0), MATCH(H$4,#REF!, 0))</f>
        <v>#REF!</v>
      </c>
      <c r="I55" s="146" t="e">
        <f>INDEX(#REF!, MATCH($A55,#REF!, 0), MATCH(I$4,#REF!, 0))</f>
        <v>#REF!</v>
      </c>
      <c r="J55" s="146" t="e">
        <f>INDEX(#REF!, MATCH($A55,#REF!, 0), MATCH(J$4,#REF!, 0))</f>
        <v>#REF!</v>
      </c>
      <c r="K55" s="146" t="e">
        <f>INDEX(#REF!, MATCH($A55,#REF!, 0), MATCH(K$4,#REF!, 0))</f>
        <v>#REF!</v>
      </c>
      <c r="L55" s="146" t="e">
        <f>INDEX(#REF!, MATCH($A55,#REF!, 0), MATCH(L$4,#REF!, 0))</f>
        <v>#REF!</v>
      </c>
      <c r="M55" s="146" t="e">
        <f>INDEX(#REF!, MATCH($A55,#REF!, 0), MATCH(M$4,#REF!, 0))</f>
        <v>#REF!</v>
      </c>
      <c r="N55" s="146" t="e">
        <f>INDEX(#REF!, MATCH($A55,#REF!, 0), MATCH(N$4,#REF!, 0))</f>
        <v>#REF!</v>
      </c>
      <c r="O55" s="146" t="e">
        <f>INDEX(#REF!, MATCH($A55,#REF!, 0), MATCH(O$4,#REF!, 0))</f>
        <v>#REF!</v>
      </c>
      <c r="P55" s="146" t="e">
        <f>INDEX(#REF!, MATCH($A55,#REF!, 0), MATCH(P$4,#REF!, 0))</f>
        <v>#REF!</v>
      </c>
      <c r="Q55" s="146" t="e">
        <f>INDEX(#REF!, MATCH($A55,#REF!, 0), MATCH(Q$4,#REF!, 0))</f>
        <v>#REF!</v>
      </c>
      <c r="R55" s="146" t="e">
        <f>INDEX(#REF!, MATCH($A55,#REF!, 0), MATCH(R$4,#REF!, 0))</f>
        <v>#REF!</v>
      </c>
      <c r="S55" s="146" t="e">
        <f>INDEX(#REF!, MATCH($A55,#REF!, 0), MATCH(S$4,#REF!, 0))</f>
        <v>#REF!</v>
      </c>
      <c r="T55" s="146" t="e">
        <f>INDEX(#REF!, MATCH($A55,#REF!, 0), MATCH(T$4,#REF!, 0))</f>
        <v>#REF!</v>
      </c>
      <c r="U55" s="146" t="e">
        <f>INDEX(#REF!, MATCH($A55,#REF!, 0), MATCH(U$4,#REF!, 0))</f>
        <v>#REF!</v>
      </c>
      <c r="V55" s="320" t="e">
        <f>INDEX(#REF!, MATCH($A55,#REF!, 0), MATCH(V$4,#REF!, 0))</f>
        <v>#REF!</v>
      </c>
      <c r="W55" s="146" t="e">
        <f>INDEX(#REF!, MATCH($A55,#REF!, 0), MATCH(W$4,#REF!, 0))</f>
        <v>#REF!</v>
      </c>
      <c r="X55" s="146" t="e">
        <f>INDEX(#REF!, MATCH($A55,#REF!, 0), MATCH(X$4,#REF!, 0))</f>
        <v>#REF!</v>
      </c>
      <c r="Y55" s="146" t="e">
        <f>INDEX(#REF!, MATCH($A55,#REF!, 0), MATCH(Y$4,#REF!, 0))</f>
        <v>#REF!</v>
      </c>
      <c r="Z55" s="146" t="e">
        <f>INDEX(#REF!, MATCH($A55,#REF!, 0), MATCH(Z$4,#REF!, 0))</f>
        <v>#REF!</v>
      </c>
      <c r="AA55" s="146" t="e">
        <f>INDEX(#REF!, MATCH($A55,#REF!, 0), MATCH(AA$4,#REF!, 0))</f>
        <v>#REF!</v>
      </c>
      <c r="AB55" s="146" t="e">
        <f>INDEX(#REF!, MATCH($A55,#REF!, 0), MATCH(AB$4,#REF!, 0))</f>
        <v>#REF!</v>
      </c>
      <c r="AC55" s="320" t="e">
        <f>INDEX(#REF!, MATCH($A55,#REF!, 0), MATCH(AC$4,#REF!, 0))</f>
        <v>#REF!</v>
      </c>
      <c r="AD55" s="146" t="e">
        <f>INDEX(#REF!, MATCH($A55,#REF!, 0), MATCH(AD$4,#REF!, 0))</f>
        <v>#REF!</v>
      </c>
      <c r="AE55" s="146" t="e">
        <f>INDEX(#REF!, MATCH($A55,#REF!, 0), MATCH(AE$4,#REF!, 0))</f>
        <v>#REF!</v>
      </c>
      <c r="AF55" s="146" t="e">
        <f>INDEX(#REF!, MATCH($A55,#REF!, 0), MATCH(AF$4,#REF!, 0))</f>
        <v>#REF!</v>
      </c>
      <c r="AG55" s="146" t="e">
        <f>INDEX(#REF!, MATCH($A55,#REF!, 0), MATCH(AG$4,#REF!, 0))</f>
        <v>#REF!</v>
      </c>
      <c r="AH55" s="146" t="e">
        <f>INDEX(#REF!, MATCH($A55,#REF!, 0), MATCH(AH$4,#REF!, 0))</f>
        <v>#REF!</v>
      </c>
      <c r="AI55" s="146" t="e">
        <f>INDEX(#REF!, MATCH($A55,#REF!, 0), MATCH(AI$4,#REF!, 0))</f>
        <v>#REF!</v>
      </c>
      <c r="AJ55" s="320" t="e">
        <f>INDEX(#REF!, MATCH($A55,#REF!, 0), MATCH(AJ$4,#REF!, 0))</f>
        <v>#REF!</v>
      </c>
      <c r="AK55" s="146" t="e">
        <f>INDEX(#REF!, MATCH($A55,#REF!, 0), MATCH(AK$4,#REF!, 0))</f>
        <v>#REF!</v>
      </c>
      <c r="AL55" s="146" t="e">
        <f>INDEX(#REF!, MATCH($A55,#REF!, 0), MATCH(AL$4,#REF!, 0))</f>
        <v>#REF!</v>
      </c>
      <c r="AM55" s="146" t="e">
        <f>INDEX(#REF!, MATCH($A55,#REF!, 0), MATCH(AM$4,#REF!, 0))</f>
        <v>#REF!</v>
      </c>
      <c r="AN55" s="146" t="e">
        <f>INDEX(#REF!, MATCH($A55,#REF!, 0), MATCH(AN$4,#REF!, 0))</f>
        <v>#REF!</v>
      </c>
      <c r="AO55" s="146" t="e">
        <f>INDEX(#REF!, MATCH($A55,#REF!, 0), MATCH(AO$4,#REF!, 0))</f>
        <v>#REF!</v>
      </c>
      <c r="AP55" s="146" t="e">
        <f>INDEX(#REF!, MATCH($A55,#REF!, 0), MATCH(AP$4,#REF!, 0))</f>
        <v>#REF!</v>
      </c>
      <c r="AQ55" s="320" t="e">
        <f>INDEX(#REF!, MATCH($A55,#REF!, 0), MATCH(AQ$4,#REF!, 0))</f>
        <v>#REF!</v>
      </c>
      <c r="AR55" s="146" t="e">
        <f>INDEX(#REF!, MATCH($A55,#REF!, 0), MATCH(AR$4,#REF!, 0))</f>
        <v>#REF!</v>
      </c>
      <c r="AS55" s="146" t="e">
        <f>INDEX(#REF!, MATCH($A55,#REF!, 0), MATCH(AS$4,#REF!, 0))</f>
        <v>#REF!</v>
      </c>
      <c r="AT55" s="146" t="e">
        <f>INDEX(#REF!, MATCH($A55,#REF!, 0), MATCH(AT$4,#REF!, 0))</f>
        <v>#REF!</v>
      </c>
      <c r="AU55" s="146" t="e">
        <f>INDEX(#REF!, MATCH($A55,#REF!, 0), MATCH(AU$4,#REF!, 0))</f>
        <v>#REF!</v>
      </c>
      <c r="AV55" s="146" t="e">
        <f>INDEX(#REF!, MATCH($A55,#REF!, 0), MATCH(AV$4,#REF!, 0))</f>
        <v>#REF!</v>
      </c>
      <c r="AW55" s="146" t="e">
        <f>INDEX(#REF!, MATCH($A55,#REF!, 0), MATCH(AW$4,#REF!, 0))</f>
        <v>#REF!</v>
      </c>
      <c r="AX55" s="320" t="e">
        <f>INDEX(#REF!, MATCH($A55,#REF!, 0), MATCH(AX$4,#REF!, 0))</f>
        <v>#REF!</v>
      </c>
      <c r="AY55" s="146" t="e">
        <f>INDEX(#REF!, MATCH($A55,#REF!, 0), MATCH(AY$4,#REF!, 0))</f>
        <v>#REF!</v>
      </c>
      <c r="AZ55" s="146" t="e">
        <f>INDEX(#REF!, MATCH($A55,#REF!, 0), MATCH(AZ$4,#REF!, 0))</f>
        <v>#REF!</v>
      </c>
      <c r="BA55" s="146" t="e">
        <f>INDEX(#REF!, MATCH($A55,#REF!, 0), MATCH(BA$4,#REF!, 0))</f>
        <v>#REF!</v>
      </c>
      <c r="BB55" s="146" t="e">
        <f>INDEX(#REF!, MATCH($A55,#REF!, 0), MATCH(BB$4,#REF!, 0))</f>
        <v>#REF!</v>
      </c>
      <c r="BC55" s="146" t="e">
        <f>INDEX(#REF!, MATCH($A55,#REF!, 0), MATCH(BC$4,#REF!, 0))</f>
        <v>#REF!</v>
      </c>
      <c r="BD55" s="364" t="e">
        <f>INDEX(#REF!, MATCH($A55,#REF!, 0), MATCH(BD$4,#REF!, 0))</f>
        <v>#REF!</v>
      </c>
      <c r="BE55" s="320" t="e">
        <f>INDEX(#REF!, MATCH($A55,#REF!, 0), MATCH(BE$4,#REF!, 0))</f>
        <v>#REF!</v>
      </c>
      <c r="BF55" s="146" t="e">
        <f>INDEX(#REF!, MATCH($A55,#REF!, 0), MATCH(BF$4,#REF!, 0))</f>
        <v>#REF!</v>
      </c>
      <c r="BG55" s="146" t="e">
        <f>INDEX(#REF!, MATCH($A55,#REF!, 0), MATCH(BG$4,#REF!, 0))</f>
        <v>#REF!</v>
      </c>
      <c r="BH55" s="146" t="e">
        <f>INDEX(#REF!, MATCH($A55,#REF!, 0), MATCH(BH$4,#REF!, 0))</f>
        <v>#REF!</v>
      </c>
      <c r="BI55" s="146" t="e">
        <f>INDEX(#REF!, MATCH($A55,#REF!, 0), MATCH(BI$4,#REF!, 0))</f>
        <v>#REF!</v>
      </c>
      <c r="BJ55" s="146" t="e">
        <f>INDEX(#REF!, MATCH($A55,#REF!, 0), MATCH(BJ$4,#REF!, 0))</f>
        <v>#REF!</v>
      </c>
      <c r="BK55" s="364" t="e">
        <f>INDEX(#REF!, MATCH($A55,#REF!, 0), MATCH(BK$4,#REF!, 0))</f>
        <v>#REF!</v>
      </c>
      <c r="BL55" s="146" t="e">
        <f>INDEX(#REF!, MATCH($BT55,#REF!, 0), MATCH(BL$4,#REF!, 0))</f>
        <v>#REF!</v>
      </c>
      <c r="BM55" s="146" t="e">
        <f>INDEX(#REF!, MATCH($BT55,#REF!, 0), MATCH(BM$4,#REF!, 0))</f>
        <v>#REF!</v>
      </c>
      <c r="BN55" s="146" t="e">
        <f>INDEX(#REF!, MATCH($BT55,#REF!, 0), MATCH(BN$4,#REF!, 0))</f>
        <v>#REF!</v>
      </c>
      <c r="BO55" s="146" t="e">
        <f>INDEX(#REF!, MATCH($BT55,#REF!, 0), MATCH(BO$4,#REF!, 0))</f>
        <v>#REF!</v>
      </c>
      <c r="BP55" s="146" t="e">
        <f>INDEX(#REF!, MATCH($BT55,#REF!, 0), MATCH(BP$4,#REF!, 0))</f>
        <v>#REF!</v>
      </c>
      <c r="BQ55" s="146" t="e">
        <f>INDEX(#REF!, MATCH($BT55,#REF!, 0), MATCH(BQ$4,#REF!, 0))</f>
        <v>#REF!</v>
      </c>
      <c r="BR55" s="146" t="e">
        <f>INDEX(#REF!, MATCH($BT55,#REF!, 0), MATCH(BR$4,#REF!, 0))</f>
        <v>#REF!</v>
      </c>
      <c r="BT55" s="105" t="s">
        <v>169</v>
      </c>
    </row>
    <row r="56" spans="1:91" ht="12.6">
      <c r="A56" s="130"/>
      <c r="B56" s="144" t="s">
        <v>108</v>
      </c>
      <c r="C56" s="144"/>
      <c r="D56" s="98" t="e">
        <f t="shared" ref="D56:AI56" si="183">D55/(D54-D42)</f>
        <v>#REF!</v>
      </c>
      <c r="E56" s="98" t="e">
        <f t="shared" si="183"/>
        <v>#REF!</v>
      </c>
      <c r="F56" s="98" t="e">
        <f t="shared" si="183"/>
        <v>#REF!</v>
      </c>
      <c r="G56" s="98" t="e">
        <f t="shared" si="183"/>
        <v>#REF!</v>
      </c>
      <c r="H56" s="98" t="e">
        <f t="shared" si="183"/>
        <v>#REF!</v>
      </c>
      <c r="I56" s="98" t="e">
        <f t="shared" si="183"/>
        <v>#REF!</v>
      </c>
      <c r="J56" s="98" t="e">
        <f t="shared" si="183"/>
        <v>#REF!</v>
      </c>
      <c r="K56" s="98" t="e">
        <f t="shared" si="183"/>
        <v>#REF!</v>
      </c>
      <c r="L56" s="98" t="e">
        <f t="shared" si="183"/>
        <v>#REF!</v>
      </c>
      <c r="M56" s="98" t="e">
        <f t="shared" si="183"/>
        <v>#REF!</v>
      </c>
      <c r="N56" s="98" t="e">
        <f t="shared" si="183"/>
        <v>#REF!</v>
      </c>
      <c r="O56" s="98" t="e">
        <f t="shared" si="183"/>
        <v>#REF!</v>
      </c>
      <c r="P56" s="98" t="e">
        <f t="shared" si="183"/>
        <v>#REF!</v>
      </c>
      <c r="Q56" s="98" t="e">
        <f t="shared" si="183"/>
        <v>#REF!</v>
      </c>
      <c r="R56" s="98" t="e">
        <f t="shared" si="183"/>
        <v>#REF!</v>
      </c>
      <c r="S56" s="98" t="e">
        <f t="shared" si="183"/>
        <v>#REF!</v>
      </c>
      <c r="T56" s="98" t="e">
        <f t="shared" si="183"/>
        <v>#REF!</v>
      </c>
      <c r="U56" s="98" t="e">
        <f t="shared" si="183"/>
        <v>#REF!</v>
      </c>
      <c r="V56" s="319" t="e">
        <f t="shared" si="183"/>
        <v>#REF!</v>
      </c>
      <c r="W56" s="98" t="e">
        <f t="shared" si="183"/>
        <v>#REF!</v>
      </c>
      <c r="X56" s="98" t="e">
        <f t="shared" si="183"/>
        <v>#REF!</v>
      </c>
      <c r="Y56" s="98" t="e">
        <f t="shared" si="183"/>
        <v>#REF!</v>
      </c>
      <c r="Z56" s="98" t="e">
        <f t="shared" si="183"/>
        <v>#REF!</v>
      </c>
      <c r="AA56" s="98" t="e">
        <f t="shared" si="183"/>
        <v>#REF!</v>
      </c>
      <c r="AB56" s="98" t="e">
        <f t="shared" si="183"/>
        <v>#REF!</v>
      </c>
      <c r="AC56" s="319" t="e">
        <f t="shared" si="183"/>
        <v>#REF!</v>
      </c>
      <c r="AD56" s="98" t="e">
        <f t="shared" si="183"/>
        <v>#REF!</v>
      </c>
      <c r="AE56" s="98" t="e">
        <f t="shared" si="183"/>
        <v>#REF!</v>
      </c>
      <c r="AF56" s="98" t="e">
        <f t="shared" si="183"/>
        <v>#REF!</v>
      </c>
      <c r="AG56" s="98" t="e">
        <f t="shared" si="183"/>
        <v>#REF!</v>
      </c>
      <c r="AH56" s="98" t="e">
        <f t="shared" si="183"/>
        <v>#REF!</v>
      </c>
      <c r="AI56" s="98" t="e">
        <f t="shared" si="183"/>
        <v>#REF!</v>
      </c>
      <c r="AJ56" s="319" t="e">
        <f t="shared" ref="AJ56:BD56" si="184">AJ55/(AJ54-AJ42)</f>
        <v>#REF!</v>
      </c>
      <c r="AK56" s="98" t="e">
        <f t="shared" si="184"/>
        <v>#REF!</v>
      </c>
      <c r="AL56" s="98" t="e">
        <f t="shared" si="184"/>
        <v>#REF!</v>
      </c>
      <c r="AM56" s="98" t="e">
        <f t="shared" si="184"/>
        <v>#REF!</v>
      </c>
      <c r="AN56" s="98" t="e">
        <f t="shared" si="184"/>
        <v>#REF!</v>
      </c>
      <c r="AO56" s="98" t="e">
        <f t="shared" si="184"/>
        <v>#REF!</v>
      </c>
      <c r="AP56" s="98" t="e">
        <f t="shared" si="184"/>
        <v>#REF!</v>
      </c>
      <c r="AQ56" s="319" t="e">
        <f t="shared" si="184"/>
        <v>#REF!</v>
      </c>
      <c r="AR56" s="98" t="e">
        <f t="shared" si="184"/>
        <v>#REF!</v>
      </c>
      <c r="AS56" s="98" t="e">
        <f t="shared" si="184"/>
        <v>#REF!</v>
      </c>
      <c r="AT56" s="98" t="e">
        <f t="shared" si="184"/>
        <v>#REF!</v>
      </c>
      <c r="AU56" s="98" t="e">
        <f t="shared" si="184"/>
        <v>#REF!</v>
      </c>
      <c r="AV56" s="98" t="e">
        <f t="shared" si="184"/>
        <v>#REF!</v>
      </c>
      <c r="AW56" s="98" t="e">
        <f t="shared" si="184"/>
        <v>#REF!</v>
      </c>
      <c r="AX56" s="319" t="e">
        <f t="shared" si="184"/>
        <v>#REF!</v>
      </c>
      <c r="AY56" s="98" t="e">
        <f t="shared" si="184"/>
        <v>#REF!</v>
      </c>
      <c r="AZ56" s="98" t="e">
        <f t="shared" si="184"/>
        <v>#REF!</v>
      </c>
      <c r="BA56" s="98" t="e">
        <f t="shared" si="184"/>
        <v>#REF!</v>
      </c>
      <c r="BB56" s="98" t="e">
        <f t="shared" si="184"/>
        <v>#REF!</v>
      </c>
      <c r="BC56" s="98" t="e">
        <f t="shared" si="184"/>
        <v>#REF!</v>
      </c>
      <c r="BD56" s="363" t="e">
        <f t="shared" si="184"/>
        <v>#REF!</v>
      </c>
      <c r="BE56" s="319" t="e">
        <f t="shared" ref="BE56:BK56" si="185">BE55/(BE54-BE42)</f>
        <v>#REF!</v>
      </c>
      <c r="BF56" s="98" t="e">
        <f t="shared" si="185"/>
        <v>#REF!</v>
      </c>
      <c r="BG56" s="98" t="e">
        <f t="shared" si="185"/>
        <v>#REF!</v>
      </c>
      <c r="BH56" s="98" t="e">
        <f t="shared" si="185"/>
        <v>#REF!</v>
      </c>
      <c r="BI56" s="98" t="e">
        <f t="shared" si="185"/>
        <v>#REF!</v>
      </c>
      <c r="BJ56" s="98" t="e">
        <f t="shared" si="185"/>
        <v>#REF!</v>
      </c>
      <c r="BK56" s="363" t="e">
        <f t="shared" si="185"/>
        <v>#REF!</v>
      </c>
      <c r="BL56" s="98" t="e">
        <f>INDEX(#REF!, MATCH($BT56,#REF!, 0), MATCH(BL$4,#REF!, 0))</f>
        <v>#REF!</v>
      </c>
      <c r="BM56" s="98" t="e">
        <f>INDEX(#REF!, MATCH($BT56,#REF!, 0), MATCH(BM$4,#REF!, 0))</f>
        <v>#REF!</v>
      </c>
      <c r="BN56" s="98" t="e">
        <f>INDEX(#REF!, MATCH($BT56,#REF!, 0), MATCH(BN$4,#REF!, 0))</f>
        <v>#REF!</v>
      </c>
      <c r="BO56" s="98" t="e">
        <f>INDEX(#REF!, MATCH($BT56,#REF!, 0), MATCH(BO$4,#REF!, 0))</f>
        <v>#REF!</v>
      </c>
      <c r="BP56" s="98" t="e">
        <f>INDEX(#REF!, MATCH($BT56,#REF!, 0), MATCH(BP$4,#REF!, 0))</f>
        <v>#REF!</v>
      </c>
      <c r="BQ56" s="98" t="e">
        <f>INDEX(#REF!, MATCH($BT56,#REF!, 0), MATCH(BQ$4,#REF!, 0))</f>
        <v>#REF!</v>
      </c>
      <c r="BR56" s="98" t="e">
        <f>INDEX(#REF!, MATCH($BT56,#REF!, 0), MATCH(BR$4,#REF!, 0))</f>
        <v>#REF!</v>
      </c>
      <c r="BT56" s="110" t="s">
        <v>227</v>
      </c>
    </row>
    <row r="57" spans="1:91">
      <c r="A57" s="105" t="s">
        <v>170</v>
      </c>
      <c r="B57" s="117" t="s">
        <v>109</v>
      </c>
      <c r="C57" s="117"/>
      <c r="D57" s="146" t="e">
        <f>INDEX(#REF!, MATCH($A57,#REF!, 0), MATCH(D$4,#REF!, 0))</f>
        <v>#REF!</v>
      </c>
      <c r="E57" s="146" t="e">
        <f>INDEX(#REF!, MATCH($A57,#REF!, 0), MATCH(E$4,#REF!, 0))</f>
        <v>#REF!</v>
      </c>
      <c r="F57" s="146" t="e">
        <f>INDEX(#REF!, MATCH($A57,#REF!, 0), MATCH(F$4,#REF!, 0))</f>
        <v>#REF!</v>
      </c>
      <c r="G57" s="146" t="e">
        <f>INDEX(#REF!, MATCH($A57,#REF!, 0), MATCH(G$4,#REF!, 0))</f>
        <v>#REF!</v>
      </c>
      <c r="H57" s="146" t="e">
        <f>INDEX(#REF!, MATCH($A57,#REF!, 0), MATCH(H$4,#REF!, 0))</f>
        <v>#REF!</v>
      </c>
      <c r="I57" s="146" t="e">
        <f>INDEX(#REF!, MATCH($A57,#REF!, 0), MATCH(I$4,#REF!, 0))</f>
        <v>#REF!</v>
      </c>
      <c r="J57" s="146" t="e">
        <f>INDEX(#REF!, MATCH($A57,#REF!, 0), MATCH(J$4,#REF!, 0))</f>
        <v>#REF!</v>
      </c>
      <c r="K57" s="146" t="e">
        <f>INDEX(#REF!, MATCH($A57,#REF!, 0), MATCH(K$4,#REF!, 0))</f>
        <v>#REF!</v>
      </c>
      <c r="L57" s="146" t="e">
        <f>INDEX(#REF!, MATCH($A57,#REF!, 0), MATCH(L$4,#REF!, 0))</f>
        <v>#REF!</v>
      </c>
      <c r="M57" s="146" t="e">
        <f>INDEX(#REF!, MATCH($A57,#REF!, 0), MATCH(M$4,#REF!, 0))</f>
        <v>#REF!</v>
      </c>
      <c r="N57" s="146" t="e">
        <f>INDEX(#REF!, MATCH($A57,#REF!, 0), MATCH(N$4,#REF!, 0))</f>
        <v>#REF!</v>
      </c>
      <c r="O57" s="146" t="e">
        <f>INDEX(#REF!, MATCH($A57,#REF!, 0), MATCH(O$4,#REF!, 0))</f>
        <v>#REF!</v>
      </c>
      <c r="P57" s="146" t="e">
        <f>INDEX(#REF!, MATCH($A57,#REF!, 0), MATCH(P$4,#REF!, 0))</f>
        <v>#REF!</v>
      </c>
      <c r="Q57" s="146" t="e">
        <f>INDEX(#REF!, MATCH($A57,#REF!, 0), MATCH(Q$4,#REF!, 0))</f>
        <v>#REF!</v>
      </c>
      <c r="R57" s="146" t="e">
        <f>INDEX(#REF!, MATCH($A57,#REF!, 0), MATCH(R$4,#REF!, 0))</f>
        <v>#REF!</v>
      </c>
      <c r="S57" s="146" t="e">
        <f>INDEX(#REF!, MATCH($A57,#REF!, 0), MATCH(S$4,#REF!, 0))</f>
        <v>#REF!</v>
      </c>
      <c r="T57" s="146" t="e">
        <f>INDEX(#REF!, MATCH($A57,#REF!, 0), MATCH(T$4,#REF!, 0))</f>
        <v>#REF!</v>
      </c>
      <c r="U57" s="146" t="e">
        <f>INDEX(#REF!, MATCH($A57,#REF!, 0), MATCH(U$4,#REF!, 0))</f>
        <v>#REF!</v>
      </c>
      <c r="V57" s="320" t="e">
        <f>INDEX(#REF!, MATCH($A57,#REF!, 0), MATCH(V$4,#REF!, 0))</f>
        <v>#REF!</v>
      </c>
      <c r="W57" s="146" t="e">
        <f>INDEX(#REF!, MATCH($A57,#REF!, 0), MATCH(W$4,#REF!, 0))</f>
        <v>#REF!</v>
      </c>
      <c r="X57" s="146" t="e">
        <f>INDEX(#REF!, MATCH($A57,#REF!, 0), MATCH(X$4,#REF!, 0))</f>
        <v>#REF!</v>
      </c>
      <c r="Y57" s="146" t="e">
        <f>INDEX(#REF!, MATCH($A57,#REF!, 0), MATCH(Y$4,#REF!, 0))</f>
        <v>#REF!</v>
      </c>
      <c r="Z57" s="146" t="e">
        <f>INDEX(#REF!, MATCH($A57,#REF!, 0), MATCH(Z$4,#REF!, 0))</f>
        <v>#REF!</v>
      </c>
      <c r="AA57" s="146" t="e">
        <f>INDEX(#REF!, MATCH($A57,#REF!, 0), MATCH(AA$4,#REF!, 0))</f>
        <v>#REF!</v>
      </c>
      <c r="AB57" s="146" t="e">
        <f>INDEX(#REF!, MATCH($A57,#REF!, 0), MATCH(AB$4,#REF!, 0))</f>
        <v>#REF!</v>
      </c>
      <c r="AC57" s="320" t="e">
        <f>INDEX(#REF!, MATCH($A57,#REF!, 0), MATCH(AC$4,#REF!, 0))</f>
        <v>#REF!</v>
      </c>
      <c r="AD57" s="146" t="e">
        <f>INDEX(#REF!, MATCH($A57,#REF!, 0), MATCH(AD$4,#REF!, 0))</f>
        <v>#REF!</v>
      </c>
      <c r="AE57" s="146" t="e">
        <f>INDEX(#REF!, MATCH($A57,#REF!, 0), MATCH(AE$4,#REF!, 0))</f>
        <v>#REF!</v>
      </c>
      <c r="AF57" s="146" t="e">
        <f>INDEX(#REF!, MATCH($A57,#REF!, 0), MATCH(AF$4,#REF!, 0))</f>
        <v>#REF!</v>
      </c>
      <c r="AG57" s="146" t="e">
        <f>INDEX(#REF!, MATCH($A57,#REF!, 0), MATCH(AG$4,#REF!, 0))</f>
        <v>#REF!</v>
      </c>
      <c r="AH57" s="146" t="e">
        <f>INDEX(#REF!, MATCH($A57,#REF!, 0), MATCH(AH$4,#REF!, 0))</f>
        <v>#REF!</v>
      </c>
      <c r="AI57" s="146" t="e">
        <f>INDEX(#REF!, MATCH($A57,#REF!, 0), MATCH(AI$4,#REF!, 0))</f>
        <v>#REF!</v>
      </c>
      <c r="AJ57" s="320" t="e">
        <f>INDEX(#REF!, MATCH($A57,#REF!, 0), MATCH(AJ$4,#REF!, 0))</f>
        <v>#REF!</v>
      </c>
      <c r="AK57" s="146" t="e">
        <f>INDEX(#REF!, MATCH($A57,#REF!, 0), MATCH(AK$4,#REF!, 0))</f>
        <v>#REF!</v>
      </c>
      <c r="AL57" s="146" t="e">
        <f>INDEX(#REF!, MATCH($A57,#REF!, 0), MATCH(AL$4,#REF!, 0))</f>
        <v>#REF!</v>
      </c>
      <c r="AM57" s="146" t="e">
        <f>INDEX(#REF!, MATCH($A57,#REF!, 0), MATCH(AM$4,#REF!, 0))</f>
        <v>#REF!</v>
      </c>
      <c r="AN57" s="146" t="e">
        <f>INDEX(#REF!, MATCH($A57,#REF!, 0), MATCH(AN$4,#REF!, 0))</f>
        <v>#REF!</v>
      </c>
      <c r="AO57" s="146" t="e">
        <f>INDEX(#REF!, MATCH($A57,#REF!, 0), MATCH(AO$4,#REF!, 0))</f>
        <v>#REF!</v>
      </c>
      <c r="AP57" s="146" t="e">
        <f>INDEX(#REF!, MATCH($A57,#REF!, 0), MATCH(AP$4,#REF!, 0))</f>
        <v>#REF!</v>
      </c>
      <c r="AQ57" s="320" t="e">
        <f>INDEX(#REF!, MATCH($A57,#REF!, 0), MATCH(AQ$4,#REF!, 0))</f>
        <v>#REF!</v>
      </c>
      <c r="AR57" s="146" t="e">
        <f>INDEX(#REF!, MATCH($A57,#REF!, 0), MATCH(AR$4,#REF!, 0))</f>
        <v>#REF!</v>
      </c>
      <c r="AS57" s="146" t="e">
        <f>INDEX(#REF!, MATCH($A57,#REF!, 0), MATCH(AS$4,#REF!, 0))</f>
        <v>#REF!</v>
      </c>
      <c r="AT57" s="146" t="e">
        <f>INDEX(#REF!, MATCH($A57,#REF!, 0), MATCH(AT$4,#REF!, 0))</f>
        <v>#REF!</v>
      </c>
      <c r="AU57" s="146" t="e">
        <f>INDEX(#REF!, MATCH($A57,#REF!, 0), MATCH(AU$4,#REF!, 0))</f>
        <v>#REF!</v>
      </c>
      <c r="AV57" s="146" t="e">
        <f>INDEX(#REF!, MATCH($A57,#REF!, 0), MATCH(AV$4,#REF!, 0))</f>
        <v>#REF!</v>
      </c>
      <c r="AW57" s="146" t="e">
        <f>INDEX(#REF!, MATCH($A57,#REF!, 0), MATCH(AW$4,#REF!, 0))</f>
        <v>#REF!</v>
      </c>
      <c r="AX57" s="320" t="e">
        <f>INDEX(#REF!, MATCH($A57,#REF!, 0), MATCH(AX$4,#REF!, 0))</f>
        <v>#REF!</v>
      </c>
      <c r="AY57" s="146" t="e">
        <f>INDEX(#REF!, MATCH($A57,#REF!, 0), MATCH(AY$4,#REF!, 0))</f>
        <v>#REF!</v>
      </c>
      <c r="AZ57" s="146" t="e">
        <f>INDEX(#REF!, MATCH($A57,#REF!, 0), MATCH(AZ$4,#REF!, 0))</f>
        <v>#REF!</v>
      </c>
      <c r="BA57" s="146" t="e">
        <f>INDEX(#REF!, MATCH($A57,#REF!, 0), MATCH(BA$4,#REF!, 0))</f>
        <v>#REF!</v>
      </c>
      <c r="BB57" s="146" t="e">
        <f>INDEX(#REF!, MATCH($A57,#REF!, 0), MATCH(BB$4,#REF!, 0))</f>
        <v>#REF!</v>
      </c>
      <c r="BC57" s="146" t="e">
        <f>INDEX(#REF!, MATCH($A57,#REF!, 0), MATCH(BC$4,#REF!, 0))</f>
        <v>#REF!</v>
      </c>
      <c r="BD57" s="364" t="e">
        <f>INDEX(#REF!, MATCH($A57,#REF!, 0), MATCH(BD$4,#REF!, 0))</f>
        <v>#REF!</v>
      </c>
      <c r="BE57" s="320" t="e">
        <f>INDEX(#REF!, MATCH($A57,#REF!, 0), MATCH(BE$4,#REF!, 0))</f>
        <v>#REF!</v>
      </c>
      <c r="BF57" s="146" t="e">
        <f>INDEX(#REF!, MATCH($A57,#REF!, 0), MATCH(BF$4,#REF!, 0))</f>
        <v>#REF!</v>
      </c>
      <c r="BG57" s="146" t="e">
        <f>INDEX(#REF!, MATCH($A57,#REF!, 0), MATCH(BG$4,#REF!, 0))</f>
        <v>#REF!</v>
      </c>
      <c r="BH57" s="146" t="e">
        <f>INDEX(#REF!, MATCH($A57,#REF!, 0), MATCH(BH$4,#REF!, 0))</f>
        <v>#REF!</v>
      </c>
      <c r="BI57" s="146" t="e">
        <f>INDEX(#REF!, MATCH($A57,#REF!, 0), MATCH(BI$4,#REF!, 0))</f>
        <v>#REF!</v>
      </c>
      <c r="BJ57" s="146" t="e">
        <f>INDEX(#REF!, MATCH($A57,#REF!, 0), MATCH(BJ$4,#REF!, 0))</f>
        <v>#REF!</v>
      </c>
      <c r="BK57" s="364" t="e">
        <f>INDEX(#REF!, MATCH($A57,#REF!, 0), MATCH(BK$4,#REF!, 0))</f>
        <v>#REF!</v>
      </c>
      <c r="BL57" s="146" t="e">
        <f>INDEX(#REF!, MATCH($BT57,#REF!, 0), MATCH(BL$4,#REF!, 0))</f>
        <v>#REF!</v>
      </c>
      <c r="BM57" s="146" t="e">
        <f>INDEX(#REF!, MATCH($BT57,#REF!, 0), MATCH(BM$4,#REF!, 0))</f>
        <v>#REF!</v>
      </c>
      <c r="BN57" s="146" t="e">
        <f>INDEX(#REF!, MATCH($BT57,#REF!, 0), MATCH(BN$4,#REF!, 0))</f>
        <v>#REF!</v>
      </c>
      <c r="BO57" s="146" t="e">
        <f>INDEX(#REF!, MATCH($BT57,#REF!, 0), MATCH(BO$4,#REF!, 0))</f>
        <v>#REF!</v>
      </c>
      <c r="BP57" s="146" t="e">
        <f>INDEX(#REF!, MATCH($BT57,#REF!, 0), MATCH(BP$4,#REF!, 0))</f>
        <v>#REF!</v>
      </c>
      <c r="BQ57" s="146" t="e">
        <f>INDEX(#REF!, MATCH($BT57,#REF!, 0), MATCH(BQ$4,#REF!, 0))</f>
        <v>#REF!</v>
      </c>
      <c r="BR57" s="146" t="e">
        <f>INDEX(#REF!, MATCH($BT57,#REF!, 0), MATCH(BR$4,#REF!, 0))</f>
        <v>#REF!</v>
      </c>
      <c r="BT57" s="105" t="s">
        <v>170</v>
      </c>
    </row>
    <row r="58" spans="1:91" ht="12.6">
      <c r="A58" s="130"/>
      <c r="B58" s="144" t="s">
        <v>110</v>
      </c>
      <c r="C58" s="144"/>
      <c r="D58" s="98" t="e">
        <f t="shared" ref="D58:T58" si="186">D57/D54</f>
        <v>#REF!</v>
      </c>
      <c r="E58" s="98" t="e">
        <f t="shared" si="186"/>
        <v>#REF!</v>
      </c>
      <c r="F58" s="98" t="e">
        <f t="shared" si="186"/>
        <v>#REF!</v>
      </c>
      <c r="G58" s="98" t="e">
        <f t="shared" si="186"/>
        <v>#REF!</v>
      </c>
      <c r="H58" s="98" t="e">
        <f t="shared" si="186"/>
        <v>#REF!</v>
      </c>
      <c r="I58" s="98" t="e">
        <f t="shared" si="186"/>
        <v>#REF!</v>
      </c>
      <c r="J58" s="98" t="e">
        <f t="shared" si="186"/>
        <v>#REF!</v>
      </c>
      <c r="K58" s="98" t="e">
        <f t="shared" si="186"/>
        <v>#REF!</v>
      </c>
      <c r="L58" s="98" t="e">
        <f t="shared" si="186"/>
        <v>#REF!</v>
      </c>
      <c r="M58" s="98" t="e">
        <f t="shared" si="186"/>
        <v>#REF!</v>
      </c>
      <c r="N58" s="98" t="e">
        <f t="shared" si="186"/>
        <v>#REF!</v>
      </c>
      <c r="O58" s="98" t="e">
        <f t="shared" si="186"/>
        <v>#REF!</v>
      </c>
      <c r="P58" s="98" t="e">
        <f t="shared" si="186"/>
        <v>#REF!</v>
      </c>
      <c r="Q58" s="98" t="e">
        <f t="shared" si="186"/>
        <v>#REF!</v>
      </c>
      <c r="R58" s="98" t="e">
        <f t="shared" si="186"/>
        <v>#REF!</v>
      </c>
      <c r="S58" s="98" t="e">
        <f t="shared" si="186"/>
        <v>#REF!</v>
      </c>
      <c r="T58" s="98" t="e">
        <f t="shared" si="186"/>
        <v>#REF!</v>
      </c>
      <c r="U58" s="98" t="e">
        <f t="shared" ref="U58:BD58" si="187">U57/U54</f>
        <v>#REF!</v>
      </c>
      <c r="V58" s="319" t="e">
        <f t="shared" ref="V58:AA58" si="188">V57/V54</f>
        <v>#REF!</v>
      </c>
      <c r="W58" s="98" t="e">
        <f t="shared" si="188"/>
        <v>#REF!</v>
      </c>
      <c r="X58" s="98" t="e">
        <f t="shared" si="188"/>
        <v>#REF!</v>
      </c>
      <c r="Y58" s="98" t="e">
        <f t="shared" si="188"/>
        <v>#REF!</v>
      </c>
      <c r="Z58" s="98" t="e">
        <f t="shared" si="188"/>
        <v>#REF!</v>
      </c>
      <c r="AA58" s="98" t="e">
        <f t="shared" si="188"/>
        <v>#REF!</v>
      </c>
      <c r="AB58" s="98" t="e">
        <f t="shared" si="187"/>
        <v>#REF!</v>
      </c>
      <c r="AC58" s="319" t="e">
        <f t="shared" ref="AC58:AH58" si="189">AC57/AC54</f>
        <v>#REF!</v>
      </c>
      <c r="AD58" s="98" t="e">
        <f t="shared" si="189"/>
        <v>#REF!</v>
      </c>
      <c r="AE58" s="98" t="e">
        <f t="shared" si="189"/>
        <v>#REF!</v>
      </c>
      <c r="AF58" s="98" t="e">
        <f t="shared" si="189"/>
        <v>#REF!</v>
      </c>
      <c r="AG58" s="98" t="e">
        <f t="shared" si="189"/>
        <v>#REF!</v>
      </c>
      <c r="AH58" s="98" t="e">
        <f t="shared" si="189"/>
        <v>#REF!</v>
      </c>
      <c r="AI58" s="98" t="e">
        <f t="shared" si="187"/>
        <v>#REF!</v>
      </c>
      <c r="AJ58" s="319" t="e">
        <f t="shared" ref="AJ58:AO58" si="190">AJ57/AJ54</f>
        <v>#REF!</v>
      </c>
      <c r="AK58" s="98" t="e">
        <f t="shared" si="190"/>
        <v>#REF!</v>
      </c>
      <c r="AL58" s="98" t="e">
        <f t="shared" si="190"/>
        <v>#REF!</v>
      </c>
      <c r="AM58" s="98" t="e">
        <f t="shared" si="190"/>
        <v>#REF!</v>
      </c>
      <c r="AN58" s="98" t="e">
        <f t="shared" si="190"/>
        <v>#REF!</v>
      </c>
      <c r="AO58" s="98" t="e">
        <f t="shared" si="190"/>
        <v>#REF!</v>
      </c>
      <c r="AP58" s="98" t="e">
        <f t="shared" si="187"/>
        <v>#REF!</v>
      </c>
      <c r="AQ58" s="319" t="e">
        <f t="shared" ref="AQ58:AV58" si="191">AQ57/AQ54</f>
        <v>#REF!</v>
      </c>
      <c r="AR58" s="98" t="e">
        <f t="shared" si="191"/>
        <v>#REF!</v>
      </c>
      <c r="AS58" s="98" t="e">
        <f t="shared" si="191"/>
        <v>#REF!</v>
      </c>
      <c r="AT58" s="98" t="e">
        <f t="shared" si="191"/>
        <v>#REF!</v>
      </c>
      <c r="AU58" s="98" t="e">
        <f t="shared" si="191"/>
        <v>#REF!</v>
      </c>
      <c r="AV58" s="98" t="e">
        <f t="shared" si="191"/>
        <v>#REF!</v>
      </c>
      <c r="AW58" s="98" t="e">
        <f t="shared" si="187"/>
        <v>#REF!</v>
      </c>
      <c r="AX58" s="319" t="e">
        <f t="shared" si="187"/>
        <v>#REF!</v>
      </c>
      <c r="AY58" s="98" t="e">
        <f t="shared" si="187"/>
        <v>#REF!</v>
      </c>
      <c r="AZ58" s="98" t="e">
        <f t="shared" si="187"/>
        <v>#REF!</v>
      </c>
      <c r="BA58" s="98" t="e">
        <f t="shared" ref="BA58:BC58" si="192">BA57/BA54</f>
        <v>#REF!</v>
      </c>
      <c r="BB58" s="98" t="e">
        <f t="shared" si="192"/>
        <v>#REF!</v>
      </c>
      <c r="BC58" s="98" t="e">
        <f t="shared" si="192"/>
        <v>#REF!</v>
      </c>
      <c r="BD58" s="363" t="e">
        <f t="shared" si="187"/>
        <v>#REF!</v>
      </c>
      <c r="BE58" s="319" t="e">
        <f t="shared" ref="BE58:BK58" si="193">BE57/BE54</f>
        <v>#REF!</v>
      </c>
      <c r="BF58" s="98" t="e">
        <f t="shared" si="193"/>
        <v>#REF!</v>
      </c>
      <c r="BG58" s="98" t="e">
        <f t="shared" si="193"/>
        <v>#REF!</v>
      </c>
      <c r="BH58" s="98" t="e">
        <f t="shared" si="193"/>
        <v>#REF!</v>
      </c>
      <c r="BI58" s="98" t="e">
        <f t="shared" si="193"/>
        <v>#REF!</v>
      </c>
      <c r="BJ58" s="98" t="e">
        <f t="shared" si="193"/>
        <v>#REF!</v>
      </c>
      <c r="BK58" s="363" t="e">
        <f t="shared" si="193"/>
        <v>#REF!</v>
      </c>
      <c r="BL58" s="98" t="e">
        <f>INDEX(#REF!, MATCH($BT58,#REF!, 0), MATCH(BL$4,#REF!, 0))</f>
        <v>#REF!</v>
      </c>
      <c r="BM58" s="98" t="e">
        <f>INDEX(#REF!, MATCH($BT58,#REF!, 0), MATCH(BM$4,#REF!, 0))</f>
        <v>#REF!</v>
      </c>
      <c r="BN58" s="98" t="e">
        <f>INDEX(#REF!, MATCH($BT58,#REF!, 0), MATCH(BN$4,#REF!, 0))</f>
        <v>#REF!</v>
      </c>
      <c r="BO58" s="98" t="e">
        <f>INDEX(#REF!, MATCH($BT58,#REF!, 0), MATCH(BO$4,#REF!, 0))</f>
        <v>#REF!</v>
      </c>
      <c r="BP58" s="98" t="e">
        <f>INDEX(#REF!, MATCH($BT58,#REF!, 0), MATCH(BP$4,#REF!, 0))</f>
        <v>#REF!</v>
      </c>
      <c r="BQ58" s="98" t="e">
        <f>INDEX(#REF!, MATCH($BT58,#REF!, 0), MATCH(BQ$4,#REF!, 0))</f>
        <v>#REF!</v>
      </c>
      <c r="BR58" s="98" t="e">
        <f>INDEX(#REF!, MATCH($BT58,#REF!, 0), MATCH(BR$4,#REF!, 0))</f>
        <v>#REF!</v>
      </c>
      <c r="BT58" s="105" t="s">
        <v>228</v>
      </c>
    </row>
    <row r="59" spans="1:91">
      <c r="A59" s="92" t="s">
        <v>171</v>
      </c>
      <c r="B59" s="186" t="s">
        <v>352</v>
      </c>
      <c r="C59" s="170"/>
      <c r="D59" s="146" t="e">
        <f>INDEX(#REF!, MATCH($A59,#REF!, 0), MATCH(D$4,#REF!, 0))</f>
        <v>#REF!</v>
      </c>
      <c r="E59" s="146" t="e">
        <f>INDEX(#REF!, MATCH($A59,#REF!, 0), MATCH(E$4,#REF!, 0))</f>
        <v>#REF!</v>
      </c>
      <c r="F59" s="146" t="e">
        <f>INDEX(#REF!, MATCH($A59,#REF!, 0), MATCH(F$4,#REF!, 0))</f>
        <v>#REF!</v>
      </c>
      <c r="G59" s="146" t="e">
        <f>INDEX(#REF!, MATCH($A59,#REF!, 0), MATCH(G$4,#REF!, 0))</f>
        <v>#REF!</v>
      </c>
      <c r="H59" s="146" t="e">
        <f>INDEX(#REF!, MATCH($A59,#REF!, 0), MATCH(H$4,#REF!, 0))</f>
        <v>#REF!</v>
      </c>
      <c r="I59" s="146" t="e">
        <f>INDEX(#REF!, MATCH($A59,#REF!, 0), MATCH(I$4,#REF!, 0))</f>
        <v>#REF!</v>
      </c>
      <c r="J59" s="146" t="e">
        <f>INDEX(#REF!, MATCH($A59,#REF!, 0), MATCH(J$4,#REF!, 0))</f>
        <v>#REF!</v>
      </c>
      <c r="K59" s="146" t="e">
        <f>INDEX(#REF!, MATCH($A59,#REF!, 0), MATCH(K$4,#REF!, 0))</f>
        <v>#REF!</v>
      </c>
      <c r="L59" s="146" t="e">
        <f>INDEX(#REF!, MATCH($A59,#REF!, 0), MATCH(L$4,#REF!, 0))</f>
        <v>#REF!</v>
      </c>
      <c r="M59" s="146" t="e">
        <f>INDEX(#REF!, MATCH($A59,#REF!, 0), MATCH(M$4,#REF!, 0))</f>
        <v>#REF!</v>
      </c>
      <c r="N59" s="146" t="e">
        <f>INDEX(#REF!, MATCH($A59,#REF!, 0), MATCH(N$4,#REF!, 0))</f>
        <v>#REF!</v>
      </c>
      <c r="O59" s="146" t="e">
        <f>INDEX(#REF!, MATCH($A59,#REF!, 0), MATCH(O$4,#REF!, 0))</f>
        <v>#REF!</v>
      </c>
      <c r="P59" s="146" t="e">
        <f>INDEX(#REF!, MATCH($A59,#REF!, 0), MATCH(P$4,#REF!, 0))</f>
        <v>#REF!</v>
      </c>
      <c r="Q59" s="146" t="e">
        <f>INDEX(#REF!, MATCH($A59,#REF!, 0), MATCH(Q$4,#REF!, 0))</f>
        <v>#REF!</v>
      </c>
      <c r="R59" s="146" t="e">
        <f>INDEX(#REF!, MATCH($A59,#REF!, 0), MATCH(R$4,#REF!, 0))</f>
        <v>#REF!</v>
      </c>
      <c r="S59" s="146" t="e">
        <f>INDEX(#REF!, MATCH($A59,#REF!, 0), MATCH(S$4,#REF!, 0))</f>
        <v>#REF!</v>
      </c>
      <c r="T59" s="146" t="e">
        <f>INDEX(#REF!, MATCH($A59,#REF!, 0), MATCH(T$4,#REF!, 0))</f>
        <v>#REF!</v>
      </c>
      <c r="U59" s="146" t="e">
        <f>INDEX(#REF!, MATCH($A59,#REF!, 0), MATCH(U$4,#REF!, 0))</f>
        <v>#REF!</v>
      </c>
      <c r="V59" s="146" t="e">
        <f>INDEX(#REF!, MATCH($A59,#REF!, 0), MATCH(V$4,#REF!, 0))</f>
        <v>#REF!</v>
      </c>
      <c r="W59" s="146" t="e">
        <f>INDEX(#REF!, MATCH($A59,#REF!, 0), MATCH(W$4,#REF!, 0))</f>
        <v>#REF!</v>
      </c>
      <c r="X59" s="146" t="e">
        <f>INDEX(#REF!, MATCH($A59,#REF!, 0), MATCH(X$4,#REF!, 0))</f>
        <v>#REF!</v>
      </c>
      <c r="Y59" s="146" t="e">
        <f>INDEX(#REF!, MATCH($A59,#REF!, 0), MATCH(Y$4,#REF!, 0))</f>
        <v>#REF!</v>
      </c>
      <c r="Z59" s="146" t="e">
        <f>INDEX(#REF!, MATCH($A59,#REF!, 0), MATCH(Z$4,#REF!, 0))</f>
        <v>#REF!</v>
      </c>
      <c r="AA59" s="146" t="e">
        <f>INDEX(#REF!, MATCH($A59,#REF!, 0), MATCH(AA$4,#REF!, 0))</f>
        <v>#REF!</v>
      </c>
      <c r="AB59" s="146" t="e">
        <f>INDEX(#REF!, MATCH($A59,#REF!, 0), MATCH(AB$4,#REF!, 0))</f>
        <v>#REF!</v>
      </c>
      <c r="AC59" s="146" t="e">
        <f>INDEX(#REF!, MATCH($A59,#REF!, 0), MATCH(AC$4,#REF!, 0))</f>
        <v>#REF!</v>
      </c>
      <c r="AD59" s="146" t="e">
        <f>INDEX(#REF!, MATCH($A59,#REF!, 0), MATCH(AD$4,#REF!, 0))</f>
        <v>#REF!</v>
      </c>
      <c r="AE59" s="146" t="e">
        <f>INDEX(#REF!, MATCH($A59,#REF!, 0), MATCH(AE$4,#REF!, 0))</f>
        <v>#REF!</v>
      </c>
      <c r="AF59" s="146" t="e">
        <f>INDEX(#REF!, MATCH($A59,#REF!, 0), MATCH(AF$4,#REF!, 0))</f>
        <v>#REF!</v>
      </c>
      <c r="AG59" s="146" t="e">
        <f>INDEX(#REF!, MATCH($A59,#REF!, 0), MATCH(AG$4,#REF!, 0))</f>
        <v>#REF!</v>
      </c>
      <c r="AH59" s="146" t="e">
        <f>INDEX(#REF!, MATCH($A59,#REF!, 0), MATCH(AH$4,#REF!, 0))</f>
        <v>#REF!</v>
      </c>
      <c r="AI59" s="146" t="e">
        <f>INDEX(#REF!, MATCH($A59,#REF!, 0), MATCH(AI$4,#REF!, 0))</f>
        <v>#REF!</v>
      </c>
      <c r="AJ59" s="146" t="e">
        <f>INDEX(#REF!, MATCH($A59,#REF!, 0), MATCH(AJ$4,#REF!, 0))</f>
        <v>#REF!</v>
      </c>
      <c r="AK59" s="146" t="e">
        <f>INDEX(#REF!, MATCH($A59,#REF!, 0), MATCH(AK$4,#REF!, 0))</f>
        <v>#REF!</v>
      </c>
      <c r="AL59" s="146" t="e">
        <f>INDEX(#REF!, MATCH($A59,#REF!, 0), MATCH(AL$4,#REF!, 0))</f>
        <v>#REF!</v>
      </c>
      <c r="AM59" s="146" t="e">
        <f>INDEX(#REF!, MATCH($A59,#REF!, 0), MATCH(AM$4,#REF!, 0))</f>
        <v>#REF!</v>
      </c>
      <c r="AN59" s="146" t="e">
        <f>INDEX(#REF!, MATCH($A59,#REF!, 0), MATCH(AN$4,#REF!, 0))</f>
        <v>#REF!</v>
      </c>
      <c r="AO59" s="146" t="e">
        <f>INDEX(#REF!, MATCH($A59,#REF!, 0), MATCH(AO$4,#REF!, 0))</f>
        <v>#REF!</v>
      </c>
      <c r="AP59" s="146" t="e">
        <f>INDEX(#REF!, MATCH($A59,#REF!, 0), MATCH(AP$4,#REF!, 0))</f>
        <v>#REF!</v>
      </c>
      <c r="AQ59" s="146" t="e">
        <f>INDEX(#REF!, MATCH($A59,#REF!, 0), MATCH(AQ$4,#REF!, 0))</f>
        <v>#REF!</v>
      </c>
      <c r="AR59" s="146" t="e">
        <f>INDEX(#REF!, MATCH($A59,#REF!, 0), MATCH(AR$4,#REF!, 0))</f>
        <v>#REF!</v>
      </c>
      <c r="AS59" s="146" t="e">
        <f>INDEX(#REF!, MATCH($A59,#REF!, 0), MATCH(AS$4,#REF!, 0))</f>
        <v>#REF!</v>
      </c>
      <c r="AT59" s="146" t="e">
        <f>INDEX(#REF!, MATCH($A59,#REF!, 0), MATCH(AT$4,#REF!, 0))</f>
        <v>#REF!</v>
      </c>
      <c r="AU59" s="146" t="e">
        <f>INDEX(#REF!, MATCH($A59,#REF!, 0), MATCH(AU$4,#REF!, 0))</f>
        <v>#REF!</v>
      </c>
      <c r="AV59" s="146" t="e">
        <f>INDEX(#REF!, MATCH($A59,#REF!, 0), MATCH(AV$4,#REF!, 0))</f>
        <v>#REF!</v>
      </c>
      <c r="AW59" s="146" t="e">
        <f>INDEX(#REF!, MATCH($A59,#REF!, 0), MATCH(AW$4,#REF!, 0))</f>
        <v>#REF!</v>
      </c>
      <c r="AX59" s="146" t="e">
        <f>INDEX(#REF!, MATCH($A59,#REF!, 0), MATCH(AX$4,#REF!, 0))</f>
        <v>#REF!</v>
      </c>
      <c r="AY59" s="146" t="e">
        <f>INDEX(#REF!, MATCH($A59,#REF!, 0), MATCH(AY$4,#REF!, 0))</f>
        <v>#REF!</v>
      </c>
      <c r="AZ59" s="146" t="e">
        <f>INDEX(#REF!, MATCH($A59,#REF!, 0), MATCH(AZ$4,#REF!, 0))</f>
        <v>#REF!</v>
      </c>
      <c r="BA59" s="146" t="e">
        <f>INDEX(#REF!, MATCH($A59,#REF!, 0), MATCH(BA$4,#REF!, 0))</f>
        <v>#REF!</v>
      </c>
      <c r="BB59" s="146" t="e">
        <f>INDEX(#REF!, MATCH($A59,#REF!, 0), MATCH(BB$4,#REF!, 0))</f>
        <v>#REF!</v>
      </c>
      <c r="BC59" s="146" t="e">
        <f>INDEX(#REF!, MATCH($A59,#REF!, 0), MATCH(BC$4,#REF!, 0))</f>
        <v>#REF!</v>
      </c>
      <c r="BD59" s="146" t="e">
        <f>INDEX(#REF!, MATCH($A59,#REF!, 0), MATCH(BD$4,#REF!, 0))</f>
        <v>#REF!</v>
      </c>
      <c r="BE59" s="146" t="e">
        <f>INDEX(#REF!, MATCH($A59,#REF!, 0), MATCH(BE$4,#REF!, 0))</f>
        <v>#REF!</v>
      </c>
      <c r="BF59" s="146" t="e">
        <f>INDEX(#REF!, MATCH($A59,#REF!, 0), MATCH(BF$4,#REF!, 0))</f>
        <v>#REF!</v>
      </c>
      <c r="BG59" s="146" t="e">
        <f>INDEX(#REF!, MATCH($A59,#REF!, 0), MATCH(BG$4,#REF!, 0))</f>
        <v>#REF!</v>
      </c>
      <c r="BH59" s="146" t="e">
        <f>INDEX(#REF!, MATCH($A59,#REF!, 0), MATCH(BH$4,#REF!, 0))</f>
        <v>#REF!</v>
      </c>
      <c r="BI59" s="146" t="e">
        <f>INDEX(#REF!, MATCH($A59,#REF!, 0), MATCH(BI$4,#REF!, 0))</f>
        <v>#REF!</v>
      </c>
      <c r="BJ59" s="146" t="e">
        <f>INDEX(#REF!, MATCH($A59,#REF!, 0), MATCH(BJ$4,#REF!, 0))</f>
        <v>#REF!</v>
      </c>
      <c r="BK59" s="146" t="e">
        <f>INDEX(#REF!, MATCH($A59,#REF!, 0), MATCH(BK$4,#REF!, 0))</f>
        <v>#REF!</v>
      </c>
      <c r="BL59" s="266" t="e">
        <f>INDEX(#REF!, MATCH($BT59,#REF!, 0), MATCH(BL$4,#REF!, 0))</f>
        <v>#REF!</v>
      </c>
      <c r="BM59" s="266" t="e">
        <f>INDEX(#REF!, MATCH($BT59,#REF!, 0), MATCH(BM$4,#REF!, 0))</f>
        <v>#REF!</v>
      </c>
      <c r="BN59" s="266" t="e">
        <f>INDEX(#REF!, MATCH($BT59,#REF!, 0), MATCH(BN$4,#REF!, 0))</f>
        <v>#REF!</v>
      </c>
      <c r="BO59" s="266" t="e">
        <f>INDEX(#REF!, MATCH($BT59,#REF!, 0), MATCH(BO$4,#REF!, 0))</f>
        <v>#REF!</v>
      </c>
      <c r="BP59" s="266" t="e">
        <f>INDEX(#REF!, MATCH($BT59,#REF!, 0), MATCH(BP$4,#REF!, 0))</f>
        <v>#REF!</v>
      </c>
      <c r="BQ59" s="266" t="e">
        <f>INDEX(#REF!, MATCH($BT59,#REF!, 0), MATCH(BQ$4,#REF!, 0))</f>
        <v>#REF!</v>
      </c>
      <c r="BR59" s="266" t="e">
        <f>INDEX(#REF!, MATCH($BT59,#REF!, 0), MATCH(BR$4,#REF!, 0))</f>
        <v>#REF!</v>
      </c>
      <c r="BT59" s="110" t="s">
        <v>171</v>
      </c>
    </row>
    <row r="60" spans="1:91" ht="12.6">
      <c r="A60" s="177"/>
      <c r="B60" s="144" t="s">
        <v>22</v>
      </c>
      <c r="C60" s="144"/>
      <c r="D60" s="98" t="e">
        <f t="shared" ref="D60:AI60" si="194">D59/D5</f>
        <v>#REF!</v>
      </c>
      <c r="E60" s="98" t="e">
        <f t="shared" si="194"/>
        <v>#REF!</v>
      </c>
      <c r="F60" s="98" t="e">
        <f t="shared" si="194"/>
        <v>#REF!</v>
      </c>
      <c r="G60" s="98" t="e">
        <f t="shared" si="194"/>
        <v>#REF!</v>
      </c>
      <c r="H60" s="98" t="e">
        <f t="shared" si="194"/>
        <v>#REF!</v>
      </c>
      <c r="I60" s="98" t="e">
        <f t="shared" si="194"/>
        <v>#REF!</v>
      </c>
      <c r="J60" s="98" t="e">
        <f t="shared" si="194"/>
        <v>#REF!</v>
      </c>
      <c r="K60" s="98" t="e">
        <f t="shared" si="194"/>
        <v>#REF!</v>
      </c>
      <c r="L60" s="98" t="e">
        <f t="shared" si="194"/>
        <v>#REF!</v>
      </c>
      <c r="M60" s="98" t="e">
        <f t="shared" si="194"/>
        <v>#REF!</v>
      </c>
      <c r="N60" s="98" t="e">
        <f t="shared" si="194"/>
        <v>#REF!</v>
      </c>
      <c r="O60" s="98" t="e">
        <f t="shared" si="194"/>
        <v>#REF!</v>
      </c>
      <c r="P60" s="98" t="e">
        <f t="shared" si="194"/>
        <v>#REF!</v>
      </c>
      <c r="Q60" s="98" t="e">
        <f t="shared" si="194"/>
        <v>#REF!</v>
      </c>
      <c r="R60" s="98" t="e">
        <f t="shared" si="194"/>
        <v>#REF!</v>
      </c>
      <c r="S60" s="98" t="e">
        <f t="shared" si="194"/>
        <v>#REF!</v>
      </c>
      <c r="T60" s="98" t="e">
        <f t="shared" si="194"/>
        <v>#REF!</v>
      </c>
      <c r="U60" s="98" t="e">
        <f t="shared" si="194"/>
        <v>#REF!</v>
      </c>
      <c r="V60" s="319" t="e">
        <f t="shared" si="194"/>
        <v>#REF!</v>
      </c>
      <c r="W60" s="98" t="e">
        <f t="shared" si="194"/>
        <v>#REF!</v>
      </c>
      <c r="X60" s="98" t="e">
        <f t="shared" si="194"/>
        <v>#REF!</v>
      </c>
      <c r="Y60" s="98" t="e">
        <f t="shared" si="194"/>
        <v>#REF!</v>
      </c>
      <c r="Z60" s="98" t="e">
        <f t="shared" si="194"/>
        <v>#REF!</v>
      </c>
      <c r="AA60" s="98" t="e">
        <f t="shared" si="194"/>
        <v>#REF!</v>
      </c>
      <c r="AB60" s="98" t="e">
        <f t="shared" si="194"/>
        <v>#REF!</v>
      </c>
      <c r="AC60" s="319" t="e">
        <f t="shared" si="194"/>
        <v>#REF!</v>
      </c>
      <c r="AD60" s="98" t="e">
        <f t="shared" si="194"/>
        <v>#REF!</v>
      </c>
      <c r="AE60" s="98" t="e">
        <f t="shared" si="194"/>
        <v>#REF!</v>
      </c>
      <c r="AF60" s="98" t="e">
        <f t="shared" si="194"/>
        <v>#REF!</v>
      </c>
      <c r="AG60" s="98" t="e">
        <f t="shared" si="194"/>
        <v>#REF!</v>
      </c>
      <c r="AH60" s="98" t="e">
        <f t="shared" si="194"/>
        <v>#REF!</v>
      </c>
      <c r="AI60" s="98" t="e">
        <f t="shared" si="194"/>
        <v>#REF!</v>
      </c>
      <c r="AJ60" s="319" t="e">
        <f t="shared" ref="AJ60:BO60" si="195">AJ59/AJ5</f>
        <v>#REF!</v>
      </c>
      <c r="AK60" s="98" t="e">
        <f t="shared" si="195"/>
        <v>#REF!</v>
      </c>
      <c r="AL60" s="98" t="e">
        <f t="shared" si="195"/>
        <v>#REF!</v>
      </c>
      <c r="AM60" s="98" t="e">
        <f t="shared" si="195"/>
        <v>#REF!</v>
      </c>
      <c r="AN60" s="98" t="e">
        <f t="shared" si="195"/>
        <v>#REF!</v>
      </c>
      <c r="AO60" s="98" t="e">
        <f t="shared" si="195"/>
        <v>#REF!</v>
      </c>
      <c r="AP60" s="98" t="e">
        <f t="shared" si="195"/>
        <v>#REF!</v>
      </c>
      <c r="AQ60" s="319" t="e">
        <f t="shared" si="195"/>
        <v>#REF!</v>
      </c>
      <c r="AR60" s="98" t="e">
        <f t="shared" si="195"/>
        <v>#REF!</v>
      </c>
      <c r="AS60" s="98" t="e">
        <f t="shared" si="195"/>
        <v>#REF!</v>
      </c>
      <c r="AT60" s="98" t="e">
        <f t="shared" si="195"/>
        <v>#REF!</v>
      </c>
      <c r="AU60" s="98" t="e">
        <f t="shared" si="195"/>
        <v>#REF!</v>
      </c>
      <c r="AV60" s="98" t="e">
        <f t="shared" si="195"/>
        <v>#REF!</v>
      </c>
      <c r="AW60" s="98" t="e">
        <f t="shared" si="195"/>
        <v>#REF!</v>
      </c>
      <c r="AX60" s="319" t="e">
        <f t="shared" si="195"/>
        <v>#REF!</v>
      </c>
      <c r="AY60" s="98" t="e">
        <f t="shared" si="195"/>
        <v>#REF!</v>
      </c>
      <c r="AZ60" s="98" t="e">
        <f t="shared" si="195"/>
        <v>#REF!</v>
      </c>
      <c r="BA60" s="98" t="e">
        <f t="shared" si="195"/>
        <v>#REF!</v>
      </c>
      <c r="BB60" s="98" t="e">
        <f t="shared" si="195"/>
        <v>#REF!</v>
      </c>
      <c r="BC60" s="98" t="e">
        <f t="shared" si="195"/>
        <v>#REF!</v>
      </c>
      <c r="BD60" s="363" t="e">
        <f t="shared" si="195"/>
        <v>#REF!</v>
      </c>
      <c r="BE60" s="319" t="e">
        <f t="shared" ref="BE60:BK60" si="196">BE59/BE5</f>
        <v>#REF!</v>
      </c>
      <c r="BF60" s="98" t="e">
        <f t="shared" si="196"/>
        <v>#REF!</v>
      </c>
      <c r="BG60" s="98" t="e">
        <f t="shared" si="196"/>
        <v>#REF!</v>
      </c>
      <c r="BH60" s="98" t="e">
        <f t="shared" si="196"/>
        <v>#REF!</v>
      </c>
      <c r="BI60" s="98" t="e">
        <f t="shared" si="196"/>
        <v>#REF!</v>
      </c>
      <c r="BJ60" s="98" t="e">
        <f t="shared" si="196"/>
        <v>#REF!</v>
      </c>
      <c r="BK60" s="363" t="e">
        <f t="shared" si="196"/>
        <v>#REF!</v>
      </c>
      <c r="BL60" s="98" t="e">
        <f t="shared" si="195"/>
        <v>#REF!</v>
      </c>
      <c r="BM60" s="98" t="e">
        <f t="shared" si="195"/>
        <v>#REF!</v>
      </c>
      <c r="BN60" s="98" t="e">
        <f t="shared" si="195"/>
        <v>#REF!</v>
      </c>
      <c r="BO60" s="98" t="e">
        <f t="shared" si="195"/>
        <v>#REF!</v>
      </c>
      <c r="BP60" s="98" t="e">
        <f t="shared" ref="BP60:BR60" si="197">BP59/BP5</f>
        <v>#REF!</v>
      </c>
      <c r="BQ60" s="98" t="e">
        <f t="shared" si="197"/>
        <v>#REF!</v>
      </c>
      <c r="BR60" s="98" t="e">
        <f t="shared" si="197"/>
        <v>#REF!</v>
      </c>
      <c r="BT60" s="121"/>
    </row>
    <row r="61" spans="1:91" ht="12.6">
      <c r="A61" s="130"/>
      <c r="B61" s="144" t="s">
        <v>14</v>
      </c>
      <c r="C61" s="144"/>
      <c r="D61" s="2" t="e">
        <f t="shared" ref="D61:U61" si="198">D59/C59-1</f>
        <v>#REF!</v>
      </c>
      <c r="E61" s="2" t="e">
        <f t="shared" si="198"/>
        <v>#REF!</v>
      </c>
      <c r="F61" s="2" t="e">
        <f t="shared" si="198"/>
        <v>#REF!</v>
      </c>
      <c r="G61" s="2" t="e">
        <f t="shared" si="198"/>
        <v>#REF!</v>
      </c>
      <c r="H61" s="2" t="e">
        <f t="shared" si="198"/>
        <v>#REF!</v>
      </c>
      <c r="I61" s="2" t="e">
        <f t="shared" si="198"/>
        <v>#REF!</v>
      </c>
      <c r="J61" s="2" t="e">
        <f t="shared" si="198"/>
        <v>#REF!</v>
      </c>
      <c r="K61" s="2" t="e">
        <f t="shared" si="198"/>
        <v>#REF!</v>
      </c>
      <c r="L61" s="2" t="e">
        <f t="shared" si="198"/>
        <v>#REF!</v>
      </c>
      <c r="M61" s="2" t="e">
        <f t="shared" si="198"/>
        <v>#REF!</v>
      </c>
      <c r="N61" s="2" t="e">
        <f t="shared" si="198"/>
        <v>#REF!</v>
      </c>
      <c r="O61" s="2" t="e">
        <f t="shared" si="198"/>
        <v>#REF!</v>
      </c>
      <c r="P61" s="2" t="e">
        <f t="shared" si="198"/>
        <v>#REF!</v>
      </c>
      <c r="Q61" s="2" t="e">
        <f t="shared" si="198"/>
        <v>#REF!</v>
      </c>
      <c r="R61" s="2" t="e">
        <f t="shared" si="198"/>
        <v>#REF!</v>
      </c>
      <c r="S61" s="2" t="e">
        <f t="shared" si="198"/>
        <v>#REF!</v>
      </c>
      <c r="T61" s="2" t="e">
        <f t="shared" si="198"/>
        <v>#REF!</v>
      </c>
      <c r="U61" s="2" t="e">
        <f t="shared" si="198"/>
        <v>#REF!</v>
      </c>
      <c r="V61" s="319" t="e">
        <f t="shared" ref="V61" si="199">V59/O59-1</f>
        <v>#REF!</v>
      </c>
      <c r="W61" s="319" t="e">
        <f t="shared" ref="W61" si="200">W59/P59-1</f>
        <v>#REF!</v>
      </c>
      <c r="X61" s="319" t="e">
        <f t="shared" ref="X61" si="201">X59/Q59-1</f>
        <v>#REF!</v>
      </c>
      <c r="Y61" s="319" t="e">
        <f t="shared" ref="Y61" si="202">Y59/R59-1</f>
        <v>#REF!</v>
      </c>
      <c r="Z61" s="319" t="e">
        <f t="shared" ref="Z61" si="203">Z59/S59-1</f>
        <v>#REF!</v>
      </c>
      <c r="AA61" s="319" t="e">
        <f t="shared" ref="AA61" si="204">AA59/T59-1</f>
        <v>#REF!</v>
      </c>
      <c r="AB61" s="2"/>
      <c r="AC61" s="319" t="e">
        <f t="shared" ref="AC61" si="205">AC59/V59-1</f>
        <v>#REF!</v>
      </c>
      <c r="AD61" s="319" t="e">
        <f t="shared" ref="AD61" si="206">AD59/W59-1</f>
        <v>#REF!</v>
      </c>
      <c r="AE61" s="319" t="e">
        <f t="shared" ref="AE61" si="207">AE59/X59-1</f>
        <v>#REF!</v>
      </c>
      <c r="AF61" s="319" t="e">
        <f t="shared" ref="AF61" si="208">AF59/Y59-1</f>
        <v>#REF!</v>
      </c>
      <c r="AG61" s="319" t="e">
        <f t="shared" ref="AG61" si="209">AG59/Z59-1</f>
        <v>#REF!</v>
      </c>
      <c r="AH61" s="319" t="e">
        <f t="shared" ref="AH61" si="210">AH59/AA59-1</f>
        <v>#REF!</v>
      </c>
      <c r="AI61" s="319" t="e">
        <f t="shared" ref="AI61" si="211">AI59/AB59-1</f>
        <v>#REF!</v>
      </c>
      <c r="AJ61" s="319" t="e">
        <f t="shared" ref="AJ61" si="212">AJ59/AC59-1</f>
        <v>#REF!</v>
      </c>
      <c r="AK61" s="319" t="e">
        <f t="shared" ref="AK61" si="213">AK59/AD59-1</f>
        <v>#REF!</v>
      </c>
      <c r="AL61" s="319" t="e">
        <f t="shared" ref="AL61" si="214">AL59/AE59-1</f>
        <v>#REF!</v>
      </c>
      <c r="AM61" s="319" t="e">
        <f t="shared" ref="AM61" si="215">AM59/AF59-1</f>
        <v>#REF!</v>
      </c>
      <c r="AN61" s="319" t="e">
        <f t="shared" ref="AN61" si="216">AN59/AG59-1</f>
        <v>#REF!</v>
      </c>
      <c r="AO61" s="319" t="e">
        <f t="shared" ref="AO61" si="217">AO59/AH59-1</f>
        <v>#REF!</v>
      </c>
      <c r="AP61" s="319" t="e">
        <f>AP59/AI59-1</f>
        <v>#REF!</v>
      </c>
      <c r="AQ61" s="319" t="e">
        <f t="shared" ref="AQ61" si="218">AQ59/AJ59-1</f>
        <v>#REF!</v>
      </c>
      <c r="AR61" s="319" t="e">
        <f t="shared" ref="AR61" si="219">AR59/AK59-1</f>
        <v>#REF!</v>
      </c>
      <c r="AS61" s="319" t="e">
        <f t="shared" ref="AS61" si="220">AS59/AL59-1</f>
        <v>#REF!</v>
      </c>
      <c r="AT61" s="319" t="e">
        <f t="shared" ref="AT61" si="221">AT59/AM59-1</f>
        <v>#REF!</v>
      </c>
      <c r="AU61" s="319" t="e">
        <f t="shared" ref="AU61" si="222">AU59/AN59-1</f>
        <v>#REF!</v>
      </c>
      <c r="AV61" s="319" t="e">
        <f t="shared" ref="AV61" si="223">AV59/AO59-1</f>
        <v>#REF!</v>
      </c>
      <c r="AW61" s="319" t="e">
        <f>AW59/AP59-1</f>
        <v>#REF!</v>
      </c>
      <c r="AX61" s="319" t="e">
        <f t="shared" ref="AX61" si="224">AX59/AQ59-1</f>
        <v>#REF!</v>
      </c>
      <c r="AY61" s="319" t="e">
        <f t="shared" ref="AY61" si="225">AY59/AR59-1</f>
        <v>#REF!</v>
      </c>
      <c r="AZ61" s="319" t="e">
        <f t="shared" ref="AZ61" si="226">AZ59/AS59-1</f>
        <v>#REF!</v>
      </c>
      <c r="BA61" s="319" t="e">
        <f t="shared" ref="BA61" si="227">BA59/AT59-1</f>
        <v>#REF!</v>
      </c>
      <c r="BB61" s="319" t="e">
        <f t="shared" ref="BB61" si="228">BB59/AU59-1</f>
        <v>#REF!</v>
      </c>
      <c r="BC61" s="319" t="e">
        <f t="shared" ref="BC61" si="229">BC59/AV59-1</f>
        <v>#REF!</v>
      </c>
      <c r="BD61" s="319" t="e">
        <f>BD59/AW59-1</f>
        <v>#REF!</v>
      </c>
      <c r="BE61" s="319" t="e">
        <f t="shared" ref="BE61" si="230">BE59/AX59-1</f>
        <v>#REF!</v>
      </c>
      <c r="BF61" s="319" t="e">
        <f t="shared" ref="BF61" si="231">BF59/AY59-1</f>
        <v>#REF!</v>
      </c>
      <c r="BG61" s="319" t="e">
        <f t="shared" ref="BG61" si="232">BG59/AZ59-1</f>
        <v>#REF!</v>
      </c>
      <c r="BH61" s="319" t="e">
        <f t="shared" ref="BH61" si="233">BH59/BA59-1</f>
        <v>#REF!</v>
      </c>
      <c r="BI61" s="319" t="e">
        <f t="shared" ref="BI61" si="234">BI59/BB59-1</f>
        <v>#REF!</v>
      </c>
      <c r="BJ61" s="319" t="e">
        <f t="shared" ref="BJ61" si="235">BJ59/BC59-1</f>
        <v>#REF!</v>
      </c>
      <c r="BK61" s="319" t="e">
        <f>BK59/BD59-1</f>
        <v>#REF!</v>
      </c>
      <c r="BL61" s="131" t="e">
        <f>BL59/BK59-1</f>
        <v>#REF!</v>
      </c>
      <c r="BM61" s="131" t="e">
        <f t="shared" ref="BM61:BR61" si="236">BM59/BL59-1</f>
        <v>#REF!</v>
      </c>
      <c r="BN61" s="131" t="e">
        <f t="shared" si="236"/>
        <v>#REF!</v>
      </c>
      <c r="BO61" s="131" t="e">
        <f t="shared" si="236"/>
        <v>#REF!</v>
      </c>
      <c r="BP61" s="131" t="e">
        <f t="shared" si="236"/>
        <v>#REF!</v>
      </c>
      <c r="BQ61" s="131" t="e">
        <f t="shared" si="236"/>
        <v>#REF!</v>
      </c>
      <c r="BR61" s="131" t="e">
        <f t="shared" si="236"/>
        <v>#REF!</v>
      </c>
      <c r="BT61" s="121"/>
    </row>
    <row r="62" spans="1:91" s="244" customFormat="1" ht="12.6">
      <c r="A62" s="259"/>
      <c r="B62" s="260"/>
      <c r="C62" s="260"/>
      <c r="D62" s="261"/>
      <c r="E62" s="261"/>
      <c r="F62" s="261"/>
      <c r="G62" s="261"/>
      <c r="H62" s="261"/>
      <c r="I62" s="261"/>
      <c r="J62" s="261"/>
      <c r="K62" s="261"/>
      <c r="L62" s="261"/>
      <c r="M62" s="261"/>
      <c r="N62" s="261"/>
      <c r="O62" s="261"/>
      <c r="P62" s="261"/>
      <c r="Q62" s="261"/>
      <c r="R62" s="261"/>
      <c r="S62" s="261"/>
      <c r="T62" s="261"/>
      <c r="U62" s="261"/>
      <c r="V62" s="330"/>
      <c r="W62" s="261"/>
      <c r="X62" s="261"/>
      <c r="Y62" s="261"/>
      <c r="Z62" s="261"/>
      <c r="AA62" s="261"/>
      <c r="AB62" s="261"/>
      <c r="AC62" s="330"/>
      <c r="AD62" s="261"/>
      <c r="AE62" s="261"/>
      <c r="AF62" s="261"/>
      <c r="AG62" s="261"/>
      <c r="AH62" s="261"/>
      <c r="AI62" s="261"/>
      <c r="AJ62" s="330"/>
      <c r="AK62" s="261"/>
      <c r="AL62" s="261"/>
      <c r="AM62" s="261"/>
      <c r="AN62" s="261"/>
      <c r="AO62" s="261"/>
      <c r="AP62" s="261"/>
      <c r="AQ62" s="330"/>
      <c r="AR62" s="261"/>
      <c r="AS62" s="261"/>
      <c r="AT62" s="261"/>
      <c r="AU62" s="261"/>
      <c r="AV62" s="261"/>
      <c r="AW62" s="261"/>
      <c r="AX62" s="330"/>
      <c r="AY62" s="261"/>
      <c r="AZ62" s="261"/>
      <c r="BA62" s="261"/>
      <c r="BB62" s="261"/>
      <c r="BC62" s="261"/>
      <c r="BD62" s="373"/>
      <c r="BE62" s="330"/>
      <c r="BF62" s="261"/>
      <c r="BG62" s="261"/>
      <c r="BH62" s="261"/>
      <c r="BI62" s="261"/>
      <c r="BJ62" s="261"/>
      <c r="BK62" s="373"/>
      <c r="BL62" s="262"/>
      <c r="BM62" s="262"/>
      <c r="BN62" s="262"/>
      <c r="BO62" s="262"/>
      <c r="BP62" s="262"/>
      <c r="BQ62" s="262"/>
      <c r="BR62" s="262"/>
      <c r="BS62" s="235"/>
      <c r="BT62" s="253"/>
      <c r="BU62" s="235"/>
      <c r="BV62" s="235"/>
      <c r="BW62" s="235"/>
      <c r="BX62" s="235"/>
      <c r="BY62" s="235"/>
      <c r="BZ62" s="235"/>
      <c r="CA62" s="235"/>
      <c r="CB62" s="235"/>
      <c r="CC62" s="235"/>
      <c r="CD62" s="235"/>
      <c r="CE62" s="235"/>
      <c r="CF62" s="235"/>
      <c r="CG62" s="235"/>
      <c r="CH62" s="235"/>
      <c r="CI62" s="235"/>
      <c r="CJ62" s="235"/>
      <c r="CK62" s="235"/>
      <c r="CL62" s="235"/>
      <c r="CM62" s="235"/>
    </row>
    <row r="63" spans="1:91" ht="12.6">
      <c r="A63" s="130"/>
      <c r="B63" s="144" t="s">
        <v>229</v>
      </c>
      <c r="C63" s="144"/>
      <c r="D63" s="145" t="e">
        <f t="shared" ref="D63:P63" si="237">D54-D55-D57-D59</f>
        <v>#REF!</v>
      </c>
      <c r="E63" s="145" t="e">
        <f t="shared" si="237"/>
        <v>#REF!</v>
      </c>
      <c r="F63" s="145" t="e">
        <f t="shared" si="237"/>
        <v>#REF!</v>
      </c>
      <c r="G63" s="145" t="e">
        <f t="shared" si="237"/>
        <v>#REF!</v>
      </c>
      <c r="H63" s="145" t="e">
        <f t="shared" si="237"/>
        <v>#REF!</v>
      </c>
      <c r="I63" s="145" t="e">
        <f t="shared" si="237"/>
        <v>#REF!</v>
      </c>
      <c r="J63" s="145" t="e">
        <f t="shared" si="237"/>
        <v>#REF!</v>
      </c>
      <c r="K63" s="145" t="e">
        <f t="shared" si="237"/>
        <v>#REF!</v>
      </c>
      <c r="L63" s="145" t="e">
        <f t="shared" si="237"/>
        <v>#REF!</v>
      </c>
      <c r="M63" s="145" t="e">
        <f t="shared" si="237"/>
        <v>#REF!</v>
      </c>
      <c r="N63" s="145" t="e">
        <f t="shared" si="237"/>
        <v>#REF!</v>
      </c>
      <c r="O63" s="145" t="e">
        <f t="shared" si="237"/>
        <v>#REF!</v>
      </c>
      <c r="P63" s="145" t="e">
        <f t="shared" si="237"/>
        <v>#REF!</v>
      </c>
      <c r="Q63" s="145" t="e">
        <f>Q54-Q55-Q57-Q59</f>
        <v>#REF!</v>
      </c>
      <c r="R63" s="145" t="e">
        <f>R54-R55-R57-R59</f>
        <v>#REF!</v>
      </c>
      <c r="S63" s="145" t="e">
        <f>S54-S55-S57-S59</f>
        <v>#REF!</v>
      </c>
      <c r="T63" s="145" t="e">
        <f>T54-T55-T57-T59</f>
        <v>#REF!</v>
      </c>
      <c r="U63" s="145" t="e">
        <f t="shared" ref="U63:BR63" si="238">U54-U55-U57-U59</f>
        <v>#REF!</v>
      </c>
      <c r="V63" s="331"/>
      <c r="W63" s="145" t="e">
        <f t="shared" ref="W63:AA63" si="239">W54-W55-W57-W59</f>
        <v>#REF!</v>
      </c>
      <c r="X63" s="145" t="e">
        <f t="shared" si="239"/>
        <v>#REF!</v>
      </c>
      <c r="Y63" s="145" t="e">
        <f t="shared" si="239"/>
        <v>#REF!</v>
      </c>
      <c r="Z63" s="145" t="e">
        <f t="shared" si="239"/>
        <v>#REF!</v>
      </c>
      <c r="AA63" s="145" t="e">
        <f t="shared" si="239"/>
        <v>#REF!</v>
      </c>
      <c r="AB63" s="145" t="e">
        <f t="shared" si="238"/>
        <v>#REF!</v>
      </c>
      <c r="AC63" s="331"/>
      <c r="AD63" s="145" t="e">
        <f t="shared" ref="AD63:AH63" si="240">AD54-AD55-AD57-AD59</f>
        <v>#REF!</v>
      </c>
      <c r="AE63" s="145" t="e">
        <f t="shared" si="240"/>
        <v>#REF!</v>
      </c>
      <c r="AF63" s="145" t="e">
        <f t="shared" si="240"/>
        <v>#REF!</v>
      </c>
      <c r="AG63" s="145" t="e">
        <f t="shared" si="240"/>
        <v>#REF!</v>
      </c>
      <c r="AH63" s="145" t="e">
        <f t="shared" si="240"/>
        <v>#REF!</v>
      </c>
      <c r="AI63" s="145" t="e">
        <f t="shared" si="238"/>
        <v>#REF!</v>
      </c>
      <c r="AJ63" s="331"/>
      <c r="AK63" s="145" t="e">
        <f t="shared" ref="AK63:AO63" si="241">AK54-AK55-AK57-AK59</f>
        <v>#REF!</v>
      </c>
      <c r="AL63" s="145" t="e">
        <f t="shared" si="241"/>
        <v>#REF!</v>
      </c>
      <c r="AM63" s="145" t="e">
        <f t="shared" si="241"/>
        <v>#REF!</v>
      </c>
      <c r="AN63" s="145" t="e">
        <f t="shared" si="241"/>
        <v>#REF!</v>
      </c>
      <c r="AO63" s="145" t="e">
        <f t="shared" si="241"/>
        <v>#REF!</v>
      </c>
      <c r="AP63" s="145" t="e">
        <f t="shared" si="238"/>
        <v>#REF!</v>
      </c>
      <c r="AQ63" s="331"/>
      <c r="AR63" s="145" t="e">
        <f t="shared" ref="AR63:AV63" si="242">AR54-AR55-AR57-AR59</f>
        <v>#REF!</v>
      </c>
      <c r="AS63" s="145" t="e">
        <f t="shared" si="242"/>
        <v>#REF!</v>
      </c>
      <c r="AT63" s="145" t="e">
        <f t="shared" si="242"/>
        <v>#REF!</v>
      </c>
      <c r="AU63" s="145" t="e">
        <f t="shared" si="242"/>
        <v>#REF!</v>
      </c>
      <c r="AV63" s="145" t="e">
        <f t="shared" si="242"/>
        <v>#REF!</v>
      </c>
      <c r="AW63" s="145" t="e">
        <f t="shared" si="238"/>
        <v>#REF!</v>
      </c>
      <c r="AX63" s="331"/>
      <c r="AY63" s="145" t="e">
        <f t="shared" ref="AY63:AZ63" si="243">AY54-AY55-AY57-AY59</f>
        <v>#REF!</v>
      </c>
      <c r="AZ63" s="145" t="e">
        <f t="shared" si="243"/>
        <v>#REF!</v>
      </c>
      <c r="BA63" s="145" t="e">
        <f t="shared" ref="BA63:BC63" si="244">BA54-BA55-BA57-BA59</f>
        <v>#REF!</v>
      </c>
      <c r="BB63" s="145" t="e">
        <f t="shared" si="244"/>
        <v>#REF!</v>
      </c>
      <c r="BC63" s="145" t="e">
        <f t="shared" si="244"/>
        <v>#REF!</v>
      </c>
      <c r="BD63" s="374" t="e">
        <f t="shared" ref="BD63" si="245">BD54-BD55-BD57-BD59</f>
        <v>#REF!</v>
      </c>
      <c r="BE63" s="331"/>
      <c r="BF63" s="145" t="e">
        <f t="shared" ref="BF63:BK63" si="246">BF54-BF55-BF57-BF59</f>
        <v>#REF!</v>
      </c>
      <c r="BG63" s="145" t="e">
        <f t="shared" si="246"/>
        <v>#REF!</v>
      </c>
      <c r="BH63" s="145" t="e">
        <f t="shared" si="246"/>
        <v>#REF!</v>
      </c>
      <c r="BI63" s="145" t="e">
        <f t="shared" si="246"/>
        <v>#REF!</v>
      </c>
      <c r="BJ63" s="145" t="e">
        <f t="shared" si="246"/>
        <v>#REF!</v>
      </c>
      <c r="BK63" s="374" t="e">
        <f t="shared" si="246"/>
        <v>#REF!</v>
      </c>
      <c r="BL63" s="145" t="e">
        <f t="shared" si="238"/>
        <v>#REF!</v>
      </c>
      <c r="BM63" s="145" t="e">
        <f t="shared" si="238"/>
        <v>#REF!</v>
      </c>
      <c r="BN63" s="145" t="e">
        <f t="shared" si="238"/>
        <v>#REF!</v>
      </c>
      <c r="BO63" s="145" t="e">
        <f t="shared" si="238"/>
        <v>#REF!</v>
      </c>
      <c r="BP63" s="145" t="e">
        <f t="shared" si="238"/>
        <v>#REF!</v>
      </c>
      <c r="BQ63" s="145" t="e">
        <f t="shared" si="238"/>
        <v>#REF!</v>
      </c>
      <c r="BR63" s="145" t="e">
        <f t="shared" si="238"/>
        <v>#REF!</v>
      </c>
      <c r="BT63" s="121"/>
    </row>
    <row r="64" spans="1:91" ht="14.1">
      <c r="A64" s="130"/>
      <c r="B64" s="187" t="s">
        <v>251</v>
      </c>
      <c r="C64" s="117"/>
      <c r="D64" s="158">
        <f>[69]!s_share_total(#REF!,D3,1000000)</f>
        <v>0</v>
      </c>
      <c r="E64" s="158">
        <f>[69]!s_share_total(#REF!,E3,1000000)</f>
        <v>0</v>
      </c>
      <c r="F64" s="158">
        <f>[69]!s_share_total(#REF!,F3,1000000)</f>
        <v>0</v>
      </c>
      <c r="G64" s="158">
        <f>[69]!s_share_total(#REF!,G3,1000000)</f>
        <v>0</v>
      </c>
      <c r="H64" s="158">
        <f>[69]!s_share_total(#REF!,H3,1000000)</f>
        <v>0</v>
      </c>
      <c r="I64" s="158">
        <f>[69]!s_share_total(#REF!,I3,1000000)</f>
        <v>0</v>
      </c>
      <c r="J64" s="158">
        <f>[69]!s_share_total(#REF!,J3,1000000)</f>
        <v>0</v>
      </c>
      <c r="K64" s="158">
        <f>[69]!s_share_total(#REF!,K3,1000000)</f>
        <v>0</v>
      </c>
      <c r="L64" s="158">
        <f>[69]!s_share_total(#REF!,L3,1000000)</f>
        <v>0</v>
      </c>
      <c r="M64" s="158">
        <f>[69]!s_share_total(#REF!,M3,1000000)</f>
        <v>0</v>
      </c>
      <c r="N64" s="158">
        <f>[69]!s_share_total(#REF!,N3,1000000)</f>
        <v>0</v>
      </c>
      <c r="O64" s="158">
        <f>[69]!s_share_total(#REF!,O3,1000000)</f>
        <v>0</v>
      </c>
      <c r="P64" s="158">
        <f>[69]!s_share_total(#REF!,P3,1000000)</f>
        <v>0</v>
      </c>
      <c r="Q64" s="158">
        <f>[69]!s_share_total(#REF!,Q3,1000000)</f>
        <v>0</v>
      </c>
      <c r="R64" s="158">
        <f>[69]!s_share_total(#REF!,R3,1000000)</f>
        <v>0</v>
      </c>
      <c r="S64" s="158">
        <f>[69]!s_share_total(#REF!,S3,1000000)</f>
        <v>0</v>
      </c>
      <c r="T64" s="158">
        <f>[69]!s_share_total(#REF!,T3,1000000)</f>
        <v>0</v>
      </c>
      <c r="U64" s="158">
        <f>[69]!s_share_total(#REF!,U3,1000000)</f>
        <v>0</v>
      </c>
      <c r="V64" s="332"/>
      <c r="W64" s="158">
        <f>[69]!s_share_total(#REF!,W3,1000000)</f>
        <v>0</v>
      </c>
      <c r="X64" s="158">
        <f>[69]!s_share_total(#REF!,X3,1000000)</f>
        <v>0</v>
      </c>
      <c r="Y64" s="158">
        <f>[69]!s_share_total(#REF!,Y3,1000000)</f>
        <v>0</v>
      </c>
      <c r="Z64" s="158">
        <f>[69]!s_share_total(#REF!,Z3,1000000)</f>
        <v>0</v>
      </c>
      <c r="AA64" s="158">
        <f>[69]!s_share_total(#REF!,AA3,1000000)</f>
        <v>0</v>
      </c>
      <c r="AB64" s="158">
        <f>[69]!s_share_total(#REF!,AB3,1000000)</f>
        <v>0</v>
      </c>
      <c r="AC64" s="332"/>
      <c r="AD64" s="158">
        <f>[69]!s_share_total(#REF!,AD3,1000000)</f>
        <v>0</v>
      </c>
      <c r="AE64" s="158">
        <f>[69]!s_share_total(#REF!,AE3,1000000)</f>
        <v>0</v>
      </c>
      <c r="AF64" s="158">
        <f>[69]!s_share_total(#REF!,AF3,1000000)</f>
        <v>0</v>
      </c>
      <c r="AG64" s="158">
        <f>[69]!s_share_total(#REF!,AG3,1000000)</f>
        <v>0</v>
      </c>
      <c r="AH64" s="158">
        <f>[69]!s_share_total(#REF!,AH3,1000000)</f>
        <v>0</v>
      </c>
      <c r="AI64" s="158">
        <f>[69]!s_share_total(#REF!,AI3,1000000)</f>
        <v>0</v>
      </c>
      <c r="AJ64" s="332"/>
      <c r="AK64" s="158">
        <f>[69]!s_share_total(#REF!,AK3,1000000)</f>
        <v>0</v>
      </c>
      <c r="AL64" s="158">
        <f>[69]!s_share_total(#REF!,AL3,1000000)</f>
        <v>0</v>
      </c>
      <c r="AM64" s="158">
        <f>[69]!s_share_total(#REF!,AM3,1000000)</f>
        <v>0</v>
      </c>
      <c r="AN64" s="158">
        <f>[69]!s_share_total(#REF!,AN3,1000000)</f>
        <v>0</v>
      </c>
      <c r="AO64" s="158">
        <f>[69]!s_share_total(#REF!,AO3,1000000)</f>
        <v>0</v>
      </c>
      <c r="AP64" s="158">
        <f>[69]!s_share_total(#REF!,AP3,1000000)</f>
        <v>0</v>
      </c>
      <c r="AQ64" s="332"/>
      <c r="AR64" s="158">
        <f>[69]!s_share_total(#REF!,AR3,1000000)</f>
        <v>0</v>
      </c>
      <c r="AS64" s="158">
        <f>[69]!s_share_total(#REF!,AS3,1000000)</f>
        <v>0</v>
      </c>
      <c r="AT64" s="158">
        <f>[69]!s_share_total(#REF!,AT3,1000000)</f>
        <v>0</v>
      </c>
      <c r="AU64" s="158">
        <f>[69]!s_share_total(#REF!,AU3,1000000)</f>
        <v>0</v>
      </c>
      <c r="AV64" s="158">
        <f>[69]!s_share_total(#REF!,AV3,1000000)</f>
        <v>0</v>
      </c>
      <c r="AW64" s="158">
        <f>[69]!s_share_total(#REF!,AW3,1000000)</f>
        <v>0</v>
      </c>
      <c r="AX64" s="332"/>
      <c r="AY64" s="158">
        <f>[69]!s_share_total(#REF!,AY3,1000000)</f>
        <v>0</v>
      </c>
      <c r="AZ64" s="158">
        <f>[69]!s_share_total(#REF!,AZ3,1000000)</f>
        <v>0</v>
      </c>
      <c r="BA64" s="158">
        <f>[69]!s_share_total(#REF!,BA3,1000000)</f>
        <v>0</v>
      </c>
      <c r="BB64" s="158">
        <f>[69]!s_share_total(#REF!,BB3,1000000)</f>
        <v>0</v>
      </c>
      <c r="BC64" s="158">
        <f>[69]!s_share_total(#REF!,BC3,1000000)</f>
        <v>0</v>
      </c>
      <c r="BD64" s="375">
        <f>[69]!s_share_total(#REF!,BD3,1000000)</f>
        <v>0</v>
      </c>
      <c r="BE64" s="332"/>
      <c r="BF64" s="158">
        <f>[69]!s_share_total(#REF!,BF3,1000000)</f>
        <v>0</v>
      </c>
      <c r="BG64" s="158">
        <f>[69]!s_share_total(#REF!,BG3,1000000)</f>
        <v>0</v>
      </c>
      <c r="BH64" s="158">
        <f>[69]!s_share_total(#REF!,BH3,1000000)</f>
        <v>0</v>
      </c>
      <c r="BI64" s="158">
        <f>[69]!s_share_total(#REF!,BI3,1000000)</f>
        <v>0</v>
      </c>
      <c r="BJ64" s="158">
        <f>[69]!s_share_total(#REF!,BJ3,1000000)</f>
        <v>0</v>
      </c>
      <c r="BK64" s="375">
        <f>[69]!s_share_total(#REF!,BK3,1000000)</f>
        <v>0</v>
      </c>
      <c r="BL64" s="158">
        <f>BK64</f>
        <v>0</v>
      </c>
      <c r="BM64" s="158">
        <f t="shared" ref="BM64:BR64" si="247">BL64</f>
        <v>0</v>
      </c>
      <c r="BN64" s="158">
        <f t="shared" si="247"/>
        <v>0</v>
      </c>
      <c r="BO64" s="158">
        <f t="shared" si="247"/>
        <v>0</v>
      </c>
      <c r="BP64" s="158">
        <f t="shared" si="247"/>
        <v>0</v>
      </c>
      <c r="BQ64" s="158">
        <f t="shared" si="247"/>
        <v>0</v>
      </c>
      <c r="BR64" s="158">
        <f t="shared" si="247"/>
        <v>0</v>
      </c>
      <c r="BT64" s="121"/>
    </row>
    <row r="65" spans="1:72">
      <c r="A65" s="177"/>
      <c r="B65" s="188"/>
      <c r="C65" s="117"/>
      <c r="D65" s="162"/>
      <c r="E65" s="162"/>
      <c r="F65" s="162"/>
      <c r="G65" s="162"/>
      <c r="H65" s="162"/>
      <c r="I65" s="162"/>
      <c r="J65" s="162"/>
      <c r="K65" s="162"/>
      <c r="L65" s="162"/>
      <c r="M65" s="162"/>
      <c r="N65" s="162"/>
      <c r="O65" s="162"/>
      <c r="P65" s="162"/>
      <c r="Q65" s="162"/>
      <c r="R65" s="162"/>
      <c r="S65" s="162"/>
      <c r="T65" s="162"/>
      <c r="U65" s="162"/>
      <c r="V65" s="333"/>
      <c r="W65" s="162"/>
      <c r="X65" s="162"/>
      <c r="Y65" s="162"/>
      <c r="Z65" s="162"/>
      <c r="AA65" s="162"/>
      <c r="AB65" s="162"/>
      <c r="AC65" s="333"/>
      <c r="AD65" s="162"/>
      <c r="AE65" s="162"/>
      <c r="AF65" s="162"/>
      <c r="AG65" s="162"/>
      <c r="AH65" s="162"/>
      <c r="AI65" s="162"/>
      <c r="AJ65" s="333"/>
      <c r="AK65" s="162"/>
      <c r="AL65" s="162"/>
      <c r="AM65" s="162"/>
      <c r="AN65" s="162"/>
      <c r="AO65" s="162"/>
      <c r="AP65" s="162"/>
      <c r="AQ65" s="333"/>
      <c r="AR65" s="162"/>
      <c r="AS65" s="162"/>
      <c r="AT65" s="162"/>
      <c r="AU65" s="162"/>
      <c r="AV65" s="162"/>
      <c r="AW65" s="162"/>
      <c r="AX65" s="333"/>
      <c r="AY65" s="162"/>
      <c r="AZ65" s="162"/>
      <c r="BA65" s="162"/>
      <c r="BB65" s="162"/>
      <c r="BC65" s="162"/>
      <c r="BD65" s="376"/>
      <c r="BE65" s="333"/>
      <c r="BF65" s="162"/>
      <c r="BG65" s="162"/>
      <c r="BH65" s="162"/>
      <c r="BI65" s="162"/>
      <c r="BJ65" s="162"/>
      <c r="BK65" s="376"/>
      <c r="BL65" s="162"/>
      <c r="BM65" s="162"/>
      <c r="BN65" s="162"/>
      <c r="BO65" s="162"/>
      <c r="BP65" s="162"/>
      <c r="BQ65" s="162"/>
      <c r="BR65" s="162"/>
      <c r="BT65" s="121"/>
    </row>
    <row r="66" spans="1:72" ht="14.1">
      <c r="A66" s="130"/>
      <c r="B66" s="228" t="s">
        <v>387</v>
      </c>
      <c r="C66" s="149"/>
      <c r="D66" s="87">
        <f t="shared" ref="D66:U66" si="248">D4</f>
        <v>2001</v>
      </c>
      <c r="E66" s="87">
        <f t="shared" si="248"/>
        <v>2002</v>
      </c>
      <c r="F66" s="87">
        <f t="shared" si="248"/>
        <v>2003</v>
      </c>
      <c r="G66" s="87">
        <f t="shared" si="248"/>
        <v>2004</v>
      </c>
      <c r="H66" s="87">
        <f t="shared" si="248"/>
        <v>2005</v>
      </c>
      <c r="I66" s="87">
        <f t="shared" si="248"/>
        <v>2006</v>
      </c>
      <c r="J66" s="87">
        <f t="shared" si="248"/>
        <v>2007</v>
      </c>
      <c r="K66" s="87">
        <f t="shared" si="248"/>
        <v>2008</v>
      </c>
      <c r="L66" s="87">
        <f t="shared" si="248"/>
        <v>2009</v>
      </c>
      <c r="M66" s="87">
        <f t="shared" si="248"/>
        <v>2010</v>
      </c>
      <c r="N66" s="87">
        <f t="shared" si="248"/>
        <v>2011</v>
      </c>
      <c r="O66" s="87">
        <f t="shared" si="248"/>
        <v>2012</v>
      </c>
      <c r="P66" s="87">
        <f t="shared" si="248"/>
        <v>2013</v>
      </c>
      <c r="Q66" s="87">
        <f t="shared" si="248"/>
        <v>2014</v>
      </c>
      <c r="R66" s="87">
        <f t="shared" si="248"/>
        <v>2015</v>
      </c>
      <c r="S66" s="87">
        <f t="shared" si="248"/>
        <v>2016</v>
      </c>
      <c r="T66" s="87">
        <f t="shared" si="248"/>
        <v>2017</v>
      </c>
      <c r="U66" s="87">
        <f t="shared" si="248"/>
        <v>2018</v>
      </c>
      <c r="V66" s="142"/>
      <c r="W66" s="87"/>
      <c r="X66" s="87"/>
      <c r="Y66" s="87"/>
      <c r="Z66" s="87"/>
      <c r="AA66" s="87"/>
      <c r="AB66" s="87">
        <f>AB4</f>
        <v>2019</v>
      </c>
      <c r="AC66" s="142"/>
      <c r="AD66" s="87"/>
      <c r="AE66" s="87"/>
      <c r="AF66" s="87"/>
      <c r="AG66" s="87"/>
      <c r="AH66" s="87"/>
      <c r="AI66" s="87">
        <f>AI4</f>
        <v>2020</v>
      </c>
      <c r="AJ66" s="142"/>
      <c r="AK66" s="87"/>
      <c r="AL66" s="87"/>
      <c r="AM66" s="87"/>
      <c r="AN66" s="87"/>
      <c r="AO66" s="87"/>
      <c r="AP66" s="87">
        <f>AP4</f>
        <v>2021</v>
      </c>
      <c r="AQ66" s="142"/>
      <c r="AR66" s="87"/>
      <c r="AS66" s="87"/>
      <c r="AT66" s="87"/>
      <c r="AU66" s="87"/>
      <c r="AV66" s="87"/>
      <c r="AW66" s="87">
        <f>AW4</f>
        <v>2022</v>
      </c>
      <c r="AX66" s="142"/>
      <c r="AY66" s="87"/>
      <c r="AZ66" s="87"/>
      <c r="BA66" s="87"/>
      <c r="BB66" s="87"/>
      <c r="BC66" s="87"/>
      <c r="BD66" s="143">
        <f>BD4</f>
        <v>2023</v>
      </c>
      <c r="BE66" s="142"/>
      <c r="BF66" s="87"/>
      <c r="BG66" s="87"/>
      <c r="BH66" s="87"/>
      <c r="BI66" s="87"/>
      <c r="BJ66" s="87"/>
      <c r="BK66" s="143">
        <f>BK4</f>
        <v>2024</v>
      </c>
      <c r="BL66" s="299">
        <f t="shared" ref="BL66:BR66" si="249">BL4</f>
        <v>2025</v>
      </c>
      <c r="BM66" s="299">
        <f t="shared" si="249"/>
        <v>2026</v>
      </c>
      <c r="BN66" s="299">
        <f t="shared" si="249"/>
        <v>2027</v>
      </c>
      <c r="BO66" s="299">
        <f t="shared" si="249"/>
        <v>2028</v>
      </c>
      <c r="BP66" s="299">
        <f t="shared" si="249"/>
        <v>2029</v>
      </c>
      <c r="BQ66" s="299">
        <f t="shared" si="249"/>
        <v>2030</v>
      </c>
      <c r="BR66" s="299">
        <f t="shared" si="249"/>
        <v>2031</v>
      </c>
      <c r="BT66" s="121"/>
    </row>
    <row r="67" spans="1:72">
      <c r="A67" s="177"/>
      <c r="B67" s="188"/>
      <c r="C67" s="117"/>
      <c r="D67" s="162"/>
      <c r="E67" s="162"/>
      <c r="F67" s="162"/>
      <c r="G67" s="162"/>
      <c r="H67" s="162"/>
      <c r="I67" s="162"/>
      <c r="J67" s="162"/>
      <c r="K67" s="162"/>
      <c r="L67" s="162"/>
      <c r="M67" s="162"/>
      <c r="N67" s="162"/>
      <c r="O67" s="162"/>
      <c r="P67" s="162"/>
      <c r="Q67" s="162"/>
      <c r="R67" s="162"/>
      <c r="S67" s="162"/>
      <c r="T67" s="162"/>
      <c r="U67" s="162"/>
      <c r="V67" s="333"/>
      <c r="W67" s="162"/>
      <c r="X67" s="162"/>
      <c r="Y67" s="162"/>
      <c r="Z67" s="162"/>
      <c r="AA67" s="162"/>
      <c r="AB67" s="162"/>
      <c r="AC67" s="333"/>
      <c r="AD67" s="162"/>
      <c r="AE67" s="162"/>
      <c r="AF67" s="162"/>
      <c r="AG67" s="162"/>
      <c r="AH67" s="162"/>
      <c r="AI67" s="162"/>
      <c r="AJ67" s="333"/>
      <c r="AK67" s="162"/>
      <c r="AL67" s="162"/>
      <c r="AM67" s="162"/>
      <c r="AN67" s="162"/>
      <c r="AO67" s="162"/>
      <c r="AP67" s="162"/>
      <c r="AQ67" s="333"/>
      <c r="AR67" s="162"/>
      <c r="AS67" s="162"/>
      <c r="AT67" s="162"/>
      <c r="AU67" s="162"/>
      <c r="AV67" s="162"/>
      <c r="AW67" s="162"/>
      <c r="AX67" s="333"/>
      <c r="AY67" s="162"/>
      <c r="AZ67" s="162"/>
      <c r="BA67" s="162"/>
      <c r="BB67" s="162"/>
      <c r="BC67" s="162"/>
      <c r="BD67" s="376"/>
      <c r="BE67" s="333"/>
      <c r="BF67" s="162"/>
      <c r="BG67" s="162"/>
      <c r="BH67" s="162"/>
      <c r="BI67" s="162"/>
      <c r="BJ67" s="162"/>
      <c r="BK67" s="376"/>
      <c r="BL67" s="162"/>
      <c r="BM67" s="162"/>
      <c r="BN67" s="162"/>
      <c r="BO67" s="162"/>
      <c r="BP67" s="162"/>
      <c r="BQ67" s="162"/>
      <c r="BR67" s="162"/>
      <c r="BT67" s="121"/>
    </row>
    <row r="68" spans="1:72" ht="14.1">
      <c r="A68" s="177"/>
      <c r="B68" s="303"/>
      <c r="C68" s="117"/>
      <c r="D68" s="162"/>
      <c r="E68" s="162"/>
      <c r="F68" s="162"/>
      <c r="G68" s="162"/>
      <c r="H68" s="162"/>
      <c r="I68" s="162"/>
      <c r="J68" s="162"/>
      <c r="K68" s="162"/>
      <c r="L68" s="162"/>
      <c r="M68" s="162"/>
      <c r="N68" s="162"/>
      <c r="O68" s="162"/>
      <c r="P68" s="162"/>
      <c r="Q68" s="162"/>
      <c r="R68" s="162"/>
      <c r="S68" s="162"/>
      <c r="T68" s="162"/>
      <c r="U68" s="162"/>
      <c r="V68" s="333"/>
      <c r="W68" s="162"/>
      <c r="X68" s="162"/>
      <c r="Y68" s="162"/>
      <c r="Z68" s="162"/>
      <c r="AA68" s="162"/>
      <c r="AB68" s="162"/>
      <c r="AC68" s="333"/>
      <c r="AD68" s="162"/>
      <c r="AE68" s="162"/>
      <c r="AF68" s="162"/>
      <c r="AG68" s="162"/>
      <c r="AH68" s="162"/>
      <c r="AI68" s="162"/>
      <c r="AJ68" s="333"/>
      <c r="AK68" s="162"/>
      <c r="AL68" s="162"/>
      <c r="AM68" s="162"/>
      <c r="AN68" s="162"/>
      <c r="AO68" s="162"/>
      <c r="AP68" s="162"/>
      <c r="AQ68" s="333"/>
      <c r="AR68" s="162"/>
      <c r="AS68" s="162"/>
      <c r="AT68" s="162"/>
      <c r="AU68" s="162"/>
      <c r="AV68" s="162"/>
      <c r="AW68" s="162"/>
      <c r="AX68" s="333"/>
      <c r="AY68" s="162"/>
      <c r="AZ68" s="162"/>
      <c r="BA68" s="162"/>
      <c r="BB68" s="162"/>
      <c r="BC68" s="162"/>
      <c r="BD68" s="376"/>
      <c r="BE68" s="333"/>
      <c r="BF68" s="162"/>
      <c r="BG68" s="162"/>
      <c r="BH68" s="162"/>
      <c r="BI68" s="162"/>
      <c r="BJ68" s="162"/>
      <c r="BK68" s="376"/>
      <c r="BL68" s="162"/>
      <c r="BM68" s="162"/>
      <c r="BN68" s="162"/>
      <c r="BO68" s="162"/>
      <c r="BP68" s="162"/>
      <c r="BQ68" s="162"/>
      <c r="BR68" s="162"/>
      <c r="BT68" s="121"/>
    </row>
    <row r="69" spans="1:72">
      <c r="A69" s="177"/>
      <c r="B69" s="188"/>
      <c r="C69" s="117"/>
      <c r="D69" s="162"/>
      <c r="E69" s="162"/>
      <c r="F69" s="162"/>
      <c r="G69" s="162"/>
      <c r="H69" s="162"/>
      <c r="I69" s="162"/>
      <c r="J69" s="162"/>
      <c r="K69" s="162"/>
      <c r="L69" s="162"/>
      <c r="M69" s="162"/>
      <c r="N69" s="162"/>
      <c r="O69" s="162"/>
      <c r="P69" s="162"/>
      <c r="Q69" s="162"/>
      <c r="R69" s="162"/>
      <c r="S69" s="162"/>
      <c r="T69" s="162"/>
      <c r="U69" s="162"/>
      <c r="V69" s="333"/>
      <c r="W69" s="162"/>
      <c r="X69" s="162"/>
      <c r="Y69" s="162"/>
      <c r="Z69" s="162"/>
      <c r="AA69" s="162"/>
      <c r="AB69" s="162"/>
      <c r="AC69" s="333"/>
      <c r="AD69" s="162"/>
      <c r="AE69" s="162"/>
      <c r="AF69" s="162"/>
      <c r="AG69" s="162"/>
      <c r="AH69" s="162"/>
      <c r="AI69" s="162"/>
      <c r="AJ69" s="333"/>
      <c r="AK69" s="162"/>
      <c r="AL69" s="162"/>
      <c r="AM69" s="162"/>
      <c r="AN69" s="162"/>
      <c r="AO69" s="162"/>
      <c r="AP69" s="162"/>
      <c r="AQ69" s="333"/>
      <c r="AR69" s="162"/>
      <c r="AS69" s="162"/>
      <c r="AT69" s="162"/>
      <c r="AU69" s="162"/>
      <c r="AV69" s="162"/>
      <c r="AW69" s="162"/>
      <c r="AX69" s="333"/>
      <c r="AY69" s="162"/>
      <c r="AZ69" s="162"/>
      <c r="BA69" s="162"/>
      <c r="BB69" s="162"/>
      <c r="BC69" s="162"/>
      <c r="BD69" s="376"/>
      <c r="BE69" s="333"/>
      <c r="BF69" s="162"/>
      <c r="BG69" s="162"/>
      <c r="BH69" s="162"/>
      <c r="BI69" s="162"/>
      <c r="BJ69" s="162"/>
      <c r="BK69" s="376"/>
      <c r="BL69" s="162"/>
      <c r="BM69" s="162"/>
      <c r="BN69" s="162"/>
      <c r="BO69" s="162"/>
      <c r="BP69" s="162"/>
      <c r="BQ69" s="162"/>
      <c r="BR69" s="162"/>
      <c r="BT69" s="121"/>
    </row>
    <row r="70" spans="1:72" ht="13.8">
      <c r="A70" s="177"/>
      <c r="B70" s="305" t="s">
        <v>388</v>
      </c>
      <c r="C70" s="117"/>
      <c r="D70" s="162" t="e">
        <f t="shared" ref="D70:T70" si="250">AVERAGE(C144:D144)</f>
        <v>#REF!</v>
      </c>
      <c r="E70" s="162" t="e">
        <f t="shared" si="250"/>
        <v>#REF!</v>
      </c>
      <c r="F70" s="162" t="e">
        <f t="shared" si="250"/>
        <v>#REF!</v>
      </c>
      <c r="G70" s="162" t="e">
        <f t="shared" si="250"/>
        <v>#REF!</v>
      </c>
      <c r="H70" s="162" t="e">
        <f t="shared" si="250"/>
        <v>#REF!</v>
      </c>
      <c r="I70" s="162" t="e">
        <f t="shared" si="250"/>
        <v>#REF!</v>
      </c>
      <c r="J70" s="162" t="e">
        <f t="shared" si="250"/>
        <v>#REF!</v>
      </c>
      <c r="K70" s="162" t="e">
        <f t="shared" si="250"/>
        <v>#REF!</v>
      </c>
      <c r="L70" s="162" t="e">
        <f t="shared" si="250"/>
        <v>#REF!</v>
      </c>
      <c r="M70" s="162" t="e">
        <f t="shared" si="250"/>
        <v>#REF!</v>
      </c>
      <c r="N70" s="162" t="e">
        <f t="shared" si="250"/>
        <v>#REF!</v>
      </c>
      <c r="O70" s="162" t="e">
        <f t="shared" si="250"/>
        <v>#REF!</v>
      </c>
      <c r="P70" s="162" t="e">
        <f t="shared" si="250"/>
        <v>#REF!</v>
      </c>
      <c r="Q70" s="162" t="e">
        <f t="shared" si="250"/>
        <v>#REF!</v>
      </c>
      <c r="R70" s="162" t="e">
        <f t="shared" si="250"/>
        <v>#REF!</v>
      </c>
      <c r="S70" s="162" t="e">
        <f t="shared" si="250"/>
        <v>#REF!</v>
      </c>
      <c r="T70" s="162" t="e">
        <f t="shared" si="250"/>
        <v>#REF!</v>
      </c>
      <c r="U70" s="162" t="e">
        <f>AVERAGE(T144:U144)</f>
        <v>#REF!</v>
      </c>
      <c r="V70" s="162" t="e">
        <f t="shared" ref="V70:AA70" si="251">V144</f>
        <v>#REF!</v>
      </c>
      <c r="W70" s="162" t="e">
        <f t="shared" si="251"/>
        <v>#REF!</v>
      </c>
      <c r="X70" s="162" t="e">
        <f t="shared" si="251"/>
        <v>#REF!</v>
      </c>
      <c r="Y70" s="162" t="e">
        <f t="shared" si="251"/>
        <v>#REF!</v>
      </c>
      <c r="Z70" s="162" t="e">
        <f t="shared" si="251"/>
        <v>#REF!</v>
      </c>
      <c r="AA70" s="162" t="e">
        <f t="shared" si="251"/>
        <v>#REF!</v>
      </c>
      <c r="AB70" s="162" t="e">
        <f t="shared" ref="AB70:BD70" si="252">AB144</f>
        <v>#REF!</v>
      </c>
      <c r="AC70" s="162" t="e">
        <f t="shared" ref="AC70:AH70" si="253">AC144</f>
        <v>#REF!</v>
      </c>
      <c r="AD70" s="162" t="e">
        <f t="shared" si="253"/>
        <v>#REF!</v>
      </c>
      <c r="AE70" s="162" t="e">
        <f t="shared" si="253"/>
        <v>#REF!</v>
      </c>
      <c r="AF70" s="162" t="e">
        <f t="shared" si="253"/>
        <v>#REF!</v>
      </c>
      <c r="AG70" s="162" t="e">
        <f t="shared" si="253"/>
        <v>#REF!</v>
      </c>
      <c r="AH70" s="162" t="e">
        <f t="shared" si="253"/>
        <v>#REF!</v>
      </c>
      <c r="AI70" s="162" t="e">
        <f t="shared" si="252"/>
        <v>#REF!</v>
      </c>
      <c r="AJ70" s="162" t="e">
        <f t="shared" ref="AJ70:AO70" si="254">AJ144</f>
        <v>#REF!</v>
      </c>
      <c r="AK70" s="162" t="e">
        <f t="shared" si="254"/>
        <v>#REF!</v>
      </c>
      <c r="AL70" s="162" t="e">
        <f t="shared" si="254"/>
        <v>#REF!</v>
      </c>
      <c r="AM70" s="162" t="e">
        <f t="shared" si="254"/>
        <v>#REF!</v>
      </c>
      <c r="AN70" s="162" t="e">
        <f t="shared" si="254"/>
        <v>#REF!</v>
      </c>
      <c r="AO70" s="162" t="e">
        <f t="shared" si="254"/>
        <v>#REF!</v>
      </c>
      <c r="AP70" s="162" t="e">
        <f t="shared" si="252"/>
        <v>#REF!</v>
      </c>
      <c r="AQ70" s="162" t="e">
        <f t="shared" ref="AQ70:AV70" si="255">AQ144</f>
        <v>#REF!</v>
      </c>
      <c r="AR70" s="162" t="e">
        <f t="shared" si="255"/>
        <v>#REF!</v>
      </c>
      <c r="AS70" s="162" t="e">
        <f t="shared" si="255"/>
        <v>#REF!</v>
      </c>
      <c r="AT70" s="162" t="e">
        <f t="shared" si="255"/>
        <v>#REF!</v>
      </c>
      <c r="AU70" s="162" t="e">
        <f t="shared" si="255"/>
        <v>#REF!</v>
      </c>
      <c r="AV70" s="162" t="e">
        <f t="shared" si="255"/>
        <v>#REF!</v>
      </c>
      <c r="AW70" s="162" t="e">
        <f t="shared" si="252"/>
        <v>#REF!</v>
      </c>
      <c r="AX70" s="162" t="e">
        <f t="shared" si="252"/>
        <v>#REF!</v>
      </c>
      <c r="AY70" s="162" t="e">
        <f t="shared" si="252"/>
        <v>#REF!</v>
      </c>
      <c r="AZ70" s="162" t="e">
        <f t="shared" si="252"/>
        <v>#REF!</v>
      </c>
      <c r="BA70" s="162" t="e">
        <f t="shared" si="252"/>
        <v>#REF!</v>
      </c>
      <c r="BB70" s="162" t="e">
        <f t="shared" si="252"/>
        <v>#REF!</v>
      </c>
      <c r="BC70" s="162" t="e">
        <f t="shared" si="252"/>
        <v>#REF!</v>
      </c>
      <c r="BD70" s="162" t="e">
        <f t="shared" si="252"/>
        <v>#REF!</v>
      </c>
      <c r="BE70" s="162" t="e">
        <f t="shared" ref="BE70:BK70" si="256">BE144</f>
        <v>#REF!</v>
      </c>
      <c r="BF70" s="162" t="e">
        <f t="shared" si="256"/>
        <v>#REF!</v>
      </c>
      <c r="BG70" s="162" t="e">
        <f t="shared" si="256"/>
        <v>#REF!</v>
      </c>
      <c r="BH70" s="162" t="e">
        <f t="shared" si="256"/>
        <v>#REF!</v>
      </c>
      <c r="BI70" s="162" t="e">
        <f t="shared" si="256"/>
        <v>#REF!</v>
      </c>
      <c r="BJ70" s="162" t="e">
        <f t="shared" si="256"/>
        <v>#REF!</v>
      </c>
      <c r="BK70" s="162" t="e">
        <f t="shared" si="256"/>
        <v>#REF!</v>
      </c>
      <c r="BL70" s="162" t="e">
        <f>AVERAGE(BK144:BL144)</f>
        <v>#REF!</v>
      </c>
      <c r="BM70" s="162" t="e">
        <f t="shared" ref="BM70:BR70" si="257">AVERAGE(BL144:BM144)</f>
        <v>#REF!</v>
      </c>
      <c r="BN70" s="162" t="e">
        <f t="shared" si="257"/>
        <v>#REF!</v>
      </c>
      <c r="BO70" s="162" t="e">
        <f t="shared" si="257"/>
        <v>#REF!</v>
      </c>
      <c r="BP70" s="162" t="e">
        <f t="shared" si="257"/>
        <v>#REF!</v>
      </c>
      <c r="BQ70" s="162" t="e">
        <f t="shared" si="257"/>
        <v>#REF!</v>
      </c>
      <c r="BR70" s="162" t="e">
        <f t="shared" si="257"/>
        <v>#REF!</v>
      </c>
      <c r="BT70" s="121"/>
    </row>
    <row r="71" spans="1:72" ht="13.8">
      <c r="A71" s="177"/>
      <c r="B71" s="306" t="s">
        <v>408</v>
      </c>
      <c r="C71" s="117"/>
      <c r="D71" s="301" t="e">
        <f t="shared" ref="D71:T71" si="258">365/(D$7/D70)</f>
        <v>#REF!</v>
      </c>
      <c r="E71" s="301" t="e">
        <f t="shared" si="258"/>
        <v>#REF!</v>
      </c>
      <c r="F71" s="301" t="e">
        <f t="shared" si="258"/>
        <v>#REF!</v>
      </c>
      <c r="G71" s="301" t="e">
        <f t="shared" si="258"/>
        <v>#REF!</v>
      </c>
      <c r="H71" s="301" t="e">
        <f t="shared" si="258"/>
        <v>#REF!</v>
      </c>
      <c r="I71" s="301" t="e">
        <f t="shared" si="258"/>
        <v>#REF!</v>
      </c>
      <c r="J71" s="301" t="e">
        <f t="shared" si="258"/>
        <v>#REF!</v>
      </c>
      <c r="K71" s="301" t="e">
        <f t="shared" si="258"/>
        <v>#REF!</v>
      </c>
      <c r="L71" s="301" t="e">
        <f t="shared" si="258"/>
        <v>#REF!</v>
      </c>
      <c r="M71" s="301" t="e">
        <f t="shared" si="258"/>
        <v>#REF!</v>
      </c>
      <c r="N71" s="301" t="e">
        <f t="shared" si="258"/>
        <v>#REF!</v>
      </c>
      <c r="O71" s="301" t="e">
        <f t="shared" si="258"/>
        <v>#REF!</v>
      </c>
      <c r="P71" s="301" t="e">
        <f t="shared" si="258"/>
        <v>#REF!</v>
      </c>
      <c r="Q71" s="301" t="e">
        <f t="shared" si="258"/>
        <v>#REF!</v>
      </c>
      <c r="R71" s="301" t="e">
        <f t="shared" si="258"/>
        <v>#REF!</v>
      </c>
      <c r="S71" s="301" t="e">
        <f t="shared" si="258"/>
        <v>#REF!</v>
      </c>
      <c r="T71" s="301" t="e">
        <f t="shared" si="258"/>
        <v>#REF!</v>
      </c>
      <c r="U71" s="301" t="e">
        <f>365/(U$7/U70)</f>
        <v>#REF!</v>
      </c>
      <c r="V71" s="334" t="e">
        <f>365/(V$7/V70)/4</f>
        <v>#REF!</v>
      </c>
      <c r="W71" s="301" t="e">
        <f>365/(W$7/W70)/4</f>
        <v>#REF!</v>
      </c>
      <c r="X71" s="301" t="e">
        <f>365/(X$7/X70)/2</f>
        <v>#REF!</v>
      </c>
      <c r="Y71" s="301" t="e">
        <f>365/(Y$7/Y70)/4</f>
        <v>#REF!</v>
      </c>
      <c r="Z71" s="301" t="e">
        <f>365/(Z$7/Z70)/4</f>
        <v>#REF!</v>
      </c>
      <c r="AA71" s="301" t="e">
        <f>365/(AA$7/AA70)/2</f>
        <v>#REF!</v>
      </c>
      <c r="AB71" s="301" t="e">
        <f>365/(AB$7/AB70)</f>
        <v>#REF!</v>
      </c>
      <c r="AC71" s="334" t="e">
        <f>365/(AC$7/AC70)/4</f>
        <v>#REF!</v>
      </c>
      <c r="AD71" s="301" t="e">
        <f>365/(AD$7/AD70)/4</f>
        <v>#REF!</v>
      </c>
      <c r="AE71" s="301" t="e">
        <f>365/(AE$7/AE70)/2</f>
        <v>#REF!</v>
      </c>
      <c r="AF71" s="301" t="e">
        <f>365/(AF$7/AF70)/4</f>
        <v>#REF!</v>
      </c>
      <c r="AG71" s="301" t="e">
        <f>365/(AG$7/AG70)/4</f>
        <v>#REF!</v>
      </c>
      <c r="AH71" s="301" t="e">
        <f>365/(AH$7/AH70)/2</f>
        <v>#REF!</v>
      </c>
      <c r="AI71" s="301" t="e">
        <f t="shared" ref="AI71:BD71" si="259">365/(AI$7/AI70)</f>
        <v>#REF!</v>
      </c>
      <c r="AJ71" s="334" t="e">
        <f>365/(AJ$7/AJ70)/4</f>
        <v>#REF!</v>
      </c>
      <c r="AK71" s="301" t="e">
        <f>365/(AK$7/AK70)/4</f>
        <v>#REF!</v>
      </c>
      <c r="AL71" s="301" t="e">
        <f>365/(AL$7/AL70)/2</f>
        <v>#REF!</v>
      </c>
      <c r="AM71" s="301" t="e">
        <f>365/(AM$7/AM70)/4</f>
        <v>#REF!</v>
      </c>
      <c r="AN71" s="301" t="e">
        <f>365/(AN$7/AN70)/4</f>
        <v>#REF!</v>
      </c>
      <c r="AO71" s="301" t="e">
        <f>365/(AO$7/AO70)/2</f>
        <v>#REF!</v>
      </c>
      <c r="AP71" s="301" t="e">
        <f t="shared" si="259"/>
        <v>#REF!</v>
      </c>
      <c r="AQ71" s="334" t="e">
        <f>365/(AQ$7/AQ70)/4</f>
        <v>#REF!</v>
      </c>
      <c r="AR71" s="301" t="e">
        <f>365/(AR$7/AR70)/4</f>
        <v>#REF!</v>
      </c>
      <c r="AS71" s="301" t="e">
        <f>365/(AS$7/AS70)/2</f>
        <v>#REF!</v>
      </c>
      <c r="AT71" s="301" t="e">
        <f>365/(AT$7/AT70)/4</f>
        <v>#REF!</v>
      </c>
      <c r="AU71" s="301" t="e">
        <f>365/(AU$7/AU70)/4</f>
        <v>#REF!</v>
      </c>
      <c r="AV71" s="301" t="e">
        <f>365/(AV$7/AV70)/2</f>
        <v>#REF!</v>
      </c>
      <c r="AW71" s="301" t="e">
        <f t="shared" si="259"/>
        <v>#REF!</v>
      </c>
      <c r="AX71" s="334" t="e">
        <f>365/(AX$7/AX70)/4</f>
        <v>#REF!</v>
      </c>
      <c r="AY71" s="301" t="e">
        <f>365/(AY$7/AY70)/4</f>
        <v>#REF!</v>
      </c>
      <c r="AZ71" s="301" t="e">
        <f>365/(AZ$7/AZ70)/2</f>
        <v>#REF!</v>
      </c>
      <c r="BA71" s="301" t="e">
        <f>365/(BA$7/BA70)/4</f>
        <v>#REF!</v>
      </c>
      <c r="BB71" s="301" t="e">
        <f>365/(BB$7/BB70)/4</f>
        <v>#REF!</v>
      </c>
      <c r="BC71" s="301" t="e">
        <f>365/(BC$7/BC70)/2</f>
        <v>#REF!</v>
      </c>
      <c r="BD71" s="377" t="e">
        <f t="shared" si="259"/>
        <v>#REF!</v>
      </c>
      <c r="BE71" s="334" t="e">
        <f>365/(BE$7/BE70)/4</f>
        <v>#REF!</v>
      </c>
      <c r="BF71" s="301" t="e">
        <f>365/(BF$7/BF70)/4</f>
        <v>#REF!</v>
      </c>
      <c r="BG71" s="301" t="e">
        <f>365/(BG$7/BG70)/2</f>
        <v>#REF!</v>
      </c>
      <c r="BH71" s="301" t="e">
        <f>365/(BH$7/BH70)/4</f>
        <v>#REF!</v>
      </c>
      <c r="BI71" s="301" t="e">
        <f>365/(BI$7/BI70)/4</f>
        <v>#REF!</v>
      </c>
      <c r="BJ71" s="301" t="e">
        <f>365/(BJ$7/BJ70)/2</f>
        <v>#REF!</v>
      </c>
      <c r="BK71" s="377" t="e">
        <f t="shared" ref="BK71" si="260">365/(BK$7/BK70)</f>
        <v>#REF!</v>
      </c>
      <c r="BL71" s="301" t="e">
        <f t="shared" ref="BL71" si="261">365/(BL$7/BL70)</f>
        <v>#REF!</v>
      </c>
      <c r="BM71" s="301" t="e">
        <f t="shared" ref="BM71" si="262">365/(BM$7/BM70)</f>
        <v>#REF!</v>
      </c>
      <c r="BN71" s="301" t="e">
        <f t="shared" ref="BN71" si="263">365/(BN$7/BN70)</f>
        <v>#REF!</v>
      </c>
      <c r="BO71" s="301" t="e">
        <f t="shared" ref="BO71" si="264">365/(BO$7/BO70)</f>
        <v>#REF!</v>
      </c>
      <c r="BP71" s="301" t="e">
        <f t="shared" ref="BP71" si="265">365/(BP$7/BP70)</f>
        <v>#REF!</v>
      </c>
      <c r="BQ71" s="301" t="e">
        <f t="shared" ref="BQ71" si="266">365/(BQ$7/BQ70)</f>
        <v>#REF!</v>
      </c>
      <c r="BR71" s="301" t="e">
        <f t="shared" ref="BR71" si="267">365/(BR$7/BR70)</f>
        <v>#REF!</v>
      </c>
      <c r="BT71" s="121"/>
    </row>
    <row r="72" spans="1:72" ht="13.8">
      <c r="A72" s="177"/>
      <c r="B72" s="305"/>
      <c r="C72" s="117"/>
      <c r="D72" s="162"/>
      <c r="E72" s="162"/>
      <c r="F72" s="162"/>
      <c r="G72" s="162"/>
      <c r="H72" s="162"/>
      <c r="I72" s="162"/>
      <c r="J72" s="162"/>
      <c r="K72" s="162"/>
      <c r="L72" s="162"/>
      <c r="M72" s="162"/>
      <c r="N72" s="162"/>
      <c r="O72" s="162"/>
      <c r="P72" s="162"/>
      <c r="Q72" s="162"/>
      <c r="R72" s="162"/>
      <c r="S72" s="162"/>
      <c r="T72" s="162"/>
      <c r="U72" s="162"/>
      <c r="V72" s="333"/>
      <c r="W72" s="162"/>
      <c r="X72" s="162"/>
      <c r="Y72" s="162"/>
      <c r="Z72" s="162"/>
      <c r="AA72" s="162"/>
      <c r="AB72" s="162"/>
      <c r="AC72" s="333"/>
      <c r="AD72" s="162"/>
      <c r="AE72" s="162"/>
      <c r="AF72" s="162"/>
      <c r="AG72" s="162"/>
      <c r="AH72" s="162"/>
      <c r="AI72" s="162"/>
      <c r="AJ72" s="333"/>
      <c r="AK72" s="162"/>
      <c r="AL72" s="162"/>
      <c r="AM72" s="162"/>
      <c r="AN72" s="162"/>
      <c r="AO72" s="162"/>
      <c r="AP72" s="162"/>
      <c r="AQ72" s="333"/>
      <c r="AR72" s="162"/>
      <c r="AS72" s="162"/>
      <c r="AT72" s="162"/>
      <c r="AU72" s="162"/>
      <c r="AV72" s="162"/>
      <c r="AW72" s="162"/>
      <c r="AX72" s="333"/>
      <c r="AY72" s="162"/>
      <c r="AZ72" s="162"/>
      <c r="BA72" s="162"/>
      <c r="BB72" s="162"/>
      <c r="BC72" s="162"/>
      <c r="BD72" s="376"/>
      <c r="BE72" s="333"/>
      <c r="BF72" s="162"/>
      <c r="BG72" s="162"/>
      <c r="BH72" s="162"/>
      <c r="BI72" s="162"/>
      <c r="BJ72" s="162"/>
      <c r="BK72" s="376"/>
      <c r="BL72" s="162"/>
      <c r="BM72" s="162"/>
      <c r="BN72" s="162"/>
      <c r="BO72" s="162"/>
      <c r="BP72" s="162"/>
      <c r="BQ72" s="162"/>
      <c r="BR72" s="162"/>
      <c r="BT72" s="121"/>
    </row>
    <row r="73" spans="1:72" ht="13.8">
      <c r="A73" s="177"/>
      <c r="B73" s="305" t="s">
        <v>400</v>
      </c>
      <c r="C73" s="117"/>
      <c r="D73" s="162" t="e">
        <f t="shared" ref="D73:T73" si="268">AVERAGE(C146:D146)</f>
        <v>#REF!</v>
      </c>
      <c r="E73" s="162" t="e">
        <f t="shared" si="268"/>
        <v>#REF!</v>
      </c>
      <c r="F73" s="162" t="e">
        <f t="shared" si="268"/>
        <v>#REF!</v>
      </c>
      <c r="G73" s="162" t="e">
        <f t="shared" si="268"/>
        <v>#REF!</v>
      </c>
      <c r="H73" s="162" t="e">
        <f t="shared" si="268"/>
        <v>#REF!</v>
      </c>
      <c r="I73" s="162" t="e">
        <f t="shared" si="268"/>
        <v>#REF!</v>
      </c>
      <c r="J73" s="162" t="e">
        <f t="shared" si="268"/>
        <v>#REF!</v>
      </c>
      <c r="K73" s="162" t="e">
        <f t="shared" si="268"/>
        <v>#REF!</v>
      </c>
      <c r="L73" s="162" t="e">
        <f t="shared" si="268"/>
        <v>#REF!</v>
      </c>
      <c r="M73" s="162" t="e">
        <f t="shared" si="268"/>
        <v>#REF!</v>
      </c>
      <c r="N73" s="162" t="e">
        <f t="shared" si="268"/>
        <v>#REF!</v>
      </c>
      <c r="O73" s="162" t="e">
        <f t="shared" si="268"/>
        <v>#REF!</v>
      </c>
      <c r="P73" s="162" t="e">
        <f t="shared" si="268"/>
        <v>#REF!</v>
      </c>
      <c r="Q73" s="162" t="e">
        <f t="shared" si="268"/>
        <v>#REF!</v>
      </c>
      <c r="R73" s="162" t="e">
        <f t="shared" si="268"/>
        <v>#REF!</v>
      </c>
      <c r="S73" s="162" t="e">
        <f t="shared" si="268"/>
        <v>#REF!</v>
      </c>
      <c r="T73" s="162" t="e">
        <f t="shared" si="268"/>
        <v>#REF!</v>
      </c>
      <c r="U73" s="162" t="e">
        <f>AVERAGE(T146:U146)</f>
        <v>#REF!</v>
      </c>
      <c r="V73" s="162" t="e">
        <f t="shared" ref="V73:AA73" si="269">V146</f>
        <v>#REF!</v>
      </c>
      <c r="W73" s="162" t="e">
        <f t="shared" si="269"/>
        <v>#REF!</v>
      </c>
      <c r="X73" s="162" t="e">
        <f t="shared" si="269"/>
        <v>#REF!</v>
      </c>
      <c r="Y73" s="162" t="e">
        <f t="shared" si="269"/>
        <v>#REF!</v>
      </c>
      <c r="Z73" s="162" t="e">
        <f t="shared" si="269"/>
        <v>#REF!</v>
      </c>
      <c r="AA73" s="162" t="e">
        <f t="shared" si="269"/>
        <v>#REF!</v>
      </c>
      <c r="AB73" s="162" t="e">
        <f>AVERAGE(U146:AB146)</f>
        <v>#REF!</v>
      </c>
      <c r="AC73" s="162" t="e">
        <f t="shared" ref="AC73:AH73" si="270">AC146</f>
        <v>#REF!</v>
      </c>
      <c r="AD73" s="162" t="e">
        <f t="shared" si="270"/>
        <v>#REF!</v>
      </c>
      <c r="AE73" s="162" t="e">
        <f t="shared" si="270"/>
        <v>#REF!</v>
      </c>
      <c r="AF73" s="162" t="e">
        <f t="shared" si="270"/>
        <v>#REF!</v>
      </c>
      <c r="AG73" s="162" t="e">
        <f t="shared" si="270"/>
        <v>#REF!</v>
      </c>
      <c r="AH73" s="162" t="e">
        <f t="shared" si="270"/>
        <v>#REF!</v>
      </c>
      <c r="AI73" s="162" t="e">
        <f t="shared" ref="AI73" si="271">AVERAGE(AB146:AI146)</f>
        <v>#REF!</v>
      </c>
      <c r="AJ73" s="162" t="e">
        <f t="shared" ref="AJ73:AO73" si="272">AJ146</f>
        <v>#REF!</v>
      </c>
      <c r="AK73" s="162" t="e">
        <f t="shared" si="272"/>
        <v>#REF!</v>
      </c>
      <c r="AL73" s="162" t="e">
        <f t="shared" si="272"/>
        <v>#REF!</v>
      </c>
      <c r="AM73" s="162" t="e">
        <f t="shared" si="272"/>
        <v>#REF!</v>
      </c>
      <c r="AN73" s="162" t="e">
        <f t="shared" si="272"/>
        <v>#REF!</v>
      </c>
      <c r="AO73" s="162" t="e">
        <f t="shared" si="272"/>
        <v>#REF!</v>
      </c>
      <c r="AP73" s="162" t="e">
        <f>AVERAGE(AI146:AP146)</f>
        <v>#REF!</v>
      </c>
      <c r="AQ73" s="162" t="e">
        <f>AQ146</f>
        <v>#REF!</v>
      </c>
      <c r="AR73" s="162" t="e">
        <f t="shared" ref="AR73:AV73" si="273">AR146</f>
        <v>#REF!</v>
      </c>
      <c r="AS73" s="162" t="e">
        <f t="shared" si="273"/>
        <v>#REF!</v>
      </c>
      <c r="AT73" s="162" t="e">
        <f t="shared" si="273"/>
        <v>#REF!</v>
      </c>
      <c r="AU73" s="162" t="e">
        <f t="shared" si="273"/>
        <v>#REF!</v>
      </c>
      <c r="AV73" s="162" t="e">
        <f t="shared" si="273"/>
        <v>#REF!</v>
      </c>
      <c r="AW73" s="162" t="e">
        <f>AVERAGE(AP146:AW146)</f>
        <v>#REF!</v>
      </c>
      <c r="AX73" s="162" t="e">
        <f t="shared" ref="AX73:BD73" si="274">AX146</f>
        <v>#REF!</v>
      </c>
      <c r="AY73" s="162" t="e">
        <f t="shared" si="274"/>
        <v>#REF!</v>
      </c>
      <c r="AZ73" s="162" t="e">
        <f t="shared" si="274"/>
        <v>#REF!</v>
      </c>
      <c r="BA73" s="162" t="e">
        <f t="shared" si="274"/>
        <v>#REF!</v>
      </c>
      <c r="BB73" s="162" t="e">
        <f t="shared" si="274"/>
        <v>#REF!</v>
      </c>
      <c r="BC73" s="162" t="e">
        <f t="shared" si="274"/>
        <v>#REF!</v>
      </c>
      <c r="BD73" s="162" t="e">
        <f t="shared" si="274"/>
        <v>#REF!</v>
      </c>
      <c r="BE73" s="162" t="e">
        <f t="shared" ref="BE73:BK73" si="275">BE146</f>
        <v>#REF!</v>
      </c>
      <c r="BF73" s="162" t="e">
        <f t="shared" si="275"/>
        <v>#REF!</v>
      </c>
      <c r="BG73" s="162" t="e">
        <f t="shared" si="275"/>
        <v>#REF!</v>
      </c>
      <c r="BH73" s="162" t="e">
        <f t="shared" si="275"/>
        <v>#REF!</v>
      </c>
      <c r="BI73" s="162" t="e">
        <f t="shared" si="275"/>
        <v>#REF!</v>
      </c>
      <c r="BJ73" s="162" t="e">
        <f t="shared" si="275"/>
        <v>#REF!</v>
      </c>
      <c r="BK73" s="162" t="e">
        <f t="shared" si="275"/>
        <v>#REF!</v>
      </c>
      <c r="BL73" s="162" t="e">
        <f>AVERAGE(BK146:BL146)</f>
        <v>#REF!</v>
      </c>
      <c r="BM73" s="162" t="e">
        <f t="shared" ref="BM73:BR73" si="276">AVERAGE(BL146:BM146)</f>
        <v>#REF!</v>
      </c>
      <c r="BN73" s="162" t="e">
        <f t="shared" si="276"/>
        <v>#REF!</v>
      </c>
      <c r="BO73" s="162" t="e">
        <f t="shared" si="276"/>
        <v>#REF!</v>
      </c>
      <c r="BP73" s="162" t="e">
        <f t="shared" si="276"/>
        <v>#REF!</v>
      </c>
      <c r="BQ73" s="162" t="e">
        <f t="shared" si="276"/>
        <v>#REF!</v>
      </c>
      <c r="BR73" s="162" t="e">
        <f t="shared" si="276"/>
        <v>#REF!</v>
      </c>
      <c r="BT73" s="121"/>
    </row>
    <row r="74" spans="1:72" ht="13.8">
      <c r="A74" s="177"/>
      <c r="B74" s="305" t="s">
        <v>408</v>
      </c>
      <c r="C74" s="117"/>
      <c r="D74" s="301" t="e">
        <f t="shared" ref="D74:T74" si="277">365/(D$7/D73)</f>
        <v>#REF!</v>
      </c>
      <c r="E74" s="301" t="e">
        <f t="shared" si="277"/>
        <v>#REF!</v>
      </c>
      <c r="F74" s="301" t="e">
        <f t="shared" si="277"/>
        <v>#REF!</v>
      </c>
      <c r="G74" s="301" t="e">
        <f t="shared" si="277"/>
        <v>#REF!</v>
      </c>
      <c r="H74" s="301" t="e">
        <f t="shared" si="277"/>
        <v>#REF!</v>
      </c>
      <c r="I74" s="301" t="e">
        <f t="shared" si="277"/>
        <v>#REF!</v>
      </c>
      <c r="J74" s="301" t="e">
        <f t="shared" si="277"/>
        <v>#REF!</v>
      </c>
      <c r="K74" s="301" t="e">
        <f t="shared" si="277"/>
        <v>#REF!</v>
      </c>
      <c r="L74" s="301" t="e">
        <f t="shared" si="277"/>
        <v>#REF!</v>
      </c>
      <c r="M74" s="301" t="e">
        <f t="shared" si="277"/>
        <v>#REF!</v>
      </c>
      <c r="N74" s="301" t="e">
        <f t="shared" si="277"/>
        <v>#REF!</v>
      </c>
      <c r="O74" s="301" t="e">
        <f t="shared" si="277"/>
        <v>#REF!</v>
      </c>
      <c r="P74" s="301" t="e">
        <f t="shared" si="277"/>
        <v>#REF!</v>
      </c>
      <c r="Q74" s="301" t="e">
        <f t="shared" si="277"/>
        <v>#REF!</v>
      </c>
      <c r="R74" s="301" t="e">
        <f t="shared" si="277"/>
        <v>#REF!</v>
      </c>
      <c r="S74" s="301" t="e">
        <f t="shared" si="277"/>
        <v>#REF!</v>
      </c>
      <c r="T74" s="301" t="e">
        <f t="shared" si="277"/>
        <v>#REF!</v>
      </c>
      <c r="U74" s="301" t="e">
        <f>365/(U$7/U73)</f>
        <v>#REF!</v>
      </c>
      <c r="V74" s="334" t="e">
        <f>365/(V$7/V73)/4</f>
        <v>#REF!</v>
      </c>
      <c r="W74" s="301" t="e">
        <f>365/(W$7/W73)/4</f>
        <v>#REF!</v>
      </c>
      <c r="X74" s="301" t="e">
        <f>365/(X$7/X73)/2</f>
        <v>#REF!</v>
      </c>
      <c r="Y74" s="301" t="e">
        <f>365/(Y$7/Y73)/4</f>
        <v>#REF!</v>
      </c>
      <c r="Z74" s="301" t="e">
        <f>365/(Z$7/Z73)/4</f>
        <v>#REF!</v>
      </c>
      <c r="AA74" s="301" t="e">
        <f>365/(AA$7/AA73)/2</f>
        <v>#REF!</v>
      </c>
      <c r="AB74" s="301" t="e">
        <f>365/(AB$7/AB73)</f>
        <v>#REF!</v>
      </c>
      <c r="AC74" s="334" t="e">
        <f>365/(AC$7/AC73)/4</f>
        <v>#REF!</v>
      </c>
      <c r="AD74" s="301" t="e">
        <f>365/(AD$7/AD73)/4</f>
        <v>#REF!</v>
      </c>
      <c r="AE74" s="301" t="e">
        <f>365/(AE$7/AE73)/2</f>
        <v>#REF!</v>
      </c>
      <c r="AF74" s="301" t="e">
        <f>365/(AF$7/AF73)/4</f>
        <v>#REF!</v>
      </c>
      <c r="AG74" s="301" t="e">
        <f>365/(AG$7/AG73)/4</f>
        <v>#REF!</v>
      </c>
      <c r="AH74" s="301" t="e">
        <f>365/(AH$7/AH73)/2</f>
        <v>#REF!</v>
      </c>
      <c r="AI74" s="301" t="e">
        <f t="shared" ref="AI74:BD74" si="278">365/(AI$7/AI73)</f>
        <v>#REF!</v>
      </c>
      <c r="AJ74" s="334" t="e">
        <f>365/(AJ$7/AJ73)/4</f>
        <v>#REF!</v>
      </c>
      <c r="AK74" s="301" t="e">
        <f>365/(AK$7/AK73)/4</f>
        <v>#REF!</v>
      </c>
      <c r="AL74" s="301" t="e">
        <f>365/(AL$7/AL73)/2</f>
        <v>#REF!</v>
      </c>
      <c r="AM74" s="301" t="e">
        <f>365/(AM$7/AM73)/4</f>
        <v>#REF!</v>
      </c>
      <c r="AN74" s="301" t="e">
        <f>365/(AN$7/AN73)/4</f>
        <v>#REF!</v>
      </c>
      <c r="AO74" s="301" t="e">
        <f>365/(AO$7/AO73)/2</f>
        <v>#REF!</v>
      </c>
      <c r="AP74" s="301" t="e">
        <f t="shared" si="278"/>
        <v>#REF!</v>
      </c>
      <c r="AQ74" s="334" t="e">
        <f>365/(AQ$7/AQ73)/4</f>
        <v>#REF!</v>
      </c>
      <c r="AR74" s="301" t="e">
        <f>365/(AR$7/AR73)/4</f>
        <v>#REF!</v>
      </c>
      <c r="AS74" s="301" t="e">
        <f>365/(AS$7/AS73)/2</f>
        <v>#REF!</v>
      </c>
      <c r="AT74" s="301" t="e">
        <f>365/(AT$7/AT73)/4</f>
        <v>#REF!</v>
      </c>
      <c r="AU74" s="301" t="e">
        <f>365/(AU$7/AU73)/4</f>
        <v>#REF!</v>
      </c>
      <c r="AV74" s="301" t="e">
        <f>365/(AV$7/AV73)/2</f>
        <v>#REF!</v>
      </c>
      <c r="AW74" s="301" t="e">
        <f t="shared" si="278"/>
        <v>#REF!</v>
      </c>
      <c r="AX74" s="334" t="e">
        <f>365/(AX$7/AX73)/4</f>
        <v>#REF!</v>
      </c>
      <c r="AY74" s="301" t="e">
        <f>365/(AY$7/AY73)/4</f>
        <v>#REF!</v>
      </c>
      <c r="AZ74" s="301" t="e">
        <f>365/(AZ$7/AZ73)/2</f>
        <v>#REF!</v>
      </c>
      <c r="BA74" s="301" t="e">
        <f>365/(BA$7/BA73)/4</f>
        <v>#REF!</v>
      </c>
      <c r="BB74" s="301" t="e">
        <f>365/(BB$7/BB73)/4</f>
        <v>#REF!</v>
      </c>
      <c r="BC74" s="301" t="e">
        <f>365/(BC$7/BC73)/2</f>
        <v>#REF!</v>
      </c>
      <c r="BD74" s="377" t="e">
        <f t="shared" si="278"/>
        <v>#REF!</v>
      </c>
      <c r="BE74" s="334" t="e">
        <f>365/(BE$7/BE73)/4</f>
        <v>#REF!</v>
      </c>
      <c r="BF74" s="301" t="e">
        <f>365/(BF$7/BF73)/4</f>
        <v>#REF!</v>
      </c>
      <c r="BG74" s="301" t="e">
        <f>365/(BG$7/BG73)/2</f>
        <v>#REF!</v>
      </c>
      <c r="BH74" s="301" t="e">
        <f>365/(BH$7/BH73)/4</f>
        <v>#REF!</v>
      </c>
      <c r="BI74" s="301" t="e">
        <f>365/(BI$7/BI73)/4</f>
        <v>#REF!</v>
      </c>
      <c r="BJ74" s="301" t="e">
        <f>365/(BJ$7/BJ73)/2</f>
        <v>#REF!</v>
      </c>
      <c r="BK74" s="377" t="e">
        <f t="shared" ref="BK74" si="279">365/(BK$7/BK73)</f>
        <v>#REF!</v>
      </c>
      <c r="BL74" s="301" t="e">
        <f t="shared" ref="BL74" si="280">365/(BL$7/BL73)</f>
        <v>#REF!</v>
      </c>
      <c r="BM74" s="301" t="e">
        <f t="shared" ref="BM74" si="281">365/(BM$7/BM73)</f>
        <v>#REF!</v>
      </c>
      <c r="BN74" s="301" t="e">
        <f t="shared" ref="BN74" si="282">365/(BN$7/BN73)</f>
        <v>#REF!</v>
      </c>
      <c r="BO74" s="301" t="e">
        <f t="shared" ref="BO74" si="283">365/(BO$7/BO73)</f>
        <v>#REF!</v>
      </c>
      <c r="BP74" s="301" t="e">
        <f t="shared" ref="BP74" si="284">365/(BP$7/BP73)</f>
        <v>#REF!</v>
      </c>
      <c r="BQ74" s="301" t="e">
        <f t="shared" ref="BQ74" si="285">365/(BQ$7/BQ73)</f>
        <v>#REF!</v>
      </c>
      <c r="BR74" s="301" t="e">
        <f t="shared" ref="BR74" si="286">365/(BR$7/BR73)</f>
        <v>#REF!</v>
      </c>
      <c r="BT74" s="121"/>
    </row>
    <row r="75" spans="1:72" ht="13.8">
      <c r="A75" s="177"/>
      <c r="B75" s="305"/>
      <c r="C75" s="117"/>
      <c r="D75" s="162"/>
      <c r="E75" s="162"/>
      <c r="F75" s="162"/>
      <c r="G75" s="162"/>
      <c r="H75" s="162"/>
      <c r="I75" s="162"/>
      <c r="J75" s="162"/>
      <c r="K75" s="162"/>
      <c r="L75" s="162"/>
      <c r="M75" s="162"/>
      <c r="N75" s="162"/>
      <c r="O75" s="162"/>
      <c r="P75" s="162"/>
      <c r="Q75" s="162"/>
      <c r="R75" s="162"/>
      <c r="S75" s="162"/>
      <c r="T75" s="162"/>
      <c r="U75" s="162"/>
      <c r="V75" s="333"/>
      <c r="W75" s="162"/>
      <c r="X75" s="162"/>
      <c r="Y75" s="162"/>
      <c r="Z75" s="162"/>
      <c r="AA75" s="162"/>
      <c r="AB75" s="162"/>
      <c r="AC75" s="333"/>
      <c r="AD75" s="162"/>
      <c r="AE75" s="162"/>
      <c r="AF75" s="162"/>
      <c r="AG75" s="162"/>
      <c r="AH75" s="162"/>
      <c r="AI75" s="162"/>
      <c r="AJ75" s="333"/>
      <c r="AK75" s="162"/>
      <c r="AL75" s="162"/>
      <c r="AM75" s="162"/>
      <c r="AN75" s="162"/>
      <c r="AO75" s="162"/>
      <c r="AP75" s="162"/>
      <c r="AQ75" s="333"/>
      <c r="AR75" s="162"/>
      <c r="AS75" s="162"/>
      <c r="AT75" s="162"/>
      <c r="AU75" s="162"/>
      <c r="AV75" s="162"/>
      <c r="AW75" s="162"/>
      <c r="AX75" s="333"/>
      <c r="AY75" s="162"/>
      <c r="AZ75" s="162"/>
      <c r="BA75" s="162"/>
      <c r="BB75" s="162"/>
      <c r="BC75" s="162"/>
      <c r="BD75" s="376"/>
      <c r="BE75" s="333"/>
      <c r="BF75" s="162"/>
      <c r="BG75" s="162"/>
      <c r="BH75" s="162"/>
      <c r="BI75" s="162"/>
      <c r="BJ75" s="162"/>
      <c r="BK75" s="376"/>
      <c r="BL75" s="162"/>
      <c r="BM75" s="162"/>
      <c r="BN75" s="162"/>
      <c r="BO75" s="162"/>
      <c r="BP75" s="162"/>
      <c r="BQ75" s="162"/>
      <c r="BR75" s="162"/>
      <c r="BT75" s="121"/>
    </row>
    <row r="76" spans="1:72" ht="13.8">
      <c r="A76" s="177"/>
      <c r="B76" s="305" t="s">
        <v>389</v>
      </c>
      <c r="C76" s="117"/>
      <c r="D76" s="162" t="e">
        <f t="shared" ref="D76:T76" si="287">AVERAGE(C141:D141)</f>
        <v>#REF!</v>
      </c>
      <c r="E76" s="162" t="e">
        <f t="shared" si="287"/>
        <v>#REF!</v>
      </c>
      <c r="F76" s="162" t="e">
        <f t="shared" si="287"/>
        <v>#REF!</v>
      </c>
      <c r="G76" s="162" t="e">
        <f t="shared" si="287"/>
        <v>#REF!</v>
      </c>
      <c r="H76" s="162" t="e">
        <f t="shared" si="287"/>
        <v>#REF!</v>
      </c>
      <c r="I76" s="162" t="e">
        <f t="shared" si="287"/>
        <v>#REF!</v>
      </c>
      <c r="J76" s="162" t="e">
        <f t="shared" si="287"/>
        <v>#REF!</v>
      </c>
      <c r="K76" s="162" t="e">
        <f t="shared" si="287"/>
        <v>#REF!</v>
      </c>
      <c r="L76" s="162" t="e">
        <f t="shared" si="287"/>
        <v>#REF!</v>
      </c>
      <c r="M76" s="162" t="e">
        <f t="shared" si="287"/>
        <v>#REF!</v>
      </c>
      <c r="N76" s="162" t="e">
        <f t="shared" si="287"/>
        <v>#REF!</v>
      </c>
      <c r="O76" s="162" t="e">
        <f t="shared" si="287"/>
        <v>#REF!</v>
      </c>
      <c r="P76" s="162" t="e">
        <f t="shared" si="287"/>
        <v>#REF!</v>
      </c>
      <c r="Q76" s="162" t="e">
        <f t="shared" si="287"/>
        <v>#REF!</v>
      </c>
      <c r="R76" s="162" t="e">
        <f t="shared" si="287"/>
        <v>#REF!</v>
      </c>
      <c r="S76" s="162" t="e">
        <f t="shared" si="287"/>
        <v>#REF!</v>
      </c>
      <c r="T76" s="162" t="e">
        <f t="shared" si="287"/>
        <v>#REF!</v>
      </c>
      <c r="U76" s="162" t="e">
        <f>AVERAGE(T141:U141)</f>
        <v>#REF!</v>
      </c>
      <c r="V76" s="162" t="e">
        <f t="shared" ref="V76:AA76" si="288">V141</f>
        <v>#REF!</v>
      </c>
      <c r="W76" s="162" t="e">
        <f t="shared" si="288"/>
        <v>#REF!</v>
      </c>
      <c r="X76" s="162" t="e">
        <f t="shared" si="288"/>
        <v>#REF!</v>
      </c>
      <c r="Y76" s="162" t="e">
        <f t="shared" si="288"/>
        <v>#REF!</v>
      </c>
      <c r="Z76" s="162" t="e">
        <f t="shared" si="288"/>
        <v>#REF!</v>
      </c>
      <c r="AA76" s="162" t="e">
        <f t="shared" si="288"/>
        <v>#REF!</v>
      </c>
      <c r="AB76" s="162" t="e">
        <f>AVERAGE(U141:AB141)</f>
        <v>#REF!</v>
      </c>
      <c r="AC76" s="162" t="e">
        <f t="shared" ref="AC76:AH76" si="289">AC141</f>
        <v>#REF!</v>
      </c>
      <c r="AD76" s="162" t="e">
        <f t="shared" si="289"/>
        <v>#REF!</v>
      </c>
      <c r="AE76" s="162" t="e">
        <f t="shared" si="289"/>
        <v>#REF!</v>
      </c>
      <c r="AF76" s="162" t="e">
        <f t="shared" si="289"/>
        <v>#REF!</v>
      </c>
      <c r="AG76" s="162" t="e">
        <f t="shared" si="289"/>
        <v>#REF!</v>
      </c>
      <c r="AH76" s="162" t="e">
        <f t="shared" si="289"/>
        <v>#REF!</v>
      </c>
      <c r="AI76" s="162" t="e">
        <f t="shared" ref="AI76" si="290">AVERAGE(AB141:AI141)</f>
        <v>#REF!</v>
      </c>
      <c r="AJ76" s="162" t="e">
        <f t="shared" ref="AJ76:AO76" si="291">AJ141</f>
        <v>#REF!</v>
      </c>
      <c r="AK76" s="162" t="e">
        <f t="shared" si="291"/>
        <v>#REF!</v>
      </c>
      <c r="AL76" s="162" t="e">
        <f t="shared" si="291"/>
        <v>#REF!</v>
      </c>
      <c r="AM76" s="162" t="e">
        <f t="shared" si="291"/>
        <v>#REF!</v>
      </c>
      <c r="AN76" s="162" t="e">
        <f t="shared" si="291"/>
        <v>#REF!</v>
      </c>
      <c r="AO76" s="162" t="e">
        <f t="shared" si="291"/>
        <v>#REF!</v>
      </c>
      <c r="AP76" s="162" t="e">
        <f>AVERAGE(AI141:AP141)</f>
        <v>#REF!</v>
      </c>
      <c r="AQ76" s="162" t="e">
        <f t="shared" ref="AQ76:AV76" si="292">AQ141</f>
        <v>#REF!</v>
      </c>
      <c r="AR76" s="162" t="e">
        <f t="shared" si="292"/>
        <v>#REF!</v>
      </c>
      <c r="AS76" s="162" t="e">
        <f t="shared" si="292"/>
        <v>#REF!</v>
      </c>
      <c r="AT76" s="162" t="e">
        <f t="shared" si="292"/>
        <v>#REF!</v>
      </c>
      <c r="AU76" s="162" t="e">
        <f t="shared" si="292"/>
        <v>#REF!</v>
      </c>
      <c r="AV76" s="162" t="e">
        <f t="shared" si="292"/>
        <v>#REF!</v>
      </c>
      <c r="AW76" s="162" t="e">
        <f>AVERAGE(AP141:AW141)</f>
        <v>#REF!</v>
      </c>
      <c r="AX76" s="162" t="e">
        <f t="shared" ref="AX76:BD76" si="293">AX141</f>
        <v>#REF!</v>
      </c>
      <c r="AY76" s="162" t="e">
        <f t="shared" si="293"/>
        <v>#REF!</v>
      </c>
      <c r="AZ76" s="162" t="e">
        <f t="shared" si="293"/>
        <v>#REF!</v>
      </c>
      <c r="BA76" s="162" t="e">
        <f t="shared" si="293"/>
        <v>#REF!</v>
      </c>
      <c r="BB76" s="162" t="e">
        <f t="shared" si="293"/>
        <v>#REF!</v>
      </c>
      <c r="BC76" s="162" t="e">
        <f t="shared" si="293"/>
        <v>#REF!</v>
      </c>
      <c r="BD76" s="162" t="e">
        <f t="shared" si="293"/>
        <v>#REF!</v>
      </c>
      <c r="BE76" s="162" t="e">
        <f t="shared" ref="BE76:BK76" si="294">BE141</f>
        <v>#REF!</v>
      </c>
      <c r="BF76" s="162" t="e">
        <f t="shared" si="294"/>
        <v>#REF!</v>
      </c>
      <c r="BG76" s="162" t="e">
        <f t="shared" si="294"/>
        <v>#REF!</v>
      </c>
      <c r="BH76" s="162" t="e">
        <f t="shared" si="294"/>
        <v>#REF!</v>
      </c>
      <c r="BI76" s="162" t="e">
        <f t="shared" si="294"/>
        <v>#REF!</v>
      </c>
      <c r="BJ76" s="162" t="e">
        <f t="shared" si="294"/>
        <v>#REF!</v>
      </c>
      <c r="BK76" s="162" t="e">
        <f t="shared" si="294"/>
        <v>#REF!</v>
      </c>
      <c r="BL76" s="162" t="e">
        <f>AVERAGE(BK141:BL141)</f>
        <v>#REF!</v>
      </c>
      <c r="BM76" s="162" t="e">
        <f t="shared" ref="BM76:BR76" si="295">AVERAGE(BL141:BM141)</f>
        <v>#REF!</v>
      </c>
      <c r="BN76" s="162" t="e">
        <f t="shared" si="295"/>
        <v>#REF!</v>
      </c>
      <c r="BO76" s="162" t="e">
        <f t="shared" si="295"/>
        <v>#REF!</v>
      </c>
      <c r="BP76" s="162" t="e">
        <f t="shared" si="295"/>
        <v>#REF!</v>
      </c>
      <c r="BQ76" s="162" t="e">
        <f t="shared" si="295"/>
        <v>#REF!</v>
      </c>
      <c r="BR76" s="162" t="e">
        <f t="shared" si="295"/>
        <v>#REF!</v>
      </c>
      <c r="BT76" s="121"/>
    </row>
    <row r="77" spans="1:72" ht="13.8">
      <c r="A77" s="177"/>
      <c r="B77" s="307" t="s">
        <v>408</v>
      </c>
      <c r="C77" s="117"/>
      <c r="D77" s="301" t="e">
        <f t="shared" ref="D77:T77" si="296">365/(D$7/D76)</f>
        <v>#REF!</v>
      </c>
      <c r="E77" s="301" t="e">
        <f t="shared" si="296"/>
        <v>#REF!</v>
      </c>
      <c r="F77" s="301" t="e">
        <f t="shared" si="296"/>
        <v>#REF!</v>
      </c>
      <c r="G77" s="301" t="e">
        <f t="shared" si="296"/>
        <v>#REF!</v>
      </c>
      <c r="H77" s="301" t="e">
        <f t="shared" si="296"/>
        <v>#REF!</v>
      </c>
      <c r="I77" s="301" t="e">
        <f t="shared" si="296"/>
        <v>#REF!</v>
      </c>
      <c r="J77" s="301" t="e">
        <f t="shared" si="296"/>
        <v>#REF!</v>
      </c>
      <c r="K77" s="301" t="e">
        <f t="shared" si="296"/>
        <v>#REF!</v>
      </c>
      <c r="L77" s="301" t="e">
        <f t="shared" si="296"/>
        <v>#REF!</v>
      </c>
      <c r="M77" s="301" t="e">
        <f t="shared" si="296"/>
        <v>#REF!</v>
      </c>
      <c r="N77" s="301" t="e">
        <f t="shared" si="296"/>
        <v>#REF!</v>
      </c>
      <c r="O77" s="301" t="e">
        <f t="shared" si="296"/>
        <v>#REF!</v>
      </c>
      <c r="P77" s="301" t="e">
        <f t="shared" si="296"/>
        <v>#REF!</v>
      </c>
      <c r="Q77" s="301" t="e">
        <f t="shared" si="296"/>
        <v>#REF!</v>
      </c>
      <c r="R77" s="301" t="e">
        <f t="shared" si="296"/>
        <v>#REF!</v>
      </c>
      <c r="S77" s="301" t="e">
        <f t="shared" si="296"/>
        <v>#REF!</v>
      </c>
      <c r="T77" s="301" t="e">
        <f t="shared" si="296"/>
        <v>#REF!</v>
      </c>
      <c r="U77" s="301" t="e">
        <f>365/(U$7/U76)</f>
        <v>#REF!</v>
      </c>
      <c r="V77" s="334" t="e">
        <f>365/(V$7/V76)/4</f>
        <v>#REF!</v>
      </c>
      <c r="W77" s="301" t="e">
        <f>365/(W$7/W76)/4</f>
        <v>#REF!</v>
      </c>
      <c r="X77" s="301" t="e">
        <f>365/(X$7/X76)/2</f>
        <v>#REF!</v>
      </c>
      <c r="Y77" s="301" t="e">
        <f>365/(Y$7/Y76)/4</f>
        <v>#REF!</v>
      </c>
      <c r="Z77" s="301" t="e">
        <f>365/(Z$7/Z76)/4</f>
        <v>#REF!</v>
      </c>
      <c r="AA77" s="301" t="e">
        <f>365/(AA$7/AA76)/2</f>
        <v>#REF!</v>
      </c>
      <c r="AB77" s="301" t="e">
        <f>365/(AB$7/AB76)</f>
        <v>#REF!</v>
      </c>
      <c r="AC77" s="334" t="e">
        <f>365/(AC$7/AC76)/4</f>
        <v>#REF!</v>
      </c>
      <c r="AD77" s="301" t="e">
        <f>365/(AD$7/AD76)/4</f>
        <v>#REF!</v>
      </c>
      <c r="AE77" s="301" t="e">
        <f>365/(AE$7/AE76)/2</f>
        <v>#REF!</v>
      </c>
      <c r="AF77" s="301" t="e">
        <f>365/(AF$7/AF76)/4</f>
        <v>#REF!</v>
      </c>
      <c r="AG77" s="301" t="e">
        <f>365/(AG$7/AG76)/4</f>
        <v>#REF!</v>
      </c>
      <c r="AH77" s="301" t="e">
        <f>365/(AH$7/AH76)/2</f>
        <v>#REF!</v>
      </c>
      <c r="AI77" s="301" t="e">
        <f t="shared" ref="AI77:AW77" si="297">365/(AI$7/AI76)</f>
        <v>#REF!</v>
      </c>
      <c r="AJ77" s="334" t="e">
        <f>365/(AJ$7/AJ76)/4</f>
        <v>#REF!</v>
      </c>
      <c r="AK77" s="301" t="e">
        <f>365/(AK$7/AK76)/4</f>
        <v>#REF!</v>
      </c>
      <c r="AL77" s="301" t="e">
        <f>365/(AL$7/AL76)/2</f>
        <v>#REF!</v>
      </c>
      <c r="AM77" s="301" t="e">
        <f>365/(AM$7/AM76)/4</f>
        <v>#REF!</v>
      </c>
      <c r="AN77" s="301" t="e">
        <f>365/(AN$7/AN76)/4</f>
        <v>#REF!</v>
      </c>
      <c r="AO77" s="301" t="e">
        <f>365/(AO$7/AO76)/2</f>
        <v>#REF!</v>
      </c>
      <c r="AP77" s="301" t="e">
        <f t="shared" si="297"/>
        <v>#REF!</v>
      </c>
      <c r="AQ77" s="334" t="e">
        <f>365/(AQ$7/AQ76)/4</f>
        <v>#REF!</v>
      </c>
      <c r="AR77" s="301" t="e">
        <f>365/(AR$7/AR76)/4</f>
        <v>#REF!</v>
      </c>
      <c r="AS77" s="301" t="e">
        <f>365/(AS$7/AS76)/2</f>
        <v>#REF!</v>
      </c>
      <c r="AT77" s="301" t="e">
        <f>365/(AT$7/AT76)/4</f>
        <v>#REF!</v>
      </c>
      <c r="AU77" s="301" t="e">
        <f>365/(AU$7/AU76)/4</f>
        <v>#REF!</v>
      </c>
      <c r="AV77" s="301" t="e">
        <f>365/(AV$7/AV76)/2</f>
        <v>#REF!</v>
      </c>
      <c r="AW77" s="301" t="e">
        <f t="shared" si="297"/>
        <v>#REF!</v>
      </c>
      <c r="AX77" s="334" t="e">
        <f>365/(AX$7/AX76)/4</f>
        <v>#REF!</v>
      </c>
      <c r="AY77" s="301" t="e">
        <f>365/(AY$7/AY76)/4</f>
        <v>#REF!</v>
      </c>
      <c r="AZ77" s="301" t="e">
        <f>365/(AZ$7/AZ76)/2</f>
        <v>#REF!</v>
      </c>
      <c r="BA77" s="301" t="e">
        <f>365/(BA$7/BA76)/4</f>
        <v>#REF!</v>
      </c>
      <c r="BB77" s="301" t="e">
        <f>365/(BB$7/BB76)/4</f>
        <v>#REF!</v>
      </c>
      <c r="BC77" s="301" t="e">
        <f>365/(BC$7/BC76)/2</f>
        <v>#REF!</v>
      </c>
      <c r="BD77" s="377" t="e">
        <f>365/(BD$7/BD76)</f>
        <v>#REF!</v>
      </c>
      <c r="BE77" s="334" t="e">
        <f>365/(BE$7/BE76)/4</f>
        <v>#REF!</v>
      </c>
      <c r="BF77" s="301" t="e">
        <f>365/(BF$7/BF76)/4</f>
        <v>#REF!</v>
      </c>
      <c r="BG77" s="301" t="e">
        <f>365/(BG$7/BG76)/2</f>
        <v>#REF!</v>
      </c>
      <c r="BH77" s="301" t="e">
        <f>365/(BH$7/BH76)/4</f>
        <v>#REF!</v>
      </c>
      <c r="BI77" s="301" t="e">
        <f>365/(BI$7/BI76)/4</f>
        <v>#REF!</v>
      </c>
      <c r="BJ77" s="301" t="e">
        <f>365/(BJ$7/BJ76)/2</f>
        <v>#REF!</v>
      </c>
      <c r="BK77" s="377" t="e">
        <f>365/(BK$7/BK76)</f>
        <v>#REF!</v>
      </c>
      <c r="BL77" s="301" t="e">
        <f t="shared" ref="BL77" si="298">365/(BL$7/BL76)</f>
        <v>#REF!</v>
      </c>
      <c r="BM77" s="301" t="e">
        <f t="shared" ref="BM77" si="299">365/(BM$7/BM76)</f>
        <v>#REF!</v>
      </c>
      <c r="BN77" s="301" t="e">
        <f t="shared" ref="BN77" si="300">365/(BN$7/BN76)</f>
        <v>#REF!</v>
      </c>
      <c r="BO77" s="301" t="e">
        <f t="shared" ref="BO77" si="301">365/(BO$7/BO76)</f>
        <v>#REF!</v>
      </c>
      <c r="BP77" s="301" t="e">
        <f t="shared" ref="BP77" si="302">365/(BP$7/BP76)</f>
        <v>#REF!</v>
      </c>
      <c r="BQ77" s="301" t="e">
        <f t="shared" ref="BQ77" si="303">365/(BQ$7/BQ76)</f>
        <v>#REF!</v>
      </c>
      <c r="BR77" s="301" t="e">
        <f t="shared" ref="BR77" si="304">365/(BR$7/BR76)</f>
        <v>#REF!</v>
      </c>
      <c r="BT77" s="121"/>
    </row>
    <row r="78" spans="1:72" ht="13.8">
      <c r="A78" s="177"/>
      <c r="B78" s="307"/>
      <c r="C78" s="117"/>
      <c r="D78" s="162"/>
      <c r="E78" s="162"/>
      <c r="F78" s="162"/>
      <c r="G78" s="162"/>
      <c r="H78" s="162"/>
      <c r="I78" s="162"/>
      <c r="J78" s="162"/>
      <c r="K78" s="162"/>
      <c r="L78" s="162"/>
      <c r="M78" s="162"/>
      <c r="N78" s="162"/>
      <c r="O78" s="162"/>
      <c r="P78" s="162"/>
      <c r="Q78" s="162"/>
      <c r="R78" s="162"/>
      <c r="S78" s="162"/>
      <c r="T78" s="162"/>
      <c r="U78" s="162"/>
      <c r="V78" s="333"/>
      <c r="W78" s="162"/>
      <c r="X78" s="162"/>
      <c r="Y78" s="162"/>
      <c r="Z78" s="162"/>
      <c r="AA78" s="162"/>
      <c r="AB78" s="162"/>
      <c r="AC78" s="333"/>
      <c r="AD78" s="162"/>
      <c r="AE78" s="162"/>
      <c r="AF78" s="162"/>
      <c r="AG78" s="162"/>
      <c r="AH78" s="162"/>
      <c r="AI78" s="162"/>
      <c r="AJ78" s="333"/>
      <c r="AK78" s="162"/>
      <c r="AL78" s="162"/>
      <c r="AM78" s="162"/>
      <c r="AN78" s="162"/>
      <c r="AO78" s="162"/>
      <c r="AP78" s="162"/>
      <c r="AQ78" s="333"/>
      <c r="AR78" s="162"/>
      <c r="AS78" s="162"/>
      <c r="AT78" s="162"/>
      <c r="AU78" s="162"/>
      <c r="AV78" s="162"/>
      <c r="AW78" s="162"/>
      <c r="AX78" s="333"/>
      <c r="AY78" s="162"/>
      <c r="AZ78" s="162"/>
      <c r="BA78" s="162"/>
      <c r="BB78" s="162"/>
      <c r="BC78" s="162"/>
      <c r="BD78" s="376"/>
      <c r="BE78" s="333"/>
      <c r="BF78" s="162"/>
      <c r="BG78" s="162"/>
      <c r="BH78" s="162"/>
      <c r="BI78" s="162"/>
      <c r="BJ78" s="162"/>
      <c r="BK78" s="376"/>
      <c r="BL78" s="162"/>
      <c r="BM78" s="162"/>
      <c r="BN78" s="162"/>
      <c r="BO78" s="162"/>
      <c r="BP78" s="162"/>
      <c r="BQ78" s="162"/>
      <c r="BR78" s="162"/>
      <c r="BT78" s="121"/>
    </row>
    <row r="79" spans="1:72" ht="14.1">
      <c r="A79" s="177"/>
      <c r="B79" s="308" t="s">
        <v>390</v>
      </c>
      <c r="C79" s="117"/>
      <c r="D79" s="162" t="e">
        <f t="shared" ref="D79:T79" si="305">D70+D73+D76</f>
        <v>#REF!</v>
      </c>
      <c r="E79" s="162" t="e">
        <f t="shared" si="305"/>
        <v>#REF!</v>
      </c>
      <c r="F79" s="162" t="e">
        <f t="shared" si="305"/>
        <v>#REF!</v>
      </c>
      <c r="G79" s="162" t="e">
        <f t="shared" si="305"/>
        <v>#REF!</v>
      </c>
      <c r="H79" s="162" t="e">
        <f t="shared" si="305"/>
        <v>#REF!</v>
      </c>
      <c r="I79" s="162" t="e">
        <f t="shared" si="305"/>
        <v>#REF!</v>
      </c>
      <c r="J79" s="162" t="e">
        <f t="shared" si="305"/>
        <v>#REF!</v>
      </c>
      <c r="K79" s="162" t="e">
        <f t="shared" si="305"/>
        <v>#REF!</v>
      </c>
      <c r="L79" s="162" t="e">
        <f t="shared" si="305"/>
        <v>#REF!</v>
      </c>
      <c r="M79" s="162" t="e">
        <f t="shared" si="305"/>
        <v>#REF!</v>
      </c>
      <c r="N79" s="162" t="e">
        <f t="shared" si="305"/>
        <v>#REF!</v>
      </c>
      <c r="O79" s="162" t="e">
        <f t="shared" si="305"/>
        <v>#REF!</v>
      </c>
      <c r="P79" s="162" t="e">
        <f t="shared" si="305"/>
        <v>#REF!</v>
      </c>
      <c r="Q79" s="162" t="e">
        <f t="shared" si="305"/>
        <v>#REF!</v>
      </c>
      <c r="R79" s="162" t="e">
        <f t="shared" si="305"/>
        <v>#REF!</v>
      </c>
      <c r="S79" s="162" t="e">
        <f t="shared" si="305"/>
        <v>#REF!</v>
      </c>
      <c r="T79" s="162" t="e">
        <f t="shared" si="305"/>
        <v>#REF!</v>
      </c>
      <c r="U79" s="162" t="e">
        <f>U70+U73+U76</f>
        <v>#REF!</v>
      </c>
      <c r="V79" s="333" t="e">
        <f t="shared" ref="V79:AA79" si="306">V70+V73+V76</f>
        <v>#REF!</v>
      </c>
      <c r="W79" s="162" t="e">
        <f t="shared" si="306"/>
        <v>#REF!</v>
      </c>
      <c r="X79" s="162" t="e">
        <f t="shared" si="306"/>
        <v>#REF!</v>
      </c>
      <c r="Y79" s="162" t="e">
        <f t="shared" si="306"/>
        <v>#REF!</v>
      </c>
      <c r="Z79" s="162" t="e">
        <f t="shared" si="306"/>
        <v>#REF!</v>
      </c>
      <c r="AA79" s="162" t="e">
        <f t="shared" si="306"/>
        <v>#REF!</v>
      </c>
      <c r="AB79" s="162" t="e">
        <f>AB70+AB73+AB76</f>
        <v>#REF!</v>
      </c>
      <c r="AC79" s="333" t="e">
        <f t="shared" ref="AC79:AH79" si="307">AC70+AC73+AC76</f>
        <v>#REF!</v>
      </c>
      <c r="AD79" s="162" t="e">
        <f t="shared" si="307"/>
        <v>#REF!</v>
      </c>
      <c r="AE79" s="162" t="e">
        <f t="shared" si="307"/>
        <v>#REF!</v>
      </c>
      <c r="AF79" s="162" t="e">
        <f t="shared" si="307"/>
        <v>#REF!</v>
      </c>
      <c r="AG79" s="162" t="e">
        <f t="shared" si="307"/>
        <v>#REF!</v>
      </c>
      <c r="AH79" s="162" t="e">
        <f t="shared" si="307"/>
        <v>#REF!</v>
      </c>
      <c r="AI79" s="162" t="e">
        <f t="shared" ref="AI79:BD79" si="308">AI70+AI73+AI76</f>
        <v>#REF!</v>
      </c>
      <c r="AJ79" s="333" t="e">
        <f t="shared" ref="AJ79:AO79" si="309">AJ70+AJ73+AJ76</f>
        <v>#REF!</v>
      </c>
      <c r="AK79" s="162" t="e">
        <f t="shared" si="309"/>
        <v>#REF!</v>
      </c>
      <c r="AL79" s="162" t="e">
        <f t="shared" si="309"/>
        <v>#REF!</v>
      </c>
      <c r="AM79" s="162" t="e">
        <f t="shared" si="309"/>
        <v>#REF!</v>
      </c>
      <c r="AN79" s="162" t="e">
        <f t="shared" si="309"/>
        <v>#REF!</v>
      </c>
      <c r="AO79" s="162" t="e">
        <f t="shared" si="309"/>
        <v>#REF!</v>
      </c>
      <c r="AP79" s="162" t="e">
        <f t="shared" si="308"/>
        <v>#REF!</v>
      </c>
      <c r="AQ79" s="333" t="e">
        <f t="shared" ref="AQ79:AV79" si="310">AQ70+AQ73+AQ76</f>
        <v>#REF!</v>
      </c>
      <c r="AR79" s="162" t="e">
        <f t="shared" si="310"/>
        <v>#REF!</v>
      </c>
      <c r="AS79" s="162" t="e">
        <f t="shared" si="310"/>
        <v>#REF!</v>
      </c>
      <c r="AT79" s="162" t="e">
        <f t="shared" si="310"/>
        <v>#REF!</v>
      </c>
      <c r="AU79" s="162" t="e">
        <f t="shared" si="310"/>
        <v>#REF!</v>
      </c>
      <c r="AV79" s="162" t="e">
        <f t="shared" si="310"/>
        <v>#REF!</v>
      </c>
      <c r="AW79" s="162" t="e">
        <f t="shared" si="308"/>
        <v>#REF!</v>
      </c>
      <c r="AX79" s="333" t="e">
        <f t="shared" si="308"/>
        <v>#REF!</v>
      </c>
      <c r="AY79" s="162" t="e">
        <f t="shared" ref="AY79:AZ79" si="311">AY70+AY73+AY76</f>
        <v>#REF!</v>
      </c>
      <c r="AZ79" s="162" t="e">
        <f t="shared" si="311"/>
        <v>#REF!</v>
      </c>
      <c r="BA79" s="162" t="e">
        <f t="shared" ref="BA79:BC79" si="312">BA70+BA73+BA76</f>
        <v>#REF!</v>
      </c>
      <c r="BB79" s="162" t="e">
        <f t="shared" si="312"/>
        <v>#REF!</v>
      </c>
      <c r="BC79" s="162" t="e">
        <f t="shared" si="312"/>
        <v>#REF!</v>
      </c>
      <c r="BD79" s="376" t="e">
        <f t="shared" si="308"/>
        <v>#REF!</v>
      </c>
      <c r="BE79" s="333" t="e">
        <f t="shared" ref="BE79:BK80" si="313">BE70+BE73+BE76</f>
        <v>#REF!</v>
      </c>
      <c r="BF79" s="162" t="e">
        <f t="shared" si="313"/>
        <v>#REF!</v>
      </c>
      <c r="BG79" s="162" t="e">
        <f t="shared" si="313"/>
        <v>#REF!</v>
      </c>
      <c r="BH79" s="162" t="e">
        <f t="shared" si="313"/>
        <v>#REF!</v>
      </c>
      <c r="BI79" s="162" t="e">
        <f t="shared" si="313"/>
        <v>#REF!</v>
      </c>
      <c r="BJ79" s="162" t="e">
        <f t="shared" si="313"/>
        <v>#REF!</v>
      </c>
      <c r="BK79" s="376" t="e">
        <f t="shared" si="313"/>
        <v>#REF!</v>
      </c>
      <c r="BL79" s="162" t="e">
        <f t="shared" ref="BL79:BR79" si="314">BL70+BL73+BL76</f>
        <v>#REF!</v>
      </c>
      <c r="BM79" s="162" t="e">
        <f t="shared" si="314"/>
        <v>#REF!</v>
      </c>
      <c r="BN79" s="162" t="e">
        <f t="shared" si="314"/>
        <v>#REF!</v>
      </c>
      <c r="BO79" s="162" t="e">
        <f t="shared" si="314"/>
        <v>#REF!</v>
      </c>
      <c r="BP79" s="162" t="e">
        <f t="shared" si="314"/>
        <v>#REF!</v>
      </c>
      <c r="BQ79" s="162" t="e">
        <f t="shared" si="314"/>
        <v>#REF!</v>
      </c>
      <c r="BR79" s="162" t="e">
        <f t="shared" si="314"/>
        <v>#REF!</v>
      </c>
      <c r="BT79" s="121"/>
    </row>
    <row r="80" spans="1:72" ht="13.8">
      <c r="A80" s="177"/>
      <c r="B80" s="309" t="s">
        <v>409</v>
      </c>
      <c r="C80" s="117"/>
      <c r="D80" s="301" t="e">
        <f t="shared" ref="D80:T80" si="315">D71+D74+D77</f>
        <v>#REF!</v>
      </c>
      <c r="E80" s="301" t="e">
        <f t="shared" si="315"/>
        <v>#REF!</v>
      </c>
      <c r="F80" s="301" t="e">
        <f t="shared" si="315"/>
        <v>#REF!</v>
      </c>
      <c r="G80" s="301" t="e">
        <f t="shared" si="315"/>
        <v>#REF!</v>
      </c>
      <c r="H80" s="301" t="e">
        <f t="shared" si="315"/>
        <v>#REF!</v>
      </c>
      <c r="I80" s="301" t="e">
        <f t="shared" si="315"/>
        <v>#REF!</v>
      </c>
      <c r="J80" s="301" t="e">
        <f t="shared" si="315"/>
        <v>#REF!</v>
      </c>
      <c r="K80" s="301" t="e">
        <f t="shared" si="315"/>
        <v>#REF!</v>
      </c>
      <c r="L80" s="301" t="e">
        <f t="shared" si="315"/>
        <v>#REF!</v>
      </c>
      <c r="M80" s="301" t="e">
        <f t="shared" si="315"/>
        <v>#REF!</v>
      </c>
      <c r="N80" s="301" t="e">
        <f t="shared" si="315"/>
        <v>#REF!</v>
      </c>
      <c r="O80" s="301" t="e">
        <f t="shared" si="315"/>
        <v>#REF!</v>
      </c>
      <c r="P80" s="301" t="e">
        <f t="shared" si="315"/>
        <v>#REF!</v>
      </c>
      <c r="Q80" s="301" t="e">
        <f t="shared" si="315"/>
        <v>#REF!</v>
      </c>
      <c r="R80" s="301" t="e">
        <f t="shared" si="315"/>
        <v>#REF!</v>
      </c>
      <c r="S80" s="301" t="e">
        <f t="shared" si="315"/>
        <v>#REF!</v>
      </c>
      <c r="T80" s="301" t="e">
        <f t="shared" si="315"/>
        <v>#REF!</v>
      </c>
      <c r="U80" s="301" t="e">
        <f>U71+U74+U77</f>
        <v>#REF!</v>
      </c>
      <c r="V80" s="334" t="e">
        <f t="shared" ref="V80:W80" si="316">V71+V74+V77</f>
        <v>#REF!</v>
      </c>
      <c r="W80" s="301" t="e">
        <f t="shared" si="316"/>
        <v>#REF!</v>
      </c>
      <c r="X80" s="301" t="e">
        <f>X71+X74+X77</f>
        <v>#REF!</v>
      </c>
      <c r="Y80" s="301" t="e">
        <f t="shared" ref="Y80:Z80" si="317">Y71+Y74+Y77</f>
        <v>#REF!</v>
      </c>
      <c r="Z80" s="301" t="e">
        <f t="shared" si="317"/>
        <v>#REF!</v>
      </c>
      <c r="AA80" s="301" t="e">
        <f>AA71+AA74+AA77</f>
        <v>#REF!</v>
      </c>
      <c r="AB80" s="301" t="e">
        <f>AB71+AB74+AB77</f>
        <v>#REF!</v>
      </c>
      <c r="AC80" s="334" t="e">
        <f t="shared" ref="AC80:AD80" si="318">AC71+AC74+AC77</f>
        <v>#REF!</v>
      </c>
      <c r="AD80" s="301" t="e">
        <f t="shared" si="318"/>
        <v>#REF!</v>
      </c>
      <c r="AE80" s="301" t="e">
        <f>AE71+AE74+AE77</f>
        <v>#REF!</v>
      </c>
      <c r="AF80" s="301" t="e">
        <f t="shared" ref="AF80:AG80" si="319">AF71+AF74+AF77</f>
        <v>#REF!</v>
      </c>
      <c r="AG80" s="301" t="e">
        <f t="shared" si="319"/>
        <v>#REF!</v>
      </c>
      <c r="AH80" s="301" t="e">
        <f>AH71+AH74+AH77</f>
        <v>#REF!</v>
      </c>
      <c r="AI80" s="301" t="e">
        <f t="shared" ref="AI80:BD80" si="320">AI71+AI74+AI77</f>
        <v>#REF!</v>
      </c>
      <c r="AJ80" s="334" t="e">
        <f t="shared" ref="AJ80:AK80" si="321">AJ71+AJ74+AJ77</f>
        <v>#REF!</v>
      </c>
      <c r="AK80" s="301" t="e">
        <f t="shared" si="321"/>
        <v>#REF!</v>
      </c>
      <c r="AL80" s="301" t="e">
        <f>AL71+AL74+AL77</f>
        <v>#REF!</v>
      </c>
      <c r="AM80" s="301" t="e">
        <f t="shared" ref="AM80:AN80" si="322">AM71+AM74+AM77</f>
        <v>#REF!</v>
      </c>
      <c r="AN80" s="301" t="e">
        <f t="shared" si="322"/>
        <v>#REF!</v>
      </c>
      <c r="AO80" s="301" t="e">
        <f>AO71+AO74+AO77</f>
        <v>#REF!</v>
      </c>
      <c r="AP80" s="301" t="e">
        <f t="shared" si="320"/>
        <v>#REF!</v>
      </c>
      <c r="AQ80" s="334" t="e">
        <f t="shared" ref="AQ80:AR80" si="323">AQ71+AQ74+AQ77</f>
        <v>#REF!</v>
      </c>
      <c r="AR80" s="301" t="e">
        <f t="shared" si="323"/>
        <v>#REF!</v>
      </c>
      <c r="AS80" s="301" t="e">
        <f>AS71+AS74+AS77</f>
        <v>#REF!</v>
      </c>
      <c r="AT80" s="301" t="e">
        <f t="shared" ref="AT80:AU80" si="324">AT71+AT74+AT77</f>
        <v>#REF!</v>
      </c>
      <c r="AU80" s="301" t="e">
        <f t="shared" si="324"/>
        <v>#REF!</v>
      </c>
      <c r="AV80" s="301" t="e">
        <f>AV71+AV74+AV77</f>
        <v>#REF!</v>
      </c>
      <c r="AW80" s="301" t="e">
        <f t="shared" si="320"/>
        <v>#REF!</v>
      </c>
      <c r="AX80" s="334" t="e">
        <f t="shared" si="320"/>
        <v>#REF!</v>
      </c>
      <c r="AY80" s="301" t="e">
        <f t="shared" ref="AY80" si="325">AY71+AY74+AY77</f>
        <v>#REF!</v>
      </c>
      <c r="AZ80" s="301" t="e">
        <f>AZ71+AZ74+AZ77</f>
        <v>#REF!</v>
      </c>
      <c r="BA80" s="301" t="e">
        <f t="shared" ref="BA80:BB80" si="326">BA71+BA74+BA77</f>
        <v>#REF!</v>
      </c>
      <c r="BB80" s="301" t="e">
        <f t="shared" si="326"/>
        <v>#REF!</v>
      </c>
      <c r="BC80" s="301" t="e">
        <f>BC71+BC74+BC77</f>
        <v>#REF!</v>
      </c>
      <c r="BD80" s="377" t="e">
        <f t="shared" si="320"/>
        <v>#REF!</v>
      </c>
      <c r="BE80" s="334" t="e">
        <f t="shared" ref="BE80" si="327">BE71+BE74+BE77</f>
        <v>#REF!</v>
      </c>
      <c r="BF80" s="301" t="e">
        <f t="shared" si="313"/>
        <v>#REF!</v>
      </c>
      <c r="BG80" s="301" t="e">
        <f>BG71+BG74+BG77</f>
        <v>#REF!</v>
      </c>
      <c r="BH80" s="301" t="e">
        <f t="shared" ref="BH80:BI80" si="328">BH71+BH74+BH77</f>
        <v>#REF!</v>
      </c>
      <c r="BI80" s="301" t="e">
        <f t="shared" si="328"/>
        <v>#REF!</v>
      </c>
      <c r="BJ80" s="301" t="e">
        <f>BJ71+BJ74+BJ77</f>
        <v>#REF!</v>
      </c>
      <c r="BK80" s="377" t="e">
        <f t="shared" ref="BK80" si="329">BK71+BK74+BK77</f>
        <v>#REF!</v>
      </c>
      <c r="BL80" s="301" t="e">
        <f t="shared" ref="BL80:BR80" si="330">BL71+BL74+BL77</f>
        <v>#REF!</v>
      </c>
      <c r="BM80" s="301" t="e">
        <f t="shared" si="330"/>
        <v>#REF!</v>
      </c>
      <c r="BN80" s="301" t="e">
        <f t="shared" si="330"/>
        <v>#REF!</v>
      </c>
      <c r="BO80" s="301" t="e">
        <f t="shared" si="330"/>
        <v>#REF!</v>
      </c>
      <c r="BP80" s="301" t="e">
        <f t="shared" si="330"/>
        <v>#REF!</v>
      </c>
      <c r="BQ80" s="301" t="e">
        <f t="shared" si="330"/>
        <v>#REF!</v>
      </c>
      <c r="BR80" s="301" t="e">
        <f t="shared" si="330"/>
        <v>#REF!</v>
      </c>
      <c r="BT80" s="121"/>
    </row>
    <row r="81" spans="1:72" ht="13.8">
      <c r="A81" s="177"/>
      <c r="B81" s="179"/>
      <c r="C81" s="117"/>
      <c r="D81" s="162"/>
      <c r="E81" s="162"/>
      <c r="F81" s="162"/>
      <c r="G81" s="162"/>
      <c r="H81" s="162"/>
      <c r="I81" s="162"/>
      <c r="J81" s="162"/>
      <c r="K81" s="162"/>
      <c r="L81" s="162"/>
      <c r="M81" s="162"/>
      <c r="N81" s="162"/>
      <c r="O81" s="162"/>
      <c r="P81" s="162"/>
      <c r="Q81" s="162"/>
      <c r="R81" s="162"/>
      <c r="S81" s="162"/>
      <c r="T81" s="162"/>
      <c r="U81" s="162"/>
      <c r="V81" s="333"/>
      <c r="W81" s="162"/>
      <c r="X81" s="162"/>
      <c r="Y81" s="162"/>
      <c r="Z81" s="162"/>
      <c r="AA81" s="162"/>
      <c r="AB81" s="162"/>
      <c r="AC81" s="333"/>
      <c r="AD81" s="162"/>
      <c r="AE81" s="162"/>
      <c r="AF81" s="162"/>
      <c r="AG81" s="162"/>
      <c r="AH81" s="162"/>
      <c r="AI81" s="162"/>
      <c r="AJ81" s="333"/>
      <c r="AK81" s="162"/>
      <c r="AL81" s="162"/>
      <c r="AM81" s="162"/>
      <c r="AN81" s="162"/>
      <c r="AO81" s="162"/>
      <c r="AP81" s="162"/>
      <c r="AQ81" s="333"/>
      <c r="AR81" s="162"/>
      <c r="AS81" s="162"/>
      <c r="AT81" s="162"/>
      <c r="AU81" s="162"/>
      <c r="AV81" s="162"/>
      <c r="AW81" s="162"/>
      <c r="AX81" s="333"/>
      <c r="AY81" s="162"/>
      <c r="AZ81" s="162"/>
      <c r="BA81" s="162"/>
      <c r="BB81" s="162"/>
      <c r="BC81" s="162"/>
      <c r="BD81" s="376"/>
      <c r="BE81" s="333"/>
      <c r="BF81" s="162"/>
      <c r="BG81" s="162"/>
      <c r="BH81" s="162"/>
      <c r="BI81" s="162"/>
      <c r="BJ81" s="162"/>
      <c r="BK81" s="376"/>
      <c r="BL81" s="162"/>
      <c r="BM81" s="162"/>
      <c r="BN81" s="162"/>
      <c r="BO81" s="162"/>
      <c r="BP81" s="162"/>
      <c r="BQ81" s="162"/>
      <c r="BR81" s="162"/>
      <c r="BT81" s="121"/>
    </row>
    <row r="82" spans="1:72" ht="13.8">
      <c r="A82" s="177"/>
      <c r="B82" s="305" t="s">
        <v>391</v>
      </c>
      <c r="C82" s="117"/>
      <c r="D82" s="162" t="e">
        <f t="shared" ref="D82:T82" si="331">AVERAGE(C202:D202)</f>
        <v>#REF!</v>
      </c>
      <c r="E82" s="162" t="e">
        <f t="shared" si="331"/>
        <v>#REF!</v>
      </c>
      <c r="F82" s="162" t="e">
        <f t="shared" si="331"/>
        <v>#REF!</v>
      </c>
      <c r="G82" s="162" t="e">
        <f t="shared" si="331"/>
        <v>#REF!</v>
      </c>
      <c r="H82" s="162" t="e">
        <f t="shared" si="331"/>
        <v>#REF!</v>
      </c>
      <c r="I82" s="162" t="e">
        <f t="shared" si="331"/>
        <v>#REF!</v>
      </c>
      <c r="J82" s="162" t="e">
        <f t="shared" si="331"/>
        <v>#REF!</v>
      </c>
      <c r="K82" s="162" t="e">
        <f t="shared" si="331"/>
        <v>#REF!</v>
      </c>
      <c r="L82" s="162" t="e">
        <f t="shared" si="331"/>
        <v>#REF!</v>
      </c>
      <c r="M82" s="162" t="e">
        <f t="shared" si="331"/>
        <v>#REF!</v>
      </c>
      <c r="N82" s="162" t="e">
        <f t="shared" si="331"/>
        <v>#REF!</v>
      </c>
      <c r="O82" s="162" t="e">
        <f t="shared" si="331"/>
        <v>#REF!</v>
      </c>
      <c r="P82" s="162" t="e">
        <f t="shared" si="331"/>
        <v>#REF!</v>
      </c>
      <c r="Q82" s="162" t="e">
        <f t="shared" si="331"/>
        <v>#REF!</v>
      </c>
      <c r="R82" s="162" t="e">
        <f t="shared" si="331"/>
        <v>#REF!</v>
      </c>
      <c r="S82" s="162" t="e">
        <f t="shared" si="331"/>
        <v>#REF!</v>
      </c>
      <c r="T82" s="162" t="e">
        <f t="shared" si="331"/>
        <v>#REF!</v>
      </c>
      <c r="U82" s="162" t="e">
        <f>AVERAGE(T202:U202)</f>
        <v>#REF!</v>
      </c>
      <c r="V82" s="333"/>
      <c r="W82" s="162"/>
      <c r="X82" s="162"/>
      <c r="Y82" s="162"/>
      <c r="Z82" s="162"/>
      <c r="AA82" s="162"/>
      <c r="AB82" s="162" t="e">
        <f>AVERAGE(U202:AB202)</f>
        <v>#REF!</v>
      </c>
      <c r="AC82" s="333"/>
      <c r="AD82" s="162"/>
      <c r="AE82" s="162"/>
      <c r="AF82" s="162"/>
      <c r="AG82" s="162"/>
      <c r="AH82" s="162"/>
      <c r="AI82" s="162" t="e">
        <f>AVERAGE(AB202:AI202)</f>
        <v>#REF!</v>
      </c>
      <c r="AJ82" s="333"/>
      <c r="AK82" s="162"/>
      <c r="AL82" s="162"/>
      <c r="AM82" s="162"/>
      <c r="AN82" s="162"/>
      <c r="AO82" s="162"/>
      <c r="AP82" s="162" t="e">
        <f>AVERAGE(AI202:AP202)</f>
        <v>#REF!</v>
      </c>
      <c r="AQ82" s="333"/>
      <c r="AR82" s="162"/>
      <c r="AS82" s="162"/>
      <c r="AT82" s="162"/>
      <c r="AU82" s="162"/>
      <c r="AV82" s="162"/>
      <c r="AW82" s="162"/>
      <c r="AX82" s="333"/>
      <c r="AY82" s="162"/>
      <c r="AZ82" s="162"/>
      <c r="BA82" s="162"/>
      <c r="BB82" s="162"/>
      <c r="BC82" s="162"/>
      <c r="BD82" s="376"/>
      <c r="BE82" s="333"/>
      <c r="BF82" s="162"/>
      <c r="BG82" s="162"/>
      <c r="BH82" s="162"/>
      <c r="BI82" s="162"/>
      <c r="BJ82" s="162"/>
      <c r="BK82" s="376"/>
      <c r="BL82" s="162"/>
      <c r="BM82" s="162"/>
      <c r="BN82" s="162"/>
      <c r="BO82" s="162"/>
      <c r="BP82" s="162"/>
      <c r="BQ82" s="162"/>
      <c r="BR82" s="162"/>
      <c r="BT82" s="121"/>
    </row>
    <row r="83" spans="1:72" ht="13.8">
      <c r="A83" s="177"/>
      <c r="B83" s="310" t="s">
        <v>410</v>
      </c>
      <c r="C83" s="117"/>
      <c r="D83" s="301" t="e">
        <f t="shared" ref="D83:T83" si="332">365/(D$5/D82)</f>
        <v>#REF!</v>
      </c>
      <c r="E83" s="301" t="e">
        <f t="shared" si="332"/>
        <v>#REF!</v>
      </c>
      <c r="F83" s="301" t="e">
        <f t="shared" si="332"/>
        <v>#REF!</v>
      </c>
      <c r="G83" s="301" t="e">
        <f t="shared" si="332"/>
        <v>#REF!</v>
      </c>
      <c r="H83" s="301" t="e">
        <f t="shared" si="332"/>
        <v>#REF!</v>
      </c>
      <c r="I83" s="301" t="e">
        <f t="shared" si="332"/>
        <v>#REF!</v>
      </c>
      <c r="J83" s="301" t="e">
        <f t="shared" si="332"/>
        <v>#REF!</v>
      </c>
      <c r="K83" s="301" t="e">
        <f t="shared" si="332"/>
        <v>#REF!</v>
      </c>
      <c r="L83" s="301" t="e">
        <f t="shared" si="332"/>
        <v>#REF!</v>
      </c>
      <c r="M83" s="301" t="e">
        <f t="shared" si="332"/>
        <v>#REF!</v>
      </c>
      <c r="N83" s="301" t="e">
        <f t="shared" si="332"/>
        <v>#REF!</v>
      </c>
      <c r="O83" s="301" t="e">
        <f t="shared" si="332"/>
        <v>#REF!</v>
      </c>
      <c r="P83" s="301" t="e">
        <f t="shared" si="332"/>
        <v>#REF!</v>
      </c>
      <c r="Q83" s="301" t="e">
        <f t="shared" si="332"/>
        <v>#REF!</v>
      </c>
      <c r="R83" s="301" t="e">
        <f t="shared" si="332"/>
        <v>#REF!</v>
      </c>
      <c r="S83" s="301" t="e">
        <f t="shared" si="332"/>
        <v>#REF!</v>
      </c>
      <c r="T83" s="301" t="e">
        <f t="shared" si="332"/>
        <v>#REF!</v>
      </c>
      <c r="U83" s="301" t="e">
        <f>365/(U$5/U82)</f>
        <v>#REF!</v>
      </c>
      <c r="V83" s="334"/>
      <c r="W83" s="301"/>
      <c r="X83" s="301"/>
      <c r="Y83" s="301"/>
      <c r="Z83" s="301"/>
      <c r="AA83" s="301"/>
      <c r="AB83" s="301" t="e">
        <f>365/(AB$5/AB82)</f>
        <v>#REF!</v>
      </c>
      <c r="AC83" s="334"/>
      <c r="AD83" s="301"/>
      <c r="AE83" s="301"/>
      <c r="AF83" s="301"/>
      <c r="AG83" s="301"/>
      <c r="AH83" s="301"/>
      <c r="AI83" s="301" t="e">
        <f t="shared" ref="AI83:AP83" si="333">365/(AI$5/AI82)</f>
        <v>#REF!</v>
      </c>
      <c r="AJ83" s="334"/>
      <c r="AK83" s="301"/>
      <c r="AL83" s="301"/>
      <c r="AM83" s="301"/>
      <c r="AN83" s="301"/>
      <c r="AO83" s="301"/>
      <c r="AP83" s="301" t="e">
        <f t="shared" si="333"/>
        <v>#REF!</v>
      </c>
      <c r="AQ83" s="334"/>
      <c r="AR83" s="301"/>
      <c r="AS83" s="301"/>
      <c r="AT83" s="301"/>
      <c r="AU83" s="301"/>
      <c r="AV83" s="301"/>
      <c r="AW83" s="301"/>
      <c r="AX83" s="334"/>
      <c r="AY83" s="301"/>
      <c r="AZ83" s="301"/>
      <c r="BA83" s="301"/>
      <c r="BB83" s="301"/>
      <c r="BC83" s="301"/>
      <c r="BD83" s="377"/>
      <c r="BE83" s="334"/>
      <c r="BF83" s="301"/>
      <c r="BG83" s="301"/>
      <c r="BH83" s="301"/>
      <c r="BI83" s="301"/>
      <c r="BJ83" s="301"/>
      <c r="BK83" s="377"/>
      <c r="BL83" s="301"/>
      <c r="BM83" s="301"/>
      <c r="BN83" s="301"/>
      <c r="BO83" s="301"/>
      <c r="BP83" s="301"/>
      <c r="BQ83" s="301"/>
      <c r="BR83" s="301"/>
      <c r="BT83" s="121"/>
    </row>
    <row r="84" spans="1:72" ht="13.8">
      <c r="A84" s="177"/>
      <c r="B84" s="305"/>
      <c r="C84" s="117"/>
      <c r="D84" s="162"/>
      <c r="E84" s="162"/>
      <c r="F84" s="162"/>
      <c r="G84" s="162"/>
      <c r="H84" s="162"/>
      <c r="I84" s="162"/>
      <c r="J84" s="162"/>
      <c r="K84" s="162"/>
      <c r="L84" s="162"/>
      <c r="M84" s="162"/>
      <c r="N84" s="162"/>
      <c r="O84" s="162"/>
      <c r="P84" s="162"/>
      <c r="Q84" s="162"/>
      <c r="R84" s="162"/>
      <c r="S84" s="162"/>
      <c r="T84" s="162"/>
      <c r="U84" s="162"/>
      <c r="V84" s="333"/>
      <c r="W84" s="162"/>
      <c r="X84" s="162"/>
      <c r="Y84" s="162"/>
      <c r="Z84" s="162"/>
      <c r="AA84" s="162"/>
      <c r="AB84" s="162"/>
      <c r="AC84" s="333"/>
      <c r="AD84" s="162"/>
      <c r="AE84" s="162"/>
      <c r="AF84" s="162"/>
      <c r="AG84" s="162"/>
      <c r="AH84" s="162"/>
      <c r="AI84" s="162"/>
      <c r="AJ84" s="333"/>
      <c r="AK84" s="162"/>
      <c r="AL84" s="162"/>
      <c r="AM84" s="162"/>
      <c r="AN84" s="162"/>
      <c r="AO84" s="162"/>
      <c r="AP84" s="162"/>
      <c r="AQ84" s="333"/>
      <c r="AR84" s="162"/>
      <c r="AS84" s="162"/>
      <c r="AT84" s="162"/>
      <c r="AU84" s="162"/>
      <c r="AV84" s="162"/>
      <c r="AW84" s="162"/>
      <c r="AX84" s="333"/>
      <c r="AY84" s="162"/>
      <c r="AZ84" s="162"/>
      <c r="BA84" s="162"/>
      <c r="BB84" s="162"/>
      <c r="BC84" s="162"/>
      <c r="BD84" s="376"/>
      <c r="BE84" s="333"/>
      <c r="BF84" s="162"/>
      <c r="BG84" s="162"/>
      <c r="BH84" s="162"/>
      <c r="BI84" s="162"/>
      <c r="BJ84" s="162"/>
      <c r="BK84" s="376"/>
      <c r="BL84" s="162"/>
      <c r="BM84" s="162"/>
      <c r="BN84" s="162"/>
      <c r="BO84" s="162"/>
      <c r="BP84" s="162"/>
      <c r="BQ84" s="162"/>
      <c r="BR84" s="162"/>
      <c r="BT84" s="121"/>
    </row>
    <row r="85" spans="1:72" ht="13.8">
      <c r="A85" s="177"/>
      <c r="B85" s="305" t="s">
        <v>392</v>
      </c>
      <c r="C85" s="117"/>
      <c r="D85" s="162" t="e">
        <f t="shared" ref="D85:T85" si="334">AVERAGE(C203:D203)</f>
        <v>#REF!</v>
      </c>
      <c r="E85" s="162" t="e">
        <f t="shared" si="334"/>
        <v>#REF!</v>
      </c>
      <c r="F85" s="162" t="e">
        <f t="shared" si="334"/>
        <v>#REF!</v>
      </c>
      <c r="G85" s="162" t="e">
        <f t="shared" si="334"/>
        <v>#REF!</v>
      </c>
      <c r="H85" s="162" t="e">
        <f t="shared" si="334"/>
        <v>#REF!</v>
      </c>
      <c r="I85" s="162" t="e">
        <f t="shared" si="334"/>
        <v>#REF!</v>
      </c>
      <c r="J85" s="162" t="e">
        <f t="shared" si="334"/>
        <v>#REF!</v>
      </c>
      <c r="K85" s="162" t="e">
        <f t="shared" si="334"/>
        <v>#REF!</v>
      </c>
      <c r="L85" s="162" t="e">
        <f t="shared" si="334"/>
        <v>#REF!</v>
      </c>
      <c r="M85" s="162" t="e">
        <f t="shared" si="334"/>
        <v>#REF!</v>
      </c>
      <c r="N85" s="162" t="e">
        <f t="shared" si="334"/>
        <v>#REF!</v>
      </c>
      <c r="O85" s="162" t="e">
        <f t="shared" si="334"/>
        <v>#REF!</v>
      </c>
      <c r="P85" s="162" t="e">
        <f t="shared" si="334"/>
        <v>#REF!</v>
      </c>
      <c r="Q85" s="162" t="e">
        <f t="shared" si="334"/>
        <v>#REF!</v>
      </c>
      <c r="R85" s="162" t="e">
        <f t="shared" si="334"/>
        <v>#REF!</v>
      </c>
      <c r="S85" s="162" t="e">
        <f t="shared" si="334"/>
        <v>#REF!</v>
      </c>
      <c r="T85" s="162" t="e">
        <f t="shared" si="334"/>
        <v>#REF!</v>
      </c>
      <c r="U85" s="162" t="e">
        <f>AVERAGE(T203:U203)</f>
        <v>#REF!</v>
      </c>
      <c r="V85" s="333"/>
      <c r="W85" s="162"/>
      <c r="X85" s="162"/>
      <c r="Y85" s="162"/>
      <c r="Z85" s="162"/>
      <c r="AA85" s="162"/>
      <c r="AB85" s="162" t="e">
        <f>AVERAGE(U203:AB203)</f>
        <v>#REF!</v>
      </c>
      <c r="AC85" s="333"/>
      <c r="AD85" s="162"/>
      <c r="AE85" s="162"/>
      <c r="AF85" s="162"/>
      <c r="AG85" s="162"/>
      <c r="AH85" s="162"/>
      <c r="AI85" s="162" t="e">
        <f>AVERAGE(AB203:AI203)</f>
        <v>#REF!</v>
      </c>
      <c r="AJ85" s="333"/>
      <c r="AK85" s="162"/>
      <c r="AL85" s="162"/>
      <c r="AM85" s="162"/>
      <c r="AN85" s="162"/>
      <c r="AO85" s="162"/>
      <c r="AP85" s="162" t="e">
        <f>AVERAGE(AI203:AP203)</f>
        <v>#REF!</v>
      </c>
      <c r="AQ85" s="333"/>
      <c r="AR85" s="162"/>
      <c r="AS85" s="162"/>
      <c r="AT85" s="162"/>
      <c r="AU85" s="162"/>
      <c r="AV85" s="162"/>
      <c r="AW85" s="162"/>
      <c r="AX85" s="333"/>
      <c r="AY85" s="162"/>
      <c r="AZ85" s="162"/>
      <c r="BA85" s="162"/>
      <c r="BB85" s="162"/>
      <c r="BC85" s="162"/>
      <c r="BD85" s="376"/>
      <c r="BE85" s="333"/>
      <c r="BF85" s="162"/>
      <c r="BG85" s="162"/>
      <c r="BH85" s="162"/>
      <c r="BI85" s="162"/>
      <c r="BJ85" s="162"/>
      <c r="BK85" s="376"/>
      <c r="BL85" s="162"/>
      <c r="BM85" s="162"/>
      <c r="BN85" s="162"/>
      <c r="BO85" s="162"/>
      <c r="BP85" s="162"/>
      <c r="BQ85" s="162"/>
      <c r="BR85" s="162"/>
      <c r="BT85" s="121"/>
    </row>
    <row r="86" spans="1:72" ht="13.8">
      <c r="A86" s="177"/>
      <c r="B86" s="310" t="s">
        <v>410</v>
      </c>
      <c r="C86" s="117"/>
      <c r="D86" s="301" t="e">
        <f t="shared" ref="D86:T86" si="335">365/(D$5/D85)</f>
        <v>#REF!</v>
      </c>
      <c r="E86" s="301" t="e">
        <f t="shared" si="335"/>
        <v>#REF!</v>
      </c>
      <c r="F86" s="301" t="e">
        <f t="shared" si="335"/>
        <v>#REF!</v>
      </c>
      <c r="G86" s="301" t="e">
        <f t="shared" si="335"/>
        <v>#REF!</v>
      </c>
      <c r="H86" s="301" t="e">
        <f t="shared" si="335"/>
        <v>#REF!</v>
      </c>
      <c r="I86" s="301" t="e">
        <f t="shared" si="335"/>
        <v>#REF!</v>
      </c>
      <c r="J86" s="301" t="e">
        <f t="shared" si="335"/>
        <v>#REF!</v>
      </c>
      <c r="K86" s="301" t="e">
        <f t="shared" si="335"/>
        <v>#REF!</v>
      </c>
      <c r="L86" s="301" t="e">
        <f t="shared" si="335"/>
        <v>#REF!</v>
      </c>
      <c r="M86" s="301" t="e">
        <f t="shared" si="335"/>
        <v>#REF!</v>
      </c>
      <c r="N86" s="301" t="e">
        <f t="shared" si="335"/>
        <v>#REF!</v>
      </c>
      <c r="O86" s="301" t="e">
        <f t="shared" si="335"/>
        <v>#REF!</v>
      </c>
      <c r="P86" s="301" t="e">
        <f t="shared" si="335"/>
        <v>#REF!</v>
      </c>
      <c r="Q86" s="301" t="e">
        <f t="shared" si="335"/>
        <v>#REF!</v>
      </c>
      <c r="R86" s="301" t="e">
        <f t="shared" si="335"/>
        <v>#REF!</v>
      </c>
      <c r="S86" s="301" t="e">
        <f t="shared" si="335"/>
        <v>#REF!</v>
      </c>
      <c r="T86" s="301" t="e">
        <f t="shared" si="335"/>
        <v>#REF!</v>
      </c>
      <c r="U86" s="301" t="e">
        <f>365/(U$5/U85)</f>
        <v>#REF!</v>
      </c>
      <c r="V86" s="334"/>
      <c r="W86" s="301"/>
      <c r="X86" s="301"/>
      <c r="Y86" s="301"/>
      <c r="Z86" s="301"/>
      <c r="AA86" s="301"/>
      <c r="AB86" s="301" t="e">
        <f>365/(AB$5/AB85)</f>
        <v>#REF!</v>
      </c>
      <c r="AC86" s="334"/>
      <c r="AD86" s="301"/>
      <c r="AE86" s="301"/>
      <c r="AF86" s="301"/>
      <c r="AG86" s="301"/>
      <c r="AH86" s="301"/>
      <c r="AI86" s="301" t="e">
        <f t="shared" ref="AI86" si="336">365/(AI$5/AI85)</f>
        <v>#REF!</v>
      </c>
      <c r="AJ86" s="334"/>
      <c r="AK86" s="301"/>
      <c r="AL86" s="301"/>
      <c r="AM86" s="301"/>
      <c r="AN86" s="301"/>
      <c r="AO86" s="301"/>
      <c r="AP86" s="301"/>
      <c r="AQ86" s="334"/>
      <c r="AR86" s="301"/>
      <c r="AS86" s="301"/>
      <c r="AT86" s="301"/>
      <c r="AU86" s="301"/>
      <c r="AV86" s="301"/>
      <c r="AW86" s="301"/>
      <c r="AX86" s="334"/>
      <c r="AY86" s="301"/>
      <c r="AZ86" s="301"/>
      <c r="BA86" s="301"/>
      <c r="BB86" s="301"/>
      <c r="BC86" s="301"/>
      <c r="BD86" s="377"/>
      <c r="BE86" s="334"/>
      <c r="BF86" s="301"/>
      <c r="BG86" s="301"/>
      <c r="BH86" s="301"/>
      <c r="BI86" s="301"/>
      <c r="BJ86" s="301"/>
      <c r="BK86" s="377"/>
      <c r="BL86" s="301"/>
      <c r="BM86" s="301"/>
      <c r="BN86" s="301"/>
      <c r="BO86" s="301"/>
      <c r="BP86" s="301"/>
      <c r="BQ86" s="301"/>
      <c r="BR86" s="301"/>
      <c r="BT86" s="121"/>
    </row>
    <row r="87" spans="1:72" ht="13.8">
      <c r="A87" s="177"/>
      <c r="B87" s="305"/>
      <c r="C87" s="117"/>
      <c r="D87" s="162"/>
      <c r="E87" s="162"/>
      <c r="F87" s="162"/>
      <c r="G87" s="162"/>
      <c r="H87" s="162"/>
      <c r="I87" s="162"/>
      <c r="J87" s="162"/>
      <c r="K87" s="162"/>
      <c r="L87" s="162"/>
      <c r="M87" s="162"/>
      <c r="N87" s="162"/>
      <c r="O87" s="162"/>
      <c r="P87" s="162"/>
      <c r="Q87" s="162"/>
      <c r="R87" s="162"/>
      <c r="S87" s="162"/>
      <c r="T87" s="162"/>
      <c r="U87" s="162"/>
      <c r="V87" s="333"/>
      <c r="W87" s="162"/>
      <c r="X87" s="162"/>
      <c r="Y87" s="162"/>
      <c r="Z87" s="162"/>
      <c r="AA87" s="162"/>
      <c r="AB87" s="162"/>
      <c r="AC87" s="333"/>
      <c r="AD87" s="162"/>
      <c r="AE87" s="162"/>
      <c r="AF87" s="162"/>
      <c r="AG87" s="162"/>
      <c r="AH87" s="162"/>
      <c r="AI87" s="162"/>
      <c r="AJ87" s="333"/>
      <c r="AK87" s="162"/>
      <c r="AL87" s="162"/>
      <c r="AM87" s="162"/>
      <c r="AN87" s="162"/>
      <c r="AO87" s="162"/>
      <c r="AP87" s="162"/>
      <c r="AQ87" s="333"/>
      <c r="AR87" s="162"/>
      <c r="AS87" s="162"/>
      <c r="AT87" s="162"/>
      <c r="AU87" s="162"/>
      <c r="AV87" s="162"/>
      <c r="AW87" s="162"/>
      <c r="AX87" s="333"/>
      <c r="AY87" s="162"/>
      <c r="AZ87" s="162"/>
      <c r="BA87" s="162"/>
      <c r="BB87" s="162"/>
      <c r="BC87" s="162"/>
      <c r="BD87" s="376"/>
      <c r="BE87" s="333"/>
      <c r="BF87" s="162"/>
      <c r="BG87" s="162"/>
      <c r="BH87" s="162"/>
      <c r="BI87" s="162"/>
      <c r="BJ87" s="162"/>
      <c r="BK87" s="376"/>
      <c r="BL87" s="162"/>
      <c r="BM87" s="162"/>
      <c r="BN87" s="162"/>
      <c r="BO87" s="162"/>
      <c r="BP87" s="162"/>
      <c r="BQ87" s="162"/>
      <c r="BR87" s="162"/>
      <c r="BT87" s="121"/>
    </row>
    <row r="88" spans="1:72" ht="13.8">
      <c r="A88" s="177"/>
      <c r="B88" s="305" t="s">
        <v>393</v>
      </c>
      <c r="C88" s="117"/>
      <c r="D88" s="162" t="e">
        <f t="shared" ref="D88:U88" si="337">AVERAGE(C199:D199)-D82-D85</f>
        <v>#REF!</v>
      </c>
      <c r="E88" s="162" t="e">
        <f t="shared" si="337"/>
        <v>#REF!</v>
      </c>
      <c r="F88" s="162" t="e">
        <f t="shared" si="337"/>
        <v>#REF!</v>
      </c>
      <c r="G88" s="162" t="e">
        <f t="shared" si="337"/>
        <v>#REF!</v>
      </c>
      <c r="H88" s="162" t="e">
        <f t="shared" si="337"/>
        <v>#REF!</v>
      </c>
      <c r="I88" s="162" t="e">
        <f t="shared" si="337"/>
        <v>#REF!</v>
      </c>
      <c r="J88" s="162" t="e">
        <f t="shared" si="337"/>
        <v>#REF!</v>
      </c>
      <c r="K88" s="162" t="e">
        <f t="shared" si="337"/>
        <v>#REF!</v>
      </c>
      <c r="L88" s="162" t="e">
        <f t="shared" si="337"/>
        <v>#REF!</v>
      </c>
      <c r="M88" s="162" t="e">
        <f t="shared" si="337"/>
        <v>#REF!</v>
      </c>
      <c r="N88" s="162" t="e">
        <f t="shared" si="337"/>
        <v>#REF!</v>
      </c>
      <c r="O88" s="162" t="e">
        <f t="shared" si="337"/>
        <v>#REF!</v>
      </c>
      <c r="P88" s="162" t="e">
        <f t="shared" si="337"/>
        <v>#REF!</v>
      </c>
      <c r="Q88" s="162" t="e">
        <f t="shared" si="337"/>
        <v>#REF!</v>
      </c>
      <c r="R88" s="162" t="e">
        <f t="shared" si="337"/>
        <v>#REF!</v>
      </c>
      <c r="S88" s="162" t="e">
        <f t="shared" si="337"/>
        <v>#REF!</v>
      </c>
      <c r="T88" s="162" t="e">
        <f t="shared" si="337"/>
        <v>#REF!</v>
      </c>
      <c r="U88" s="162" t="e">
        <f t="shared" si="337"/>
        <v>#REF!</v>
      </c>
      <c r="V88" s="162" t="e">
        <f t="shared" ref="V88:AA88" si="338">V199</f>
        <v>#REF!</v>
      </c>
      <c r="W88" s="162" t="e">
        <f t="shared" si="338"/>
        <v>#REF!</v>
      </c>
      <c r="X88" s="162" t="e">
        <f t="shared" si="338"/>
        <v>#REF!</v>
      </c>
      <c r="Y88" s="162" t="e">
        <f t="shared" si="338"/>
        <v>#REF!</v>
      </c>
      <c r="Z88" s="162" t="e">
        <f t="shared" si="338"/>
        <v>#REF!</v>
      </c>
      <c r="AA88" s="162" t="e">
        <f t="shared" si="338"/>
        <v>#REF!</v>
      </c>
      <c r="AB88" s="162" t="e">
        <f>AVERAGE(U199:AB199)-AB82-AB85</f>
        <v>#REF!</v>
      </c>
      <c r="AC88" s="162" t="e">
        <f t="shared" ref="AC88:AH88" si="339">AC199</f>
        <v>#REF!</v>
      </c>
      <c r="AD88" s="162" t="e">
        <f t="shared" si="339"/>
        <v>#REF!</v>
      </c>
      <c r="AE88" s="162" t="e">
        <f t="shared" si="339"/>
        <v>#REF!</v>
      </c>
      <c r="AF88" s="162" t="e">
        <f t="shared" si="339"/>
        <v>#REF!</v>
      </c>
      <c r="AG88" s="162" t="e">
        <f t="shared" si="339"/>
        <v>#REF!</v>
      </c>
      <c r="AH88" s="162" t="e">
        <f t="shared" si="339"/>
        <v>#REF!</v>
      </c>
      <c r="AI88" s="162" t="e">
        <f>AVERAGE(AB199:AI199)-AI82-AI85</f>
        <v>#REF!</v>
      </c>
      <c r="AJ88" s="162" t="e">
        <f t="shared" ref="AJ88:AO88" si="340">AJ199</f>
        <v>#REF!</v>
      </c>
      <c r="AK88" s="162" t="e">
        <f t="shared" si="340"/>
        <v>#REF!</v>
      </c>
      <c r="AL88" s="162" t="e">
        <f t="shared" si="340"/>
        <v>#REF!</v>
      </c>
      <c r="AM88" s="162" t="e">
        <f t="shared" si="340"/>
        <v>#REF!</v>
      </c>
      <c r="AN88" s="162" t="e">
        <f t="shared" si="340"/>
        <v>#REF!</v>
      </c>
      <c r="AO88" s="162" t="e">
        <f t="shared" si="340"/>
        <v>#REF!</v>
      </c>
      <c r="AP88" s="162" t="e">
        <f>AVERAGE(AI199:AP199)-AP82-AP85</f>
        <v>#REF!</v>
      </c>
      <c r="AQ88" s="162" t="e">
        <f t="shared" ref="AQ88:AV88" si="341">AQ199</f>
        <v>#REF!</v>
      </c>
      <c r="AR88" s="162" t="e">
        <f t="shared" si="341"/>
        <v>#REF!</v>
      </c>
      <c r="AS88" s="162" t="e">
        <f t="shared" si="341"/>
        <v>#REF!</v>
      </c>
      <c r="AT88" s="162" t="e">
        <f t="shared" si="341"/>
        <v>#REF!</v>
      </c>
      <c r="AU88" s="162" t="e">
        <f t="shared" si="341"/>
        <v>#REF!</v>
      </c>
      <c r="AV88" s="162" t="e">
        <f t="shared" si="341"/>
        <v>#REF!</v>
      </c>
      <c r="AW88" s="162" t="e">
        <f>AVERAGE(AP199:AW199)-AW82-AW85</f>
        <v>#REF!</v>
      </c>
      <c r="AX88" s="162" t="e">
        <f t="shared" ref="AX88:BD88" si="342">AX199</f>
        <v>#REF!</v>
      </c>
      <c r="AY88" s="162" t="e">
        <f t="shared" si="342"/>
        <v>#REF!</v>
      </c>
      <c r="AZ88" s="162" t="e">
        <f t="shared" si="342"/>
        <v>#REF!</v>
      </c>
      <c r="BA88" s="162" t="e">
        <f t="shared" si="342"/>
        <v>#REF!</v>
      </c>
      <c r="BB88" s="162" t="e">
        <f t="shared" si="342"/>
        <v>#REF!</v>
      </c>
      <c r="BC88" s="162" t="e">
        <f t="shared" si="342"/>
        <v>#REF!</v>
      </c>
      <c r="BD88" s="162" t="e">
        <f t="shared" si="342"/>
        <v>#REF!</v>
      </c>
      <c r="BE88" s="162" t="e">
        <f t="shared" ref="BE88:BK88" si="343">BE199</f>
        <v>#REF!</v>
      </c>
      <c r="BF88" s="162" t="e">
        <f t="shared" si="343"/>
        <v>#REF!</v>
      </c>
      <c r="BG88" s="162" t="e">
        <f t="shared" si="343"/>
        <v>#REF!</v>
      </c>
      <c r="BH88" s="162" t="e">
        <f t="shared" si="343"/>
        <v>#REF!</v>
      </c>
      <c r="BI88" s="162" t="e">
        <f t="shared" si="343"/>
        <v>#REF!</v>
      </c>
      <c r="BJ88" s="162" t="e">
        <f t="shared" si="343"/>
        <v>#REF!</v>
      </c>
      <c r="BK88" s="162" t="e">
        <f t="shared" si="343"/>
        <v>#REF!</v>
      </c>
      <c r="BL88" s="162" t="e">
        <f t="shared" ref="BL88:BR88" si="344">AVERAGE(BK199:BL199)-BL82-BL85</f>
        <v>#REF!</v>
      </c>
      <c r="BM88" s="162" t="e">
        <f t="shared" si="344"/>
        <v>#REF!</v>
      </c>
      <c r="BN88" s="162" t="e">
        <f t="shared" si="344"/>
        <v>#REF!</v>
      </c>
      <c r="BO88" s="162" t="e">
        <f t="shared" si="344"/>
        <v>#REF!</v>
      </c>
      <c r="BP88" s="162" t="e">
        <f t="shared" si="344"/>
        <v>#REF!</v>
      </c>
      <c r="BQ88" s="162" t="e">
        <f t="shared" si="344"/>
        <v>#REF!</v>
      </c>
      <c r="BR88" s="162" t="e">
        <f t="shared" si="344"/>
        <v>#REF!</v>
      </c>
      <c r="BT88" s="121"/>
    </row>
    <row r="89" spans="1:72" ht="13.8">
      <c r="A89" s="177"/>
      <c r="B89" s="310" t="s">
        <v>410</v>
      </c>
      <c r="C89" s="117"/>
      <c r="D89" s="301" t="e">
        <f t="shared" ref="D89:T89" si="345">365/(D$5/D88)</f>
        <v>#REF!</v>
      </c>
      <c r="E89" s="301" t="e">
        <f t="shared" si="345"/>
        <v>#REF!</v>
      </c>
      <c r="F89" s="301" t="e">
        <f t="shared" si="345"/>
        <v>#REF!</v>
      </c>
      <c r="G89" s="301" t="e">
        <f t="shared" si="345"/>
        <v>#REF!</v>
      </c>
      <c r="H89" s="301" t="e">
        <f t="shared" si="345"/>
        <v>#REF!</v>
      </c>
      <c r="I89" s="301" t="e">
        <f t="shared" si="345"/>
        <v>#REF!</v>
      </c>
      <c r="J89" s="301" t="e">
        <f t="shared" si="345"/>
        <v>#REF!</v>
      </c>
      <c r="K89" s="301" t="e">
        <f t="shared" si="345"/>
        <v>#REF!</v>
      </c>
      <c r="L89" s="301" t="e">
        <f t="shared" si="345"/>
        <v>#REF!</v>
      </c>
      <c r="M89" s="301" t="e">
        <f t="shared" si="345"/>
        <v>#REF!</v>
      </c>
      <c r="N89" s="301" t="e">
        <f t="shared" si="345"/>
        <v>#REF!</v>
      </c>
      <c r="O89" s="301" t="e">
        <f t="shared" si="345"/>
        <v>#REF!</v>
      </c>
      <c r="P89" s="301" t="e">
        <f t="shared" si="345"/>
        <v>#REF!</v>
      </c>
      <c r="Q89" s="301" t="e">
        <f t="shared" si="345"/>
        <v>#REF!</v>
      </c>
      <c r="R89" s="301" t="e">
        <f t="shared" si="345"/>
        <v>#REF!</v>
      </c>
      <c r="S89" s="301" t="e">
        <f t="shared" si="345"/>
        <v>#REF!</v>
      </c>
      <c r="T89" s="301" t="e">
        <f t="shared" si="345"/>
        <v>#REF!</v>
      </c>
      <c r="U89" s="301" t="e">
        <f>365/(U$5/U88)</f>
        <v>#REF!</v>
      </c>
      <c r="V89" s="334" t="e">
        <f>365/(V$5/V88)/4</f>
        <v>#REF!</v>
      </c>
      <c r="W89" s="301" t="e">
        <f>365/(W$5/W88)/4</f>
        <v>#REF!</v>
      </c>
      <c r="X89" s="301" t="e">
        <f>365/(X$5/X88)/2</f>
        <v>#REF!</v>
      </c>
      <c r="Y89" s="301" t="e">
        <f>365/(Y$5/Y88)/4</f>
        <v>#REF!</v>
      </c>
      <c r="Z89" s="301" t="e">
        <f>365/(Z$5/Z88)/4</f>
        <v>#REF!</v>
      </c>
      <c r="AA89" s="301" t="e">
        <f>365/(AA$5/AA88)/2</f>
        <v>#REF!</v>
      </c>
      <c r="AB89" s="301" t="e">
        <f>365/(AB$5/AB88)</f>
        <v>#REF!</v>
      </c>
      <c r="AC89" s="334" t="e">
        <f>365/(AC$5/AC88)/4</f>
        <v>#REF!</v>
      </c>
      <c r="AD89" s="301" t="e">
        <f>365/(AD$5/AD88)/4</f>
        <v>#REF!</v>
      </c>
      <c r="AE89" s="301" t="e">
        <f>365/(AE$5/AE88)/2</f>
        <v>#REF!</v>
      </c>
      <c r="AF89" s="301" t="e">
        <f>365/(AF$5/AF88)/4</f>
        <v>#REF!</v>
      </c>
      <c r="AG89" s="301" t="e">
        <f>365/(AG$5/AG88)/4</f>
        <v>#REF!</v>
      </c>
      <c r="AH89" s="301" t="e">
        <f>365/(AH$5/AH88)/2</f>
        <v>#REF!</v>
      </c>
      <c r="AI89" s="301" t="e">
        <f t="shared" ref="AI89:BD89" si="346">365/(AI$5/AI88)</f>
        <v>#REF!</v>
      </c>
      <c r="AJ89" s="334" t="e">
        <f>365/(AJ$5/AJ88)/4</f>
        <v>#REF!</v>
      </c>
      <c r="AK89" s="301" t="e">
        <f>365/(AK$5/AK88)/4</f>
        <v>#REF!</v>
      </c>
      <c r="AL89" s="301" t="e">
        <f>365/(AL$5/AL88)/2</f>
        <v>#REF!</v>
      </c>
      <c r="AM89" s="301" t="e">
        <f>365/(AM$5/AM88)/4</f>
        <v>#REF!</v>
      </c>
      <c r="AN89" s="301" t="e">
        <f>365/(AN$5/AN88)/4</f>
        <v>#REF!</v>
      </c>
      <c r="AO89" s="301" t="e">
        <f>365/(AO$5/AO88)/2</f>
        <v>#REF!</v>
      </c>
      <c r="AP89" s="301" t="e">
        <f t="shared" si="346"/>
        <v>#REF!</v>
      </c>
      <c r="AQ89" s="334" t="e">
        <f>365/(AQ$5/AQ88)/4</f>
        <v>#REF!</v>
      </c>
      <c r="AR89" s="301" t="e">
        <f>365/(AR$5/AR88)/4</f>
        <v>#REF!</v>
      </c>
      <c r="AS89" s="301" t="e">
        <f>365/(AS$5/AS88)/2</f>
        <v>#REF!</v>
      </c>
      <c r="AT89" s="301" t="e">
        <f>365/(AT$5/AT88)/4</f>
        <v>#REF!</v>
      </c>
      <c r="AU89" s="301" t="e">
        <f>365/(AU$5/AU88)/4</f>
        <v>#REF!</v>
      </c>
      <c r="AV89" s="301" t="e">
        <f>365/(AV$5/AV88)/2</f>
        <v>#REF!</v>
      </c>
      <c r="AW89" s="301" t="e">
        <f t="shared" si="346"/>
        <v>#REF!</v>
      </c>
      <c r="AX89" s="334" t="e">
        <f>365/(AX$5/AX88)/4</f>
        <v>#REF!</v>
      </c>
      <c r="AY89" s="301" t="e">
        <f>365/(AY$5/AY88)/4</f>
        <v>#REF!</v>
      </c>
      <c r="AZ89" s="301" t="e">
        <f>365/(AZ$5/AZ88)/2</f>
        <v>#REF!</v>
      </c>
      <c r="BA89" s="301" t="e">
        <f>365/(BA$5/BA88)/4</f>
        <v>#REF!</v>
      </c>
      <c r="BB89" s="301" t="e">
        <f>365/(BB$5/BB88)/4</f>
        <v>#REF!</v>
      </c>
      <c r="BC89" s="301" t="e">
        <f>365/(BC$5/BC88)/2</f>
        <v>#REF!</v>
      </c>
      <c r="BD89" s="377" t="e">
        <f t="shared" si="346"/>
        <v>#REF!</v>
      </c>
      <c r="BE89" s="334" t="e">
        <f>365/(BE$5/BE88)/4</f>
        <v>#REF!</v>
      </c>
      <c r="BF89" s="301" t="e">
        <f>365/(BF$5/BF88)/4</f>
        <v>#REF!</v>
      </c>
      <c r="BG89" s="301" t="e">
        <f>365/(BG$5/BG88)/2</f>
        <v>#REF!</v>
      </c>
      <c r="BH89" s="301" t="e">
        <f>365/(BH$5/BH88)/4</f>
        <v>#REF!</v>
      </c>
      <c r="BI89" s="301" t="e">
        <f>365/(BI$5/BI88)/4</f>
        <v>#REF!</v>
      </c>
      <c r="BJ89" s="301" t="e">
        <f>365/(BJ$5/BJ88)/2</f>
        <v>#REF!</v>
      </c>
      <c r="BK89" s="377" t="e">
        <f t="shared" ref="BK89" si="347">365/(BK$5/BK88)</f>
        <v>#REF!</v>
      </c>
      <c r="BL89" s="301" t="e">
        <f t="shared" ref="BL89" si="348">365/(BL$5/BL88)</f>
        <v>#REF!</v>
      </c>
      <c r="BM89" s="301" t="e">
        <f t="shared" ref="BM89" si="349">365/(BM$5/BM88)</f>
        <v>#REF!</v>
      </c>
      <c r="BN89" s="301" t="e">
        <f t="shared" ref="BN89" si="350">365/(BN$5/BN88)</f>
        <v>#REF!</v>
      </c>
      <c r="BO89" s="301" t="e">
        <f t="shared" ref="BO89" si="351">365/(BO$5/BO88)</f>
        <v>#REF!</v>
      </c>
      <c r="BP89" s="301" t="e">
        <f t="shared" ref="BP89" si="352">365/(BP$5/BP88)</f>
        <v>#REF!</v>
      </c>
      <c r="BQ89" s="301" t="e">
        <f t="shared" ref="BQ89" si="353">365/(BQ$5/BQ88)</f>
        <v>#REF!</v>
      </c>
      <c r="BR89" s="301" t="e">
        <f t="shared" ref="BR89" si="354">365/(BR$5/BR88)</f>
        <v>#REF!</v>
      </c>
      <c r="BT89" s="121"/>
    </row>
    <row r="90" spans="1:72" ht="14.1">
      <c r="A90" s="177"/>
      <c r="B90" s="311" t="s">
        <v>404</v>
      </c>
      <c r="C90" s="117"/>
      <c r="D90" s="162"/>
      <c r="E90" s="162"/>
      <c r="F90" s="162"/>
      <c r="G90" s="162"/>
      <c r="H90" s="162"/>
      <c r="I90" s="162"/>
      <c r="J90" s="162"/>
      <c r="K90" s="162"/>
      <c r="L90" s="162"/>
      <c r="M90" s="162"/>
      <c r="N90" s="162"/>
      <c r="O90" s="162"/>
      <c r="P90" s="162"/>
      <c r="Q90" s="162"/>
      <c r="R90" s="162"/>
      <c r="S90" s="162"/>
      <c r="T90" s="162"/>
      <c r="U90" s="162"/>
      <c r="V90" s="333"/>
      <c r="W90" s="162"/>
      <c r="X90" s="162"/>
      <c r="Y90" s="162"/>
      <c r="Z90" s="162"/>
      <c r="AA90" s="162"/>
      <c r="AB90" s="162"/>
      <c r="AC90" s="333"/>
      <c r="AD90" s="162"/>
      <c r="AE90" s="162"/>
      <c r="AF90" s="162"/>
      <c r="AG90" s="162"/>
      <c r="AH90" s="162"/>
      <c r="AI90" s="162"/>
      <c r="AJ90" s="333"/>
      <c r="AK90" s="162"/>
      <c r="AL90" s="162"/>
      <c r="AM90" s="162"/>
      <c r="AN90" s="162"/>
      <c r="AO90" s="162"/>
      <c r="AP90" s="162"/>
      <c r="AQ90" s="333"/>
      <c r="AR90" s="162"/>
      <c r="AS90" s="162"/>
      <c r="AT90" s="162"/>
      <c r="AU90" s="162"/>
      <c r="AV90" s="162"/>
      <c r="AW90" s="162"/>
      <c r="AX90" s="333"/>
      <c r="AY90" s="162"/>
      <c r="AZ90" s="162"/>
      <c r="BA90" s="162"/>
      <c r="BB90" s="162"/>
      <c r="BC90" s="162"/>
      <c r="BD90" s="376"/>
      <c r="BE90" s="333"/>
      <c r="BF90" s="162"/>
      <c r="BG90" s="162"/>
      <c r="BH90" s="162"/>
      <c r="BI90" s="162"/>
      <c r="BJ90" s="162"/>
      <c r="BK90" s="376"/>
      <c r="BL90" s="162"/>
      <c r="BM90" s="162"/>
      <c r="BN90" s="162"/>
      <c r="BO90" s="162"/>
      <c r="BP90" s="162"/>
      <c r="BQ90" s="162"/>
      <c r="BR90" s="162"/>
      <c r="BT90" s="121"/>
    </row>
    <row r="91" spans="1:72" ht="13.8">
      <c r="A91" s="177"/>
      <c r="B91" s="310"/>
      <c r="C91" s="117"/>
      <c r="D91" s="162"/>
      <c r="E91" s="162"/>
      <c r="F91" s="162"/>
      <c r="G91" s="162"/>
      <c r="H91" s="162"/>
      <c r="I91" s="162"/>
      <c r="J91" s="162"/>
      <c r="K91" s="162"/>
      <c r="L91" s="162"/>
      <c r="M91" s="162"/>
      <c r="N91" s="162"/>
      <c r="O91" s="162"/>
      <c r="P91" s="162"/>
      <c r="Q91" s="162"/>
      <c r="R91" s="162"/>
      <c r="S91" s="162"/>
      <c r="T91" s="162"/>
      <c r="U91" s="162"/>
      <c r="V91" s="333"/>
      <c r="W91" s="162"/>
      <c r="X91" s="162"/>
      <c r="Y91" s="162"/>
      <c r="Z91" s="162"/>
      <c r="AA91" s="162"/>
      <c r="AB91" s="162"/>
      <c r="AC91" s="333"/>
      <c r="AD91" s="162"/>
      <c r="AE91" s="162"/>
      <c r="AF91" s="162"/>
      <c r="AG91" s="162"/>
      <c r="AH91" s="162"/>
      <c r="AI91" s="162"/>
      <c r="AJ91" s="333"/>
      <c r="AK91" s="162"/>
      <c r="AL91" s="162"/>
      <c r="AM91" s="162"/>
      <c r="AN91" s="162"/>
      <c r="AO91" s="162"/>
      <c r="AP91" s="162"/>
      <c r="AQ91" s="333"/>
      <c r="AR91" s="162"/>
      <c r="AS91" s="162"/>
      <c r="AT91" s="162"/>
      <c r="AU91" s="162"/>
      <c r="AV91" s="162"/>
      <c r="AW91" s="162"/>
      <c r="AX91" s="333"/>
      <c r="AY91" s="162"/>
      <c r="AZ91" s="162"/>
      <c r="BA91" s="162"/>
      <c r="BB91" s="162"/>
      <c r="BC91" s="162"/>
      <c r="BD91" s="376"/>
      <c r="BE91" s="333"/>
      <c r="BF91" s="162"/>
      <c r="BG91" s="162"/>
      <c r="BH91" s="162"/>
      <c r="BI91" s="162"/>
      <c r="BJ91" s="162"/>
      <c r="BK91" s="376"/>
      <c r="BL91" s="162"/>
      <c r="BM91" s="162"/>
      <c r="BN91" s="162"/>
      <c r="BO91" s="162"/>
      <c r="BP91" s="162"/>
      <c r="BQ91" s="162"/>
      <c r="BR91" s="162"/>
      <c r="BT91" s="121"/>
    </row>
    <row r="92" spans="1:72" ht="13.8">
      <c r="A92" s="177"/>
      <c r="B92" s="305" t="s">
        <v>394</v>
      </c>
      <c r="C92" s="117"/>
      <c r="D92" s="162" t="e">
        <f t="shared" ref="D92:T92" si="355">AVERAGE(C197:D197)</f>
        <v>#REF!</v>
      </c>
      <c r="E92" s="162" t="e">
        <f t="shared" si="355"/>
        <v>#REF!</v>
      </c>
      <c r="F92" s="162" t="e">
        <f t="shared" si="355"/>
        <v>#REF!</v>
      </c>
      <c r="G92" s="162" t="e">
        <f t="shared" si="355"/>
        <v>#REF!</v>
      </c>
      <c r="H92" s="162" t="e">
        <f t="shared" si="355"/>
        <v>#REF!</v>
      </c>
      <c r="I92" s="162" t="e">
        <f t="shared" si="355"/>
        <v>#REF!</v>
      </c>
      <c r="J92" s="162" t="e">
        <f t="shared" si="355"/>
        <v>#REF!</v>
      </c>
      <c r="K92" s="162" t="e">
        <f t="shared" si="355"/>
        <v>#REF!</v>
      </c>
      <c r="L92" s="162" t="e">
        <f t="shared" si="355"/>
        <v>#REF!</v>
      </c>
      <c r="M92" s="162" t="e">
        <f t="shared" si="355"/>
        <v>#REF!</v>
      </c>
      <c r="N92" s="162" t="e">
        <f t="shared" si="355"/>
        <v>#REF!</v>
      </c>
      <c r="O92" s="162" t="e">
        <f t="shared" si="355"/>
        <v>#REF!</v>
      </c>
      <c r="P92" s="162" t="e">
        <f t="shared" si="355"/>
        <v>#REF!</v>
      </c>
      <c r="Q92" s="162" t="e">
        <f t="shared" si="355"/>
        <v>#REF!</v>
      </c>
      <c r="R92" s="162" t="e">
        <f t="shared" si="355"/>
        <v>#REF!</v>
      </c>
      <c r="S92" s="162" t="e">
        <f t="shared" si="355"/>
        <v>#REF!</v>
      </c>
      <c r="T92" s="162" t="e">
        <f t="shared" si="355"/>
        <v>#REF!</v>
      </c>
      <c r="U92" s="162" t="e">
        <f>AVERAGE(T197:U197)</f>
        <v>#REF!</v>
      </c>
      <c r="V92" s="162" t="e">
        <f t="shared" ref="V92:AA92" si="356">V197</f>
        <v>#REF!</v>
      </c>
      <c r="W92" s="162" t="e">
        <f t="shared" si="356"/>
        <v>#REF!</v>
      </c>
      <c r="X92" s="162" t="e">
        <f t="shared" si="356"/>
        <v>#REF!</v>
      </c>
      <c r="Y92" s="162" t="e">
        <f t="shared" si="356"/>
        <v>#REF!</v>
      </c>
      <c r="Z92" s="162" t="e">
        <f t="shared" si="356"/>
        <v>#REF!</v>
      </c>
      <c r="AA92" s="162" t="e">
        <f t="shared" si="356"/>
        <v>#REF!</v>
      </c>
      <c r="AB92" s="162" t="e">
        <f>AVERAGE(U197:AB197)</f>
        <v>#REF!</v>
      </c>
      <c r="AC92" s="162" t="e">
        <f t="shared" ref="AC92:AH92" si="357">AC197</f>
        <v>#REF!</v>
      </c>
      <c r="AD92" s="162" t="e">
        <f t="shared" si="357"/>
        <v>#REF!</v>
      </c>
      <c r="AE92" s="162" t="e">
        <f t="shared" si="357"/>
        <v>#REF!</v>
      </c>
      <c r="AF92" s="162" t="e">
        <f t="shared" si="357"/>
        <v>#REF!</v>
      </c>
      <c r="AG92" s="162" t="e">
        <f t="shared" si="357"/>
        <v>#REF!</v>
      </c>
      <c r="AH92" s="162" t="e">
        <f t="shared" si="357"/>
        <v>#REF!</v>
      </c>
      <c r="AI92" s="162" t="e">
        <f t="shared" ref="AI92" si="358">AVERAGE(AB197:AI197)</f>
        <v>#REF!</v>
      </c>
      <c r="AJ92" s="162" t="e">
        <f t="shared" ref="AJ92:AO92" si="359">AJ197</f>
        <v>#REF!</v>
      </c>
      <c r="AK92" s="162" t="e">
        <f t="shared" si="359"/>
        <v>#REF!</v>
      </c>
      <c r="AL92" s="162" t="e">
        <f t="shared" si="359"/>
        <v>#REF!</v>
      </c>
      <c r="AM92" s="162" t="e">
        <f t="shared" si="359"/>
        <v>#REF!</v>
      </c>
      <c r="AN92" s="162" t="e">
        <f t="shared" si="359"/>
        <v>#REF!</v>
      </c>
      <c r="AO92" s="162" t="e">
        <f t="shared" si="359"/>
        <v>#REF!</v>
      </c>
      <c r="AP92" s="162" t="e">
        <f>AVERAGE(AI197:AP197)</f>
        <v>#REF!</v>
      </c>
      <c r="AQ92" s="162" t="e">
        <f t="shared" ref="AQ92:AV92" si="360">AQ197</f>
        <v>#REF!</v>
      </c>
      <c r="AR92" s="162" t="e">
        <f t="shared" si="360"/>
        <v>#REF!</v>
      </c>
      <c r="AS92" s="162" t="e">
        <f t="shared" si="360"/>
        <v>#REF!</v>
      </c>
      <c r="AT92" s="162" t="e">
        <f t="shared" si="360"/>
        <v>#REF!</v>
      </c>
      <c r="AU92" s="162" t="e">
        <f t="shared" si="360"/>
        <v>#REF!</v>
      </c>
      <c r="AV92" s="162" t="e">
        <f t="shared" si="360"/>
        <v>#REF!</v>
      </c>
      <c r="AW92" s="162" t="e">
        <f>AVERAGE(AP197:AW197)</f>
        <v>#REF!</v>
      </c>
      <c r="AX92" s="162" t="e">
        <f t="shared" ref="AX92:BD92" si="361">AX197</f>
        <v>#REF!</v>
      </c>
      <c r="AY92" s="162" t="e">
        <f t="shared" si="361"/>
        <v>#REF!</v>
      </c>
      <c r="AZ92" s="162" t="e">
        <f t="shared" si="361"/>
        <v>#REF!</v>
      </c>
      <c r="BA92" s="162" t="e">
        <f t="shared" si="361"/>
        <v>#REF!</v>
      </c>
      <c r="BB92" s="162" t="e">
        <f t="shared" si="361"/>
        <v>#REF!</v>
      </c>
      <c r="BC92" s="162" t="e">
        <f t="shared" si="361"/>
        <v>#REF!</v>
      </c>
      <c r="BD92" s="162" t="e">
        <f t="shared" si="361"/>
        <v>#REF!</v>
      </c>
      <c r="BE92" s="162" t="e">
        <f t="shared" ref="BE92:BK92" si="362">BE197</f>
        <v>#REF!</v>
      </c>
      <c r="BF92" s="162" t="e">
        <f t="shared" si="362"/>
        <v>#REF!</v>
      </c>
      <c r="BG92" s="162" t="e">
        <f t="shared" si="362"/>
        <v>#REF!</v>
      </c>
      <c r="BH92" s="162" t="e">
        <f t="shared" si="362"/>
        <v>#REF!</v>
      </c>
      <c r="BI92" s="162" t="e">
        <f t="shared" si="362"/>
        <v>#REF!</v>
      </c>
      <c r="BJ92" s="162" t="e">
        <f t="shared" si="362"/>
        <v>#REF!</v>
      </c>
      <c r="BK92" s="162" t="e">
        <f t="shared" si="362"/>
        <v>#REF!</v>
      </c>
      <c r="BL92" s="162" t="e">
        <f>AVERAGE(BK197:BL197)</f>
        <v>#REF!</v>
      </c>
      <c r="BM92" s="162" t="e">
        <f t="shared" ref="BM92:BR92" si="363">AVERAGE(BL197:BM197)</f>
        <v>#REF!</v>
      </c>
      <c r="BN92" s="162" t="e">
        <f t="shared" si="363"/>
        <v>#REF!</v>
      </c>
      <c r="BO92" s="162" t="e">
        <f t="shared" si="363"/>
        <v>#REF!</v>
      </c>
      <c r="BP92" s="162" t="e">
        <f t="shared" si="363"/>
        <v>#REF!</v>
      </c>
      <c r="BQ92" s="162" t="e">
        <f t="shared" si="363"/>
        <v>#REF!</v>
      </c>
      <c r="BR92" s="162" t="e">
        <f t="shared" si="363"/>
        <v>#REF!</v>
      </c>
      <c r="BT92" s="121"/>
    </row>
    <row r="93" spans="1:72" ht="13.8">
      <c r="A93" s="177"/>
      <c r="B93" s="310" t="s">
        <v>410</v>
      </c>
      <c r="C93" s="117"/>
      <c r="D93" s="301" t="e">
        <f t="shared" ref="D93:T93" si="364">365/(D$5/D92)</f>
        <v>#REF!</v>
      </c>
      <c r="E93" s="301" t="e">
        <f t="shared" si="364"/>
        <v>#REF!</v>
      </c>
      <c r="F93" s="301" t="e">
        <f t="shared" si="364"/>
        <v>#REF!</v>
      </c>
      <c r="G93" s="301" t="e">
        <f t="shared" si="364"/>
        <v>#REF!</v>
      </c>
      <c r="H93" s="301" t="e">
        <f t="shared" si="364"/>
        <v>#REF!</v>
      </c>
      <c r="I93" s="301" t="e">
        <f t="shared" si="364"/>
        <v>#REF!</v>
      </c>
      <c r="J93" s="301" t="e">
        <f t="shared" si="364"/>
        <v>#REF!</v>
      </c>
      <c r="K93" s="301" t="e">
        <f t="shared" si="364"/>
        <v>#REF!</v>
      </c>
      <c r="L93" s="301" t="e">
        <f t="shared" si="364"/>
        <v>#REF!</v>
      </c>
      <c r="M93" s="301" t="e">
        <f t="shared" si="364"/>
        <v>#REF!</v>
      </c>
      <c r="N93" s="301" t="e">
        <f t="shared" si="364"/>
        <v>#REF!</v>
      </c>
      <c r="O93" s="301" t="e">
        <f t="shared" si="364"/>
        <v>#REF!</v>
      </c>
      <c r="P93" s="301" t="e">
        <f t="shared" si="364"/>
        <v>#REF!</v>
      </c>
      <c r="Q93" s="301" t="e">
        <f t="shared" si="364"/>
        <v>#REF!</v>
      </c>
      <c r="R93" s="301" t="e">
        <f t="shared" si="364"/>
        <v>#REF!</v>
      </c>
      <c r="S93" s="301" t="e">
        <f t="shared" si="364"/>
        <v>#REF!</v>
      </c>
      <c r="T93" s="301" t="e">
        <f t="shared" si="364"/>
        <v>#REF!</v>
      </c>
      <c r="U93" s="301" t="e">
        <f>365/(U$5/U92)</f>
        <v>#REF!</v>
      </c>
      <c r="V93" s="334" t="e">
        <f>365/(V$5/V92)/4</f>
        <v>#REF!</v>
      </c>
      <c r="W93" s="301" t="e">
        <f>365/(W$5/W92)/4</f>
        <v>#REF!</v>
      </c>
      <c r="X93" s="301" t="e">
        <f>365/(X$5/X92)/2</f>
        <v>#REF!</v>
      </c>
      <c r="Y93" s="301" t="e">
        <f>365/(Y$5/Y92)/4</f>
        <v>#REF!</v>
      </c>
      <c r="Z93" s="301" t="e">
        <f>365/(Z$5/Z92)/4</f>
        <v>#REF!</v>
      </c>
      <c r="AA93" s="301" t="e">
        <f>365/(AA$5/AA92)/2</f>
        <v>#REF!</v>
      </c>
      <c r="AB93" s="301" t="e">
        <f>365/(AB$5/AB92)</f>
        <v>#REF!</v>
      </c>
      <c r="AC93" s="334" t="e">
        <f>365/(AC$5/AC92)/4</f>
        <v>#REF!</v>
      </c>
      <c r="AD93" s="301" t="e">
        <f>365/(AD$5/AD92)/4</f>
        <v>#REF!</v>
      </c>
      <c r="AE93" s="301" t="e">
        <f>365/(AE$5/AE92)/2</f>
        <v>#REF!</v>
      </c>
      <c r="AF93" s="301" t="e">
        <f>365/(AF$5/AF92)/4</f>
        <v>#REF!</v>
      </c>
      <c r="AG93" s="301" t="e">
        <f>365/(AG$5/AG92)/4</f>
        <v>#REF!</v>
      </c>
      <c r="AH93" s="301" t="e">
        <f>365/(AH$5/AH92)/2</f>
        <v>#REF!</v>
      </c>
      <c r="AI93" s="301" t="e">
        <f t="shared" ref="AI93:BD93" si="365">365/(AI$5/AI92)</f>
        <v>#REF!</v>
      </c>
      <c r="AJ93" s="334" t="e">
        <f>365/(AJ$5/AJ92)/4</f>
        <v>#REF!</v>
      </c>
      <c r="AK93" s="301" t="e">
        <f>365/(AK$5/AK92)/4</f>
        <v>#REF!</v>
      </c>
      <c r="AL93" s="301" t="e">
        <f>365/(AL$5/AL92)/2</f>
        <v>#REF!</v>
      </c>
      <c r="AM93" s="301" t="e">
        <f>365/(AM$5/AM92)/4</f>
        <v>#REF!</v>
      </c>
      <c r="AN93" s="301" t="e">
        <f>365/(AN$5/AN92)/4</f>
        <v>#REF!</v>
      </c>
      <c r="AO93" s="301" t="e">
        <f>365/(AO$5/AO92)/2</f>
        <v>#REF!</v>
      </c>
      <c r="AP93" s="301" t="e">
        <f t="shared" si="365"/>
        <v>#REF!</v>
      </c>
      <c r="AQ93" s="334" t="e">
        <f>365/(AQ$5/AQ92)/4</f>
        <v>#REF!</v>
      </c>
      <c r="AR93" s="301" t="e">
        <f>365/(AR$5/AR92)/4</f>
        <v>#REF!</v>
      </c>
      <c r="AS93" s="301" t="e">
        <f>365/(AS$5/AS92)/2</f>
        <v>#REF!</v>
      </c>
      <c r="AT93" s="301" t="e">
        <f>365/(AT$5/AT92)/4</f>
        <v>#REF!</v>
      </c>
      <c r="AU93" s="301" t="e">
        <f>365/(AU$5/AU92)/4</f>
        <v>#REF!</v>
      </c>
      <c r="AV93" s="301" t="e">
        <f>365/(AV$5/AV92)/2</f>
        <v>#REF!</v>
      </c>
      <c r="AW93" s="301" t="e">
        <f t="shared" si="365"/>
        <v>#REF!</v>
      </c>
      <c r="AX93" s="334" t="e">
        <f>365/(AX$5/AX92)/4</f>
        <v>#REF!</v>
      </c>
      <c r="AY93" s="301" t="e">
        <f>365/(AY$5/AY92)/4</f>
        <v>#REF!</v>
      </c>
      <c r="AZ93" s="301" t="e">
        <f>365/(AZ$5/AZ92)/2</f>
        <v>#REF!</v>
      </c>
      <c r="BA93" s="301" t="e">
        <f>365/(BA$5/BA92)/4</f>
        <v>#REF!</v>
      </c>
      <c r="BB93" s="301" t="e">
        <f>365/(BB$5/BB92)/4</f>
        <v>#REF!</v>
      </c>
      <c r="BC93" s="301" t="e">
        <f>365/(BC$5/BC92)/2</f>
        <v>#REF!</v>
      </c>
      <c r="BD93" s="377" t="e">
        <f t="shared" si="365"/>
        <v>#REF!</v>
      </c>
      <c r="BE93" s="334" t="e">
        <f>365/(BE$5/BE92)/4</f>
        <v>#REF!</v>
      </c>
      <c r="BF93" s="301" t="e">
        <f>365/(BF$5/BF92)/4</f>
        <v>#REF!</v>
      </c>
      <c r="BG93" s="301" t="e">
        <f>365/(BG$5/BG92)/2</f>
        <v>#REF!</v>
      </c>
      <c r="BH93" s="301" t="e">
        <f>365/(BH$5/BH92)/4</f>
        <v>#REF!</v>
      </c>
      <c r="BI93" s="301" t="e">
        <f>365/(BI$5/BI92)/4</f>
        <v>#REF!</v>
      </c>
      <c r="BJ93" s="301" t="e">
        <f>365/(BJ$5/BJ92)/2</f>
        <v>#REF!</v>
      </c>
      <c r="BK93" s="377" t="e">
        <f t="shared" ref="BK93" si="366">365/(BK$5/BK92)</f>
        <v>#REF!</v>
      </c>
      <c r="BL93" s="301" t="e">
        <f t="shared" ref="BL93" si="367">365/(BL$5/BL92)</f>
        <v>#REF!</v>
      </c>
      <c r="BM93" s="301" t="e">
        <f t="shared" ref="BM93" si="368">365/(BM$5/BM92)</f>
        <v>#REF!</v>
      </c>
      <c r="BN93" s="301" t="e">
        <f t="shared" ref="BN93" si="369">365/(BN$5/BN92)</f>
        <v>#REF!</v>
      </c>
      <c r="BO93" s="301" t="e">
        <f t="shared" ref="BO93" si="370">365/(BO$5/BO92)</f>
        <v>#REF!</v>
      </c>
      <c r="BP93" s="301" t="e">
        <f t="shared" ref="BP93" si="371">365/(BP$5/BP92)</f>
        <v>#REF!</v>
      </c>
      <c r="BQ93" s="301" t="e">
        <f t="shared" ref="BQ93" si="372">365/(BQ$5/BQ92)</f>
        <v>#REF!</v>
      </c>
      <c r="BR93" s="301" t="e">
        <f t="shared" ref="BR93" si="373">365/(BR$5/BR92)</f>
        <v>#REF!</v>
      </c>
      <c r="BT93" s="121"/>
    </row>
    <row r="94" spans="1:72" ht="13.8">
      <c r="A94" s="177"/>
      <c r="B94" s="310"/>
      <c r="C94" s="117"/>
      <c r="D94" s="301"/>
      <c r="E94" s="301"/>
      <c r="F94" s="301"/>
      <c r="G94" s="301"/>
      <c r="H94" s="301"/>
      <c r="I94" s="301"/>
      <c r="J94" s="301"/>
      <c r="K94" s="301"/>
      <c r="L94" s="301"/>
      <c r="M94" s="301"/>
      <c r="N94" s="301"/>
      <c r="O94" s="301"/>
      <c r="P94" s="301"/>
      <c r="Q94" s="301"/>
      <c r="R94" s="301"/>
      <c r="S94" s="301"/>
      <c r="T94" s="301"/>
      <c r="U94" s="301"/>
      <c r="V94" s="334"/>
      <c r="W94" s="301"/>
      <c r="X94" s="301"/>
      <c r="Y94" s="301"/>
      <c r="Z94" s="301"/>
      <c r="AA94" s="301"/>
      <c r="AB94" s="301"/>
      <c r="AC94" s="334"/>
      <c r="AD94" s="301"/>
      <c r="AE94" s="301"/>
      <c r="AF94" s="301"/>
      <c r="AG94" s="301"/>
      <c r="AH94" s="301"/>
      <c r="AI94" s="301"/>
      <c r="AJ94" s="334"/>
      <c r="AK94" s="301"/>
      <c r="AL94" s="301"/>
      <c r="AM94" s="301"/>
      <c r="AN94" s="301"/>
      <c r="AO94" s="301"/>
      <c r="AP94" s="301"/>
      <c r="AQ94" s="334"/>
      <c r="AR94" s="301"/>
      <c r="AS94" s="301"/>
      <c r="AT94" s="301"/>
      <c r="AU94" s="301"/>
      <c r="AV94" s="301"/>
      <c r="AW94" s="301"/>
      <c r="AX94" s="334"/>
      <c r="AY94" s="301"/>
      <c r="AZ94" s="301"/>
      <c r="BA94" s="301"/>
      <c r="BB94" s="301"/>
      <c r="BC94" s="301"/>
      <c r="BD94" s="377"/>
      <c r="BE94" s="334"/>
      <c r="BF94" s="301"/>
      <c r="BG94" s="301"/>
      <c r="BH94" s="301"/>
      <c r="BI94" s="301"/>
      <c r="BJ94" s="301"/>
      <c r="BK94" s="377"/>
      <c r="BL94" s="301"/>
      <c r="BM94" s="301"/>
      <c r="BN94" s="301"/>
      <c r="BO94" s="301"/>
      <c r="BP94" s="301"/>
      <c r="BQ94" s="301"/>
      <c r="BR94" s="301"/>
      <c r="BT94" s="121"/>
    </row>
    <row r="95" spans="1:72" ht="14.1">
      <c r="A95" s="177"/>
      <c r="B95" s="308" t="s">
        <v>395</v>
      </c>
      <c r="C95" s="117"/>
      <c r="D95" s="162" t="e">
        <f t="shared" ref="D95:U95" si="374">D82+D85+D88+D92</f>
        <v>#REF!</v>
      </c>
      <c r="E95" s="162" t="e">
        <f t="shared" si="374"/>
        <v>#REF!</v>
      </c>
      <c r="F95" s="162" t="e">
        <f t="shared" si="374"/>
        <v>#REF!</v>
      </c>
      <c r="G95" s="162" t="e">
        <f t="shared" si="374"/>
        <v>#REF!</v>
      </c>
      <c r="H95" s="162" t="e">
        <f t="shared" si="374"/>
        <v>#REF!</v>
      </c>
      <c r="I95" s="162" t="e">
        <f t="shared" si="374"/>
        <v>#REF!</v>
      </c>
      <c r="J95" s="162" t="e">
        <f t="shared" si="374"/>
        <v>#REF!</v>
      </c>
      <c r="K95" s="162" t="e">
        <f t="shared" si="374"/>
        <v>#REF!</v>
      </c>
      <c r="L95" s="162" t="e">
        <f t="shared" si="374"/>
        <v>#REF!</v>
      </c>
      <c r="M95" s="162" t="e">
        <f t="shared" si="374"/>
        <v>#REF!</v>
      </c>
      <c r="N95" s="162" t="e">
        <f t="shared" si="374"/>
        <v>#REF!</v>
      </c>
      <c r="O95" s="162" t="e">
        <f t="shared" si="374"/>
        <v>#REF!</v>
      </c>
      <c r="P95" s="162" t="e">
        <f t="shared" si="374"/>
        <v>#REF!</v>
      </c>
      <c r="Q95" s="162" t="e">
        <f t="shared" si="374"/>
        <v>#REF!</v>
      </c>
      <c r="R95" s="162" t="e">
        <f t="shared" si="374"/>
        <v>#REF!</v>
      </c>
      <c r="S95" s="162" t="e">
        <f t="shared" si="374"/>
        <v>#REF!</v>
      </c>
      <c r="T95" s="162" t="e">
        <f t="shared" si="374"/>
        <v>#REF!</v>
      </c>
      <c r="U95" s="162" t="e">
        <f t="shared" si="374"/>
        <v>#REF!</v>
      </c>
      <c r="V95" s="162" t="e">
        <f t="shared" ref="V95:AA95" si="375">V82+V85+V88+V92</f>
        <v>#REF!</v>
      </c>
      <c r="W95" s="162" t="e">
        <f t="shared" si="375"/>
        <v>#REF!</v>
      </c>
      <c r="X95" s="162" t="e">
        <f t="shared" si="375"/>
        <v>#REF!</v>
      </c>
      <c r="Y95" s="162" t="e">
        <f t="shared" si="375"/>
        <v>#REF!</v>
      </c>
      <c r="Z95" s="162" t="e">
        <f t="shared" si="375"/>
        <v>#REF!</v>
      </c>
      <c r="AA95" s="162" t="e">
        <f t="shared" si="375"/>
        <v>#REF!</v>
      </c>
      <c r="AB95" s="162" t="e">
        <f>AB82+AB85+AB88+AB92</f>
        <v>#REF!</v>
      </c>
      <c r="AC95" s="162" t="e">
        <f t="shared" ref="AC95:AH95" si="376">AC82+AC85+AC88+AC92</f>
        <v>#REF!</v>
      </c>
      <c r="AD95" s="162" t="e">
        <f t="shared" si="376"/>
        <v>#REF!</v>
      </c>
      <c r="AE95" s="162" t="e">
        <f t="shared" si="376"/>
        <v>#REF!</v>
      </c>
      <c r="AF95" s="162" t="e">
        <f t="shared" si="376"/>
        <v>#REF!</v>
      </c>
      <c r="AG95" s="162" t="e">
        <f t="shared" si="376"/>
        <v>#REF!</v>
      </c>
      <c r="AH95" s="162" t="e">
        <f t="shared" si="376"/>
        <v>#REF!</v>
      </c>
      <c r="AI95" s="162" t="e">
        <f>AI82+AI85+AI88+AI92</f>
        <v>#REF!</v>
      </c>
      <c r="AJ95" s="162" t="e">
        <f t="shared" ref="AJ95:AO95" si="377">AJ82+AJ85+AJ88+AJ92</f>
        <v>#REF!</v>
      </c>
      <c r="AK95" s="162" t="e">
        <f t="shared" si="377"/>
        <v>#REF!</v>
      </c>
      <c r="AL95" s="162" t="e">
        <f t="shared" si="377"/>
        <v>#REF!</v>
      </c>
      <c r="AM95" s="162" t="e">
        <f t="shared" si="377"/>
        <v>#REF!</v>
      </c>
      <c r="AN95" s="162" t="e">
        <f t="shared" si="377"/>
        <v>#REF!</v>
      </c>
      <c r="AO95" s="162" t="e">
        <f t="shared" si="377"/>
        <v>#REF!</v>
      </c>
      <c r="AP95" s="162" t="e">
        <f>AP82+AP85+AP88+AP92</f>
        <v>#REF!</v>
      </c>
      <c r="AQ95" s="162" t="e">
        <f t="shared" ref="AQ95:AV95" si="378">AQ82+AQ85+AQ88+AQ92</f>
        <v>#REF!</v>
      </c>
      <c r="AR95" s="162" t="e">
        <f t="shared" si="378"/>
        <v>#REF!</v>
      </c>
      <c r="AS95" s="162" t="e">
        <f t="shared" si="378"/>
        <v>#REF!</v>
      </c>
      <c r="AT95" s="162" t="e">
        <f t="shared" si="378"/>
        <v>#REF!</v>
      </c>
      <c r="AU95" s="162" t="e">
        <f t="shared" si="378"/>
        <v>#REF!</v>
      </c>
      <c r="AV95" s="162" t="e">
        <f t="shared" si="378"/>
        <v>#REF!</v>
      </c>
      <c r="AW95" s="162" t="e">
        <f>AW82+AW85+AW88+AW92</f>
        <v>#REF!</v>
      </c>
      <c r="AX95" s="162" t="e">
        <f t="shared" ref="AX95:BD95" si="379">AX82+AX85+AX88+AX92</f>
        <v>#REF!</v>
      </c>
      <c r="AY95" s="162" t="e">
        <f t="shared" si="379"/>
        <v>#REF!</v>
      </c>
      <c r="AZ95" s="162" t="e">
        <f t="shared" si="379"/>
        <v>#REF!</v>
      </c>
      <c r="BA95" s="162" t="e">
        <f t="shared" si="379"/>
        <v>#REF!</v>
      </c>
      <c r="BB95" s="162" t="e">
        <f t="shared" si="379"/>
        <v>#REF!</v>
      </c>
      <c r="BC95" s="162" t="e">
        <f t="shared" si="379"/>
        <v>#REF!</v>
      </c>
      <c r="BD95" s="162" t="e">
        <f t="shared" si="379"/>
        <v>#REF!</v>
      </c>
      <c r="BE95" s="162" t="e">
        <f t="shared" ref="BE95:BK95" si="380">BE82+BE85+BE88+BE92</f>
        <v>#REF!</v>
      </c>
      <c r="BF95" s="162" t="e">
        <f t="shared" si="380"/>
        <v>#REF!</v>
      </c>
      <c r="BG95" s="162" t="e">
        <f t="shared" si="380"/>
        <v>#REF!</v>
      </c>
      <c r="BH95" s="162" t="e">
        <f t="shared" si="380"/>
        <v>#REF!</v>
      </c>
      <c r="BI95" s="162" t="e">
        <f t="shared" si="380"/>
        <v>#REF!</v>
      </c>
      <c r="BJ95" s="162" t="e">
        <f t="shared" si="380"/>
        <v>#REF!</v>
      </c>
      <c r="BK95" s="162" t="e">
        <f t="shared" si="380"/>
        <v>#REF!</v>
      </c>
      <c r="BL95" s="162" t="e">
        <f t="shared" ref="BL95:BR95" si="381">BL82+BL85+BL88+BL92</f>
        <v>#REF!</v>
      </c>
      <c r="BM95" s="162" t="e">
        <f t="shared" si="381"/>
        <v>#REF!</v>
      </c>
      <c r="BN95" s="162" t="e">
        <f t="shared" si="381"/>
        <v>#REF!</v>
      </c>
      <c r="BO95" s="162" t="e">
        <f t="shared" si="381"/>
        <v>#REF!</v>
      </c>
      <c r="BP95" s="162" t="e">
        <f t="shared" si="381"/>
        <v>#REF!</v>
      </c>
      <c r="BQ95" s="162" t="e">
        <f t="shared" si="381"/>
        <v>#REF!</v>
      </c>
      <c r="BR95" s="162" t="e">
        <f t="shared" si="381"/>
        <v>#REF!</v>
      </c>
      <c r="BT95" s="121"/>
    </row>
    <row r="96" spans="1:72" ht="13.8">
      <c r="A96" s="177"/>
      <c r="B96" s="309" t="s">
        <v>411</v>
      </c>
      <c r="C96" s="117"/>
      <c r="D96" s="301" t="e">
        <f t="shared" ref="D96:AI96" si="382">D93+D89+D86+D83</f>
        <v>#REF!</v>
      </c>
      <c r="E96" s="301" t="e">
        <f t="shared" si="382"/>
        <v>#REF!</v>
      </c>
      <c r="F96" s="301" t="e">
        <f t="shared" si="382"/>
        <v>#REF!</v>
      </c>
      <c r="G96" s="301" t="e">
        <f t="shared" si="382"/>
        <v>#REF!</v>
      </c>
      <c r="H96" s="301" t="e">
        <f t="shared" si="382"/>
        <v>#REF!</v>
      </c>
      <c r="I96" s="301" t="e">
        <f t="shared" si="382"/>
        <v>#REF!</v>
      </c>
      <c r="J96" s="301" t="e">
        <f t="shared" si="382"/>
        <v>#REF!</v>
      </c>
      <c r="K96" s="301" t="e">
        <f t="shared" si="382"/>
        <v>#REF!</v>
      </c>
      <c r="L96" s="301" t="e">
        <f t="shared" si="382"/>
        <v>#REF!</v>
      </c>
      <c r="M96" s="301" t="e">
        <f t="shared" si="382"/>
        <v>#REF!</v>
      </c>
      <c r="N96" s="301" t="e">
        <f t="shared" si="382"/>
        <v>#REF!</v>
      </c>
      <c r="O96" s="301" t="e">
        <f t="shared" si="382"/>
        <v>#REF!</v>
      </c>
      <c r="P96" s="301" t="e">
        <f t="shared" si="382"/>
        <v>#REF!</v>
      </c>
      <c r="Q96" s="301" t="e">
        <f t="shared" si="382"/>
        <v>#REF!</v>
      </c>
      <c r="R96" s="301" t="e">
        <f t="shared" si="382"/>
        <v>#REF!</v>
      </c>
      <c r="S96" s="301" t="e">
        <f t="shared" si="382"/>
        <v>#REF!</v>
      </c>
      <c r="T96" s="301" t="e">
        <f t="shared" si="382"/>
        <v>#REF!</v>
      </c>
      <c r="U96" s="301" t="e">
        <f t="shared" si="382"/>
        <v>#REF!</v>
      </c>
      <c r="V96" s="334" t="e">
        <f t="shared" si="382"/>
        <v>#REF!</v>
      </c>
      <c r="W96" s="301" t="e">
        <f t="shared" si="382"/>
        <v>#REF!</v>
      </c>
      <c r="X96" s="301" t="e">
        <f t="shared" si="382"/>
        <v>#REF!</v>
      </c>
      <c r="Y96" s="301" t="e">
        <f t="shared" si="382"/>
        <v>#REF!</v>
      </c>
      <c r="Z96" s="301" t="e">
        <f t="shared" si="382"/>
        <v>#REF!</v>
      </c>
      <c r="AA96" s="301" t="e">
        <f t="shared" si="382"/>
        <v>#REF!</v>
      </c>
      <c r="AB96" s="301" t="e">
        <f t="shared" si="382"/>
        <v>#REF!</v>
      </c>
      <c r="AC96" s="334" t="e">
        <f t="shared" si="382"/>
        <v>#REF!</v>
      </c>
      <c r="AD96" s="301" t="e">
        <f t="shared" si="382"/>
        <v>#REF!</v>
      </c>
      <c r="AE96" s="301" t="e">
        <f t="shared" si="382"/>
        <v>#REF!</v>
      </c>
      <c r="AF96" s="301" t="e">
        <f t="shared" si="382"/>
        <v>#REF!</v>
      </c>
      <c r="AG96" s="301" t="e">
        <f t="shared" si="382"/>
        <v>#REF!</v>
      </c>
      <c r="AH96" s="301" t="e">
        <f t="shared" si="382"/>
        <v>#REF!</v>
      </c>
      <c r="AI96" s="301" t="e">
        <f t="shared" si="382"/>
        <v>#REF!</v>
      </c>
      <c r="AJ96" s="334" t="e">
        <f t="shared" ref="AJ96:BR96" si="383">AJ93+AJ89+AJ86+AJ83</f>
        <v>#REF!</v>
      </c>
      <c r="AK96" s="301" t="e">
        <f t="shared" si="383"/>
        <v>#REF!</v>
      </c>
      <c r="AL96" s="301" t="e">
        <f t="shared" si="383"/>
        <v>#REF!</v>
      </c>
      <c r="AM96" s="301" t="e">
        <f t="shared" si="383"/>
        <v>#REF!</v>
      </c>
      <c r="AN96" s="301" t="e">
        <f t="shared" si="383"/>
        <v>#REF!</v>
      </c>
      <c r="AO96" s="301" t="e">
        <f t="shared" si="383"/>
        <v>#REF!</v>
      </c>
      <c r="AP96" s="301" t="e">
        <f t="shared" si="383"/>
        <v>#REF!</v>
      </c>
      <c r="AQ96" s="334" t="e">
        <f t="shared" si="383"/>
        <v>#REF!</v>
      </c>
      <c r="AR96" s="301" t="e">
        <f t="shared" si="383"/>
        <v>#REF!</v>
      </c>
      <c r="AS96" s="301" t="e">
        <f t="shared" si="383"/>
        <v>#REF!</v>
      </c>
      <c r="AT96" s="301" t="e">
        <f t="shared" si="383"/>
        <v>#REF!</v>
      </c>
      <c r="AU96" s="301" t="e">
        <f t="shared" si="383"/>
        <v>#REF!</v>
      </c>
      <c r="AV96" s="301" t="e">
        <f t="shared" si="383"/>
        <v>#REF!</v>
      </c>
      <c r="AW96" s="301" t="e">
        <f t="shared" si="383"/>
        <v>#REF!</v>
      </c>
      <c r="AX96" s="334" t="e">
        <f t="shared" si="383"/>
        <v>#REF!</v>
      </c>
      <c r="AY96" s="301" t="e">
        <f t="shared" si="383"/>
        <v>#REF!</v>
      </c>
      <c r="AZ96" s="301" t="e">
        <f t="shared" si="383"/>
        <v>#REF!</v>
      </c>
      <c r="BA96" s="301" t="e">
        <f t="shared" si="383"/>
        <v>#REF!</v>
      </c>
      <c r="BB96" s="301" t="e">
        <f t="shared" si="383"/>
        <v>#REF!</v>
      </c>
      <c r="BC96" s="301" t="e">
        <f t="shared" si="383"/>
        <v>#REF!</v>
      </c>
      <c r="BD96" s="377" t="e">
        <f t="shared" si="383"/>
        <v>#REF!</v>
      </c>
      <c r="BE96" s="334" t="e">
        <f t="shared" ref="BE96:BK96" si="384">BE93+BE89+BE86+BE83</f>
        <v>#REF!</v>
      </c>
      <c r="BF96" s="301" t="e">
        <f t="shared" si="384"/>
        <v>#REF!</v>
      </c>
      <c r="BG96" s="301" t="e">
        <f t="shared" si="384"/>
        <v>#REF!</v>
      </c>
      <c r="BH96" s="301" t="e">
        <f t="shared" si="384"/>
        <v>#REF!</v>
      </c>
      <c r="BI96" s="301" t="e">
        <f t="shared" si="384"/>
        <v>#REF!</v>
      </c>
      <c r="BJ96" s="301" t="e">
        <f t="shared" si="384"/>
        <v>#REF!</v>
      </c>
      <c r="BK96" s="377" t="e">
        <f t="shared" si="384"/>
        <v>#REF!</v>
      </c>
      <c r="BL96" s="301" t="e">
        <f t="shared" si="383"/>
        <v>#REF!</v>
      </c>
      <c r="BM96" s="301" t="e">
        <f t="shared" si="383"/>
        <v>#REF!</v>
      </c>
      <c r="BN96" s="301" t="e">
        <f t="shared" si="383"/>
        <v>#REF!</v>
      </c>
      <c r="BO96" s="301" t="e">
        <f t="shared" si="383"/>
        <v>#REF!</v>
      </c>
      <c r="BP96" s="301" t="e">
        <f t="shared" si="383"/>
        <v>#REF!</v>
      </c>
      <c r="BQ96" s="301" t="e">
        <f t="shared" si="383"/>
        <v>#REF!</v>
      </c>
      <c r="BR96" s="301" t="e">
        <f t="shared" si="383"/>
        <v>#REF!</v>
      </c>
      <c r="BT96" s="121"/>
    </row>
    <row r="97" spans="1:72" ht="13.8">
      <c r="A97" s="177"/>
      <c r="B97" s="179"/>
      <c r="C97" s="117"/>
      <c r="D97" s="162"/>
      <c r="E97" s="162"/>
      <c r="F97" s="162"/>
      <c r="G97" s="162"/>
      <c r="H97" s="162"/>
      <c r="I97" s="162"/>
      <c r="J97" s="162"/>
      <c r="K97" s="162"/>
      <c r="L97" s="162"/>
      <c r="M97" s="162"/>
      <c r="N97" s="162"/>
      <c r="O97" s="162"/>
      <c r="P97" s="162"/>
      <c r="Q97" s="162"/>
      <c r="R97" s="162"/>
      <c r="S97" s="162"/>
      <c r="T97" s="162"/>
      <c r="U97" s="162"/>
      <c r="V97" s="333"/>
      <c r="W97" s="162"/>
      <c r="X97" s="162"/>
      <c r="Y97" s="162"/>
      <c r="Z97" s="162"/>
      <c r="AA97" s="162"/>
      <c r="AB97" s="162"/>
      <c r="AC97" s="333"/>
      <c r="AD97" s="162"/>
      <c r="AE97" s="162"/>
      <c r="AF97" s="162"/>
      <c r="AG97" s="162"/>
      <c r="AH97" s="162"/>
      <c r="AI97" s="162"/>
      <c r="AJ97" s="333"/>
      <c r="AK97" s="162"/>
      <c r="AL97" s="162"/>
      <c r="AM97" s="162"/>
      <c r="AN97" s="162"/>
      <c r="AO97" s="162"/>
      <c r="AP97" s="162"/>
      <c r="AQ97" s="333"/>
      <c r="AR97" s="162"/>
      <c r="AS97" s="162"/>
      <c r="AT97" s="162"/>
      <c r="AU97" s="162"/>
      <c r="AV97" s="162"/>
      <c r="AW97" s="162"/>
      <c r="AX97" s="333"/>
      <c r="AY97" s="162"/>
      <c r="AZ97" s="162"/>
      <c r="BA97" s="162"/>
      <c r="BB97" s="162"/>
      <c r="BC97" s="162"/>
      <c r="BD97" s="376"/>
      <c r="BE97" s="333"/>
      <c r="BF97" s="162"/>
      <c r="BG97" s="162"/>
      <c r="BH97" s="162"/>
      <c r="BI97" s="162"/>
      <c r="BJ97" s="162"/>
      <c r="BK97" s="376"/>
      <c r="BL97" s="162"/>
      <c r="BM97" s="162"/>
      <c r="BN97" s="162"/>
      <c r="BO97" s="162"/>
      <c r="BP97" s="162"/>
      <c r="BQ97" s="162"/>
      <c r="BR97" s="162"/>
      <c r="BT97" s="121"/>
    </row>
    <row r="98" spans="1:72" ht="14.1">
      <c r="A98" s="177"/>
      <c r="B98" s="312" t="s">
        <v>396</v>
      </c>
      <c r="C98" s="117"/>
      <c r="D98" s="162" t="e">
        <f t="shared" ref="D98:AI98" si="385">D79-D95</f>
        <v>#REF!</v>
      </c>
      <c r="E98" s="162" t="e">
        <f t="shared" si="385"/>
        <v>#REF!</v>
      </c>
      <c r="F98" s="162" t="e">
        <f t="shared" si="385"/>
        <v>#REF!</v>
      </c>
      <c r="G98" s="162" t="e">
        <f t="shared" si="385"/>
        <v>#REF!</v>
      </c>
      <c r="H98" s="162" t="e">
        <f t="shared" si="385"/>
        <v>#REF!</v>
      </c>
      <c r="I98" s="162" t="e">
        <f t="shared" si="385"/>
        <v>#REF!</v>
      </c>
      <c r="J98" s="162" t="e">
        <f t="shared" si="385"/>
        <v>#REF!</v>
      </c>
      <c r="K98" s="162" t="e">
        <f t="shared" si="385"/>
        <v>#REF!</v>
      </c>
      <c r="L98" s="162" t="e">
        <f t="shared" si="385"/>
        <v>#REF!</v>
      </c>
      <c r="M98" s="162" t="e">
        <f t="shared" si="385"/>
        <v>#REF!</v>
      </c>
      <c r="N98" s="162" t="e">
        <f t="shared" si="385"/>
        <v>#REF!</v>
      </c>
      <c r="O98" s="162" t="e">
        <f t="shared" si="385"/>
        <v>#REF!</v>
      </c>
      <c r="P98" s="162" t="e">
        <f t="shared" si="385"/>
        <v>#REF!</v>
      </c>
      <c r="Q98" s="162" t="e">
        <f t="shared" si="385"/>
        <v>#REF!</v>
      </c>
      <c r="R98" s="162" t="e">
        <f t="shared" si="385"/>
        <v>#REF!</v>
      </c>
      <c r="S98" s="162" t="e">
        <f t="shared" si="385"/>
        <v>#REF!</v>
      </c>
      <c r="T98" s="162" t="e">
        <f t="shared" si="385"/>
        <v>#REF!</v>
      </c>
      <c r="U98" s="162" t="e">
        <f t="shared" si="385"/>
        <v>#REF!</v>
      </c>
      <c r="V98" s="333" t="e">
        <f t="shared" si="385"/>
        <v>#REF!</v>
      </c>
      <c r="W98" s="162" t="e">
        <f t="shared" si="385"/>
        <v>#REF!</v>
      </c>
      <c r="X98" s="162" t="e">
        <f t="shared" si="385"/>
        <v>#REF!</v>
      </c>
      <c r="Y98" s="162" t="e">
        <f t="shared" si="385"/>
        <v>#REF!</v>
      </c>
      <c r="Z98" s="162" t="e">
        <f t="shared" si="385"/>
        <v>#REF!</v>
      </c>
      <c r="AA98" s="162" t="e">
        <f t="shared" si="385"/>
        <v>#REF!</v>
      </c>
      <c r="AB98" s="162" t="e">
        <f t="shared" si="385"/>
        <v>#REF!</v>
      </c>
      <c r="AC98" s="333" t="e">
        <f t="shared" si="385"/>
        <v>#REF!</v>
      </c>
      <c r="AD98" s="162" t="e">
        <f t="shared" si="385"/>
        <v>#REF!</v>
      </c>
      <c r="AE98" s="162" t="e">
        <f t="shared" si="385"/>
        <v>#REF!</v>
      </c>
      <c r="AF98" s="162" t="e">
        <f t="shared" si="385"/>
        <v>#REF!</v>
      </c>
      <c r="AG98" s="162" t="e">
        <f t="shared" si="385"/>
        <v>#REF!</v>
      </c>
      <c r="AH98" s="162" t="e">
        <f t="shared" si="385"/>
        <v>#REF!</v>
      </c>
      <c r="AI98" s="162" t="e">
        <f t="shared" si="385"/>
        <v>#REF!</v>
      </c>
      <c r="AJ98" s="333" t="e">
        <f t="shared" ref="AJ98:BR98" si="386">AJ79-AJ95</f>
        <v>#REF!</v>
      </c>
      <c r="AK98" s="162" t="e">
        <f t="shared" si="386"/>
        <v>#REF!</v>
      </c>
      <c r="AL98" s="162" t="e">
        <f t="shared" si="386"/>
        <v>#REF!</v>
      </c>
      <c r="AM98" s="162" t="e">
        <f t="shared" si="386"/>
        <v>#REF!</v>
      </c>
      <c r="AN98" s="162" t="e">
        <f t="shared" si="386"/>
        <v>#REF!</v>
      </c>
      <c r="AO98" s="162" t="e">
        <f t="shared" si="386"/>
        <v>#REF!</v>
      </c>
      <c r="AP98" s="162" t="e">
        <f t="shared" si="386"/>
        <v>#REF!</v>
      </c>
      <c r="AQ98" s="333" t="e">
        <f t="shared" si="386"/>
        <v>#REF!</v>
      </c>
      <c r="AR98" s="162" t="e">
        <f t="shared" si="386"/>
        <v>#REF!</v>
      </c>
      <c r="AS98" s="162" t="e">
        <f t="shared" si="386"/>
        <v>#REF!</v>
      </c>
      <c r="AT98" s="162" t="e">
        <f t="shared" si="386"/>
        <v>#REF!</v>
      </c>
      <c r="AU98" s="162" t="e">
        <f t="shared" si="386"/>
        <v>#REF!</v>
      </c>
      <c r="AV98" s="162" t="e">
        <f t="shared" si="386"/>
        <v>#REF!</v>
      </c>
      <c r="AW98" s="162" t="e">
        <f t="shared" si="386"/>
        <v>#REF!</v>
      </c>
      <c r="AX98" s="333" t="e">
        <f t="shared" si="386"/>
        <v>#REF!</v>
      </c>
      <c r="AY98" s="162" t="e">
        <f t="shared" si="386"/>
        <v>#REF!</v>
      </c>
      <c r="AZ98" s="162" t="e">
        <f t="shared" si="386"/>
        <v>#REF!</v>
      </c>
      <c r="BA98" s="162" t="e">
        <f t="shared" si="386"/>
        <v>#REF!</v>
      </c>
      <c r="BB98" s="162" t="e">
        <f t="shared" si="386"/>
        <v>#REF!</v>
      </c>
      <c r="BC98" s="162" t="e">
        <f t="shared" si="386"/>
        <v>#REF!</v>
      </c>
      <c r="BD98" s="376" t="e">
        <f t="shared" si="386"/>
        <v>#REF!</v>
      </c>
      <c r="BE98" s="333" t="e">
        <f t="shared" ref="BE98:BK98" si="387">BE79-BE95</f>
        <v>#REF!</v>
      </c>
      <c r="BF98" s="162" t="e">
        <f t="shared" si="387"/>
        <v>#REF!</v>
      </c>
      <c r="BG98" s="162" t="e">
        <f t="shared" si="387"/>
        <v>#REF!</v>
      </c>
      <c r="BH98" s="162" t="e">
        <f t="shared" si="387"/>
        <v>#REF!</v>
      </c>
      <c r="BI98" s="162" t="e">
        <f t="shared" si="387"/>
        <v>#REF!</v>
      </c>
      <c r="BJ98" s="162" t="e">
        <f t="shared" si="387"/>
        <v>#REF!</v>
      </c>
      <c r="BK98" s="376" t="e">
        <f t="shared" si="387"/>
        <v>#REF!</v>
      </c>
      <c r="BL98" s="162" t="e">
        <f t="shared" si="386"/>
        <v>#REF!</v>
      </c>
      <c r="BM98" s="162" t="e">
        <f t="shared" si="386"/>
        <v>#REF!</v>
      </c>
      <c r="BN98" s="162" t="e">
        <f t="shared" si="386"/>
        <v>#REF!</v>
      </c>
      <c r="BO98" s="162" t="e">
        <f t="shared" si="386"/>
        <v>#REF!</v>
      </c>
      <c r="BP98" s="162" t="e">
        <f t="shared" si="386"/>
        <v>#REF!</v>
      </c>
      <c r="BQ98" s="162" t="e">
        <f t="shared" si="386"/>
        <v>#REF!</v>
      </c>
      <c r="BR98" s="162" t="e">
        <f t="shared" si="386"/>
        <v>#REF!</v>
      </c>
      <c r="BT98" s="121"/>
    </row>
    <row r="99" spans="1:72" ht="13.8">
      <c r="A99" s="177"/>
      <c r="B99" s="313" t="s">
        <v>397</v>
      </c>
      <c r="C99" s="117"/>
      <c r="D99" s="162" t="e">
        <f t="shared" ref="D99:T99" si="388">D98-C98</f>
        <v>#REF!</v>
      </c>
      <c r="E99" s="162" t="e">
        <f t="shared" si="388"/>
        <v>#REF!</v>
      </c>
      <c r="F99" s="162" t="e">
        <f t="shared" si="388"/>
        <v>#REF!</v>
      </c>
      <c r="G99" s="162" t="e">
        <f t="shared" si="388"/>
        <v>#REF!</v>
      </c>
      <c r="H99" s="162" t="e">
        <f t="shared" si="388"/>
        <v>#REF!</v>
      </c>
      <c r="I99" s="162" t="e">
        <f t="shared" si="388"/>
        <v>#REF!</v>
      </c>
      <c r="J99" s="162" t="e">
        <f t="shared" si="388"/>
        <v>#REF!</v>
      </c>
      <c r="K99" s="162" t="e">
        <f t="shared" si="388"/>
        <v>#REF!</v>
      </c>
      <c r="L99" s="162" t="e">
        <f t="shared" si="388"/>
        <v>#REF!</v>
      </c>
      <c r="M99" s="162" t="e">
        <f t="shared" si="388"/>
        <v>#REF!</v>
      </c>
      <c r="N99" s="162" t="e">
        <f t="shared" si="388"/>
        <v>#REF!</v>
      </c>
      <c r="O99" s="162" t="e">
        <f t="shared" si="388"/>
        <v>#REF!</v>
      </c>
      <c r="P99" s="162" t="e">
        <f t="shared" si="388"/>
        <v>#REF!</v>
      </c>
      <c r="Q99" s="162" t="e">
        <f t="shared" si="388"/>
        <v>#REF!</v>
      </c>
      <c r="R99" s="162" t="e">
        <f t="shared" si="388"/>
        <v>#REF!</v>
      </c>
      <c r="S99" s="162" t="e">
        <f t="shared" si="388"/>
        <v>#REF!</v>
      </c>
      <c r="T99" s="162" t="e">
        <f t="shared" si="388"/>
        <v>#REF!</v>
      </c>
      <c r="U99" s="162" t="e">
        <f>U98-T98</f>
        <v>#REF!</v>
      </c>
      <c r="V99" s="376" t="e">
        <f t="shared" ref="V99:BC99" si="389">V98-O98</f>
        <v>#REF!</v>
      </c>
      <c r="W99" s="376" t="e">
        <f t="shared" si="389"/>
        <v>#REF!</v>
      </c>
      <c r="X99" s="376" t="e">
        <f t="shared" si="389"/>
        <v>#REF!</v>
      </c>
      <c r="Y99" s="376" t="e">
        <f t="shared" si="389"/>
        <v>#REF!</v>
      </c>
      <c r="Z99" s="376" t="e">
        <f t="shared" si="389"/>
        <v>#REF!</v>
      </c>
      <c r="AA99" s="376" t="e">
        <f t="shared" si="389"/>
        <v>#REF!</v>
      </c>
      <c r="AB99" s="376" t="e">
        <f t="shared" si="389"/>
        <v>#REF!</v>
      </c>
      <c r="AC99" s="376" t="e">
        <f t="shared" si="389"/>
        <v>#REF!</v>
      </c>
      <c r="AD99" s="376" t="e">
        <f t="shared" si="389"/>
        <v>#REF!</v>
      </c>
      <c r="AE99" s="376" t="e">
        <f t="shared" si="389"/>
        <v>#REF!</v>
      </c>
      <c r="AF99" s="376" t="e">
        <f t="shared" si="389"/>
        <v>#REF!</v>
      </c>
      <c r="AG99" s="376" t="e">
        <f t="shared" si="389"/>
        <v>#REF!</v>
      </c>
      <c r="AH99" s="376" t="e">
        <f t="shared" si="389"/>
        <v>#REF!</v>
      </c>
      <c r="AI99" s="376" t="e">
        <f t="shared" si="389"/>
        <v>#REF!</v>
      </c>
      <c r="AJ99" s="376" t="e">
        <f t="shared" si="389"/>
        <v>#REF!</v>
      </c>
      <c r="AK99" s="376" t="e">
        <f t="shared" si="389"/>
        <v>#REF!</v>
      </c>
      <c r="AL99" s="376" t="e">
        <f t="shared" si="389"/>
        <v>#REF!</v>
      </c>
      <c r="AM99" s="376" t="e">
        <f t="shared" si="389"/>
        <v>#REF!</v>
      </c>
      <c r="AN99" s="376" t="e">
        <f t="shared" si="389"/>
        <v>#REF!</v>
      </c>
      <c r="AO99" s="376" t="e">
        <f t="shared" si="389"/>
        <v>#REF!</v>
      </c>
      <c r="AP99" s="376" t="e">
        <f t="shared" si="389"/>
        <v>#REF!</v>
      </c>
      <c r="AQ99" s="376" t="e">
        <f t="shared" si="389"/>
        <v>#REF!</v>
      </c>
      <c r="AR99" s="376" t="e">
        <f t="shared" si="389"/>
        <v>#REF!</v>
      </c>
      <c r="AS99" s="376" t="e">
        <f t="shared" si="389"/>
        <v>#REF!</v>
      </c>
      <c r="AT99" s="376" t="e">
        <f t="shared" si="389"/>
        <v>#REF!</v>
      </c>
      <c r="AU99" s="376" t="e">
        <f t="shared" si="389"/>
        <v>#REF!</v>
      </c>
      <c r="AV99" s="376" t="e">
        <f t="shared" si="389"/>
        <v>#REF!</v>
      </c>
      <c r="AW99" s="376" t="e">
        <f t="shared" si="389"/>
        <v>#REF!</v>
      </c>
      <c r="AX99" s="376" t="e">
        <f t="shared" si="389"/>
        <v>#REF!</v>
      </c>
      <c r="AY99" s="376" t="e">
        <f t="shared" si="389"/>
        <v>#REF!</v>
      </c>
      <c r="AZ99" s="376" t="e">
        <f t="shared" si="389"/>
        <v>#REF!</v>
      </c>
      <c r="BA99" s="376" t="e">
        <f t="shared" si="389"/>
        <v>#REF!</v>
      </c>
      <c r="BB99" s="376" t="e">
        <f t="shared" si="389"/>
        <v>#REF!</v>
      </c>
      <c r="BC99" s="376" t="e">
        <f t="shared" si="389"/>
        <v>#REF!</v>
      </c>
      <c r="BD99" s="376" t="e">
        <f t="shared" ref="BD99" si="390">BD98-AW98</f>
        <v>#REF!</v>
      </c>
      <c r="BE99" s="376" t="e">
        <f t="shared" ref="BE99" si="391">BE98-AX98</f>
        <v>#REF!</v>
      </c>
      <c r="BF99" s="376" t="e">
        <f t="shared" ref="BF99" si="392">BF98-AY98</f>
        <v>#REF!</v>
      </c>
      <c r="BG99" s="376" t="e">
        <f t="shared" ref="BG99" si="393">BG98-AZ98</f>
        <v>#REF!</v>
      </c>
      <c r="BH99" s="376" t="e">
        <f t="shared" ref="BH99" si="394">BH98-BA98</f>
        <v>#REF!</v>
      </c>
      <c r="BI99" s="376" t="e">
        <f t="shared" ref="BI99" si="395">BI98-BB98</f>
        <v>#REF!</v>
      </c>
      <c r="BJ99" s="376" t="e">
        <f t="shared" ref="BJ99" si="396">BJ98-BC98</f>
        <v>#REF!</v>
      </c>
      <c r="BK99" s="376" t="e">
        <f t="shared" ref="BK99" si="397">BK98-BD98</f>
        <v>#REF!</v>
      </c>
      <c r="BL99" s="162" t="e">
        <f>BL98-BK98</f>
        <v>#REF!</v>
      </c>
      <c r="BM99" s="162" t="e">
        <f t="shared" ref="BM99" si="398">BM98-BL98</f>
        <v>#REF!</v>
      </c>
      <c r="BN99" s="162" t="e">
        <f t="shared" ref="BN99" si="399">BN98-BM98</f>
        <v>#REF!</v>
      </c>
      <c r="BO99" s="162" t="e">
        <f t="shared" ref="BO99" si="400">BO98-BN98</f>
        <v>#REF!</v>
      </c>
      <c r="BP99" s="162" t="e">
        <f t="shared" ref="BP99" si="401">BP98-BO98</f>
        <v>#REF!</v>
      </c>
      <c r="BQ99" s="162" t="e">
        <f t="shared" ref="BQ99" si="402">BQ98-BP98</f>
        <v>#REF!</v>
      </c>
      <c r="BR99" s="162" t="e">
        <f t="shared" ref="BR99" si="403">BR98-BQ98</f>
        <v>#REF!</v>
      </c>
      <c r="BT99" s="121"/>
    </row>
    <row r="100" spans="1:72" ht="14.1">
      <c r="A100" s="177"/>
      <c r="B100" s="308" t="s">
        <v>402</v>
      </c>
      <c r="C100" s="301"/>
      <c r="D100" s="301" t="e">
        <f t="shared" ref="D100:T100" si="404">365/(D$5/D98)</f>
        <v>#REF!</v>
      </c>
      <c r="E100" s="301" t="e">
        <f t="shared" si="404"/>
        <v>#REF!</v>
      </c>
      <c r="F100" s="301" t="e">
        <f t="shared" si="404"/>
        <v>#REF!</v>
      </c>
      <c r="G100" s="301" t="e">
        <f t="shared" si="404"/>
        <v>#REF!</v>
      </c>
      <c r="H100" s="301" t="e">
        <f t="shared" si="404"/>
        <v>#REF!</v>
      </c>
      <c r="I100" s="301" t="e">
        <f t="shared" si="404"/>
        <v>#REF!</v>
      </c>
      <c r="J100" s="301" t="e">
        <f t="shared" si="404"/>
        <v>#REF!</v>
      </c>
      <c r="K100" s="301" t="e">
        <f t="shared" si="404"/>
        <v>#REF!</v>
      </c>
      <c r="L100" s="301" t="e">
        <f t="shared" si="404"/>
        <v>#REF!</v>
      </c>
      <c r="M100" s="301" t="e">
        <f t="shared" si="404"/>
        <v>#REF!</v>
      </c>
      <c r="N100" s="301" t="e">
        <f t="shared" si="404"/>
        <v>#REF!</v>
      </c>
      <c r="O100" s="301" t="e">
        <f t="shared" si="404"/>
        <v>#REF!</v>
      </c>
      <c r="P100" s="301" t="e">
        <f t="shared" si="404"/>
        <v>#REF!</v>
      </c>
      <c r="Q100" s="301" t="e">
        <f t="shared" si="404"/>
        <v>#REF!</v>
      </c>
      <c r="R100" s="301" t="e">
        <f t="shared" si="404"/>
        <v>#REF!</v>
      </c>
      <c r="S100" s="301" t="e">
        <f t="shared" si="404"/>
        <v>#REF!</v>
      </c>
      <c r="T100" s="301" t="e">
        <f t="shared" si="404"/>
        <v>#REF!</v>
      </c>
      <c r="U100" s="301" t="e">
        <f t="shared" ref="U100:BR100" si="405">365/(U$5/U98)</f>
        <v>#REF!</v>
      </c>
      <c r="V100" s="334" t="e">
        <f>365/(V$5/V98)/4</f>
        <v>#REF!</v>
      </c>
      <c r="W100" s="301" t="e">
        <f>365/(W$5/W98)/4</f>
        <v>#REF!</v>
      </c>
      <c r="X100" s="301" t="e">
        <f>365/(X$5/X98)/2</f>
        <v>#REF!</v>
      </c>
      <c r="Y100" s="301" t="e">
        <f>365/(Y$5/Y98)/4</f>
        <v>#REF!</v>
      </c>
      <c r="Z100" s="301" t="e">
        <f>365/(Z$5/Z98)/4</f>
        <v>#REF!</v>
      </c>
      <c r="AA100" s="301" t="e">
        <f>365/(AA$5/AA98)/2</f>
        <v>#REF!</v>
      </c>
      <c r="AB100" s="301" t="e">
        <f t="shared" si="405"/>
        <v>#REF!</v>
      </c>
      <c r="AC100" s="334" t="e">
        <f>365/(AC$5/AC98)/4</f>
        <v>#REF!</v>
      </c>
      <c r="AD100" s="301" t="e">
        <f>365/(AD$5/AD98)/4</f>
        <v>#REF!</v>
      </c>
      <c r="AE100" s="301" t="e">
        <f>365/(AE$5/AE98)/2</f>
        <v>#REF!</v>
      </c>
      <c r="AF100" s="301" t="e">
        <f>365/(AF$5/AF98)/4</f>
        <v>#REF!</v>
      </c>
      <c r="AG100" s="301" t="e">
        <f>365/(AG$5/AG98)/4</f>
        <v>#REF!</v>
      </c>
      <c r="AH100" s="301" t="e">
        <f>365/(AH$5/AH98)/2</f>
        <v>#REF!</v>
      </c>
      <c r="AI100" s="301" t="e">
        <f t="shared" si="405"/>
        <v>#REF!</v>
      </c>
      <c r="AJ100" s="334" t="e">
        <f>365/(AJ$5/AJ98)/4</f>
        <v>#REF!</v>
      </c>
      <c r="AK100" s="301" t="e">
        <f>365/(AK$5/AK98)/4</f>
        <v>#REF!</v>
      </c>
      <c r="AL100" s="301" t="e">
        <f>365/(AL$5/AL98)/2</f>
        <v>#REF!</v>
      </c>
      <c r="AM100" s="301" t="e">
        <f>365/(AM$5/AM98)/4</f>
        <v>#REF!</v>
      </c>
      <c r="AN100" s="301" t="e">
        <f>365/(AN$5/AN98)/4</f>
        <v>#REF!</v>
      </c>
      <c r="AO100" s="301" t="e">
        <f>365/(AO$5/AO98)/2</f>
        <v>#REF!</v>
      </c>
      <c r="AP100" s="301" t="e">
        <f t="shared" si="405"/>
        <v>#REF!</v>
      </c>
      <c r="AQ100" s="334" t="e">
        <f>365/(AQ$5/AQ98)/4</f>
        <v>#REF!</v>
      </c>
      <c r="AR100" s="301" t="e">
        <f>365/(AR$5/AR98)/4</f>
        <v>#REF!</v>
      </c>
      <c r="AS100" s="301" t="e">
        <f>365/(AS$5/AS98)/2</f>
        <v>#REF!</v>
      </c>
      <c r="AT100" s="301" t="e">
        <f>365/(AT$5/AT98)/4</f>
        <v>#REF!</v>
      </c>
      <c r="AU100" s="301" t="e">
        <f>365/(AU$5/AU98)/4</f>
        <v>#REF!</v>
      </c>
      <c r="AV100" s="301" t="e">
        <f>365/(AV$5/AV98)/2</f>
        <v>#REF!</v>
      </c>
      <c r="AW100" s="301" t="e">
        <f>365/(AW$5/AW98)</f>
        <v>#REF!</v>
      </c>
      <c r="AX100" s="334" t="e">
        <f>365/(AX$5/AX98)/4</f>
        <v>#REF!</v>
      </c>
      <c r="AY100" s="301" t="e">
        <f>365/(AY$5/AY98)/4</f>
        <v>#REF!</v>
      </c>
      <c r="AZ100" s="301" t="e">
        <f>365/(AZ$5/AZ98)/2</f>
        <v>#REF!</v>
      </c>
      <c r="BA100" s="301" t="e">
        <f>365/(BA$5/BA98)/4</f>
        <v>#REF!</v>
      </c>
      <c r="BB100" s="301" t="e">
        <f>365/(BB$5/BB98)/4</f>
        <v>#REF!</v>
      </c>
      <c r="BC100" s="301" t="e">
        <f>365/(BC$5/BC98)/2</f>
        <v>#REF!</v>
      </c>
      <c r="BD100" s="377" t="e">
        <f t="shared" si="405"/>
        <v>#REF!</v>
      </c>
      <c r="BE100" s="334" t="e">
        <f>365/(BE$5/BE98)/4</f>
        <v>#REF!</v>
      </c>
      <c r="BF100" s="301" t="e">
        <f>365/(BF$5/BF98)/4</f>
        <v>#REF!</v>
      </c>
      <c r="BG100" s="301" t="e">
        <f>365/(BG$5/BG98)/2</f>
        <v>#REF!</v>
      </c>
      <c r="BH100" s="301" t="e">
        <f>365/(BH$5/BH98)/4</f>
        <v>#REF!</v>
      </c>
      <c r="BI100" s="301" t="e">
        <f>365/(BI$5/BI98)/4</f>
        <v>#REF!</v>
      </c>
      <c r="BJ100" s="301" t="e">
        <f>365/(BJ$5/BJ98)/2</f>
        <v>#REF!</v>
      </c>
      <c r="BK100" s="377" t="e">
        <f t="shared" ref="BK100" si="406">365/(BK$5/BK98)</f>
        <v>#REF!</v>
      </c>
      <c r="BL100" s="301" t="e">
        <f t="shared" si="405"/>
        <v>#REF!</v>
      </c>
      <c r="BM100" s="301" t="e">
        <f t="shared" si="405"/>
        <v>#REF!</v>
      </c>
      <c r="BN100" s="301" t="e">
        <f t="shared" si="405"/>
        <v>#REF!</v>
      </c>
      <c r="BO100" s="301" t="e">
        <f t="shared" si="405"/>
        <v>#REF!</v>
      </c>
      <c r="BP100" s="301" t="e">
        <f t="shared" si="405"/>
        <v>#REF!</v>
      </c>
      <c r="BQ100" s="301" t="e">
        <f t="shared" si="405"/>
        <v>#REF!</v>
      </c>
      <c r="BR100" s="301" t="e">
        <f t="shared" si="405"/>
        <v>#REF!</v>
      </c>
      <c r="BT100" s="121"/>
    </row>
    <row r="101" spans="1:72" ht="13.8">
      <c r="A101" s="177"/>
      <c r="B101" s="315"/>
      <c r="C101" s="117"/>
      <c r="D101" s="301"/>
      <c r="E101" s="301"/>
      <c r="F101" s="301"/>
      <c r="G101" s="301"/>
      <c r="H101" s="301"/>
      <c r="I101" s="301"/>
      <c r="J101" s="301"/>
      <c r="K101" s="301"/>
      <c r="L101" s="301"/>
      <c r="M101" s="301"/>
      <c r="N101" s="301"/>
      <c r="O101" s="301"/>
      <c r="P101" s="301"/>
      <c r="Q101" s="301"/>
      <c r="R101" s="301"/>
      <c r="S101" s="301"/>
      <c r="T101" s="301"/>
      <c r="U101" s="301"/>
      <c r="V101" s="334"/>
      <c r="W101" s="301"/>
      <c r="X101" s="301"/>
      <c r="Y101" s="301"/>
      <c r="Z101" s="301"/>
      <c r="AA101" s="301"/>
      <c r="AB101" s="301"/>
      <c r="AC101" s="334"/>
      <c r="AD101" s="301"/>
      <c r="AE101" s="301"/>
      <c r="AF101" s="301"/>
      <c r="AG101" s="301"/>
      <c r="AH101" s="301"/>
      <c r="AI101" s="301"/>
      <c r="AJ101" s="334"/>
      <c r="AK101" s="301"/>
      <c r="AL101" s="301"/>
      <c r="AM101" s="301"/>
      <c r="AN101" s="301"/>
      <c r="AO101" s="301"/>
      <c r="AP101" s="301"/>
      <c r="AQ101" s="334"/>
      <c r="AR101" s="301"/>
      <c r="AS101" s="301"/>
      <c r="AT101" s="301"/>
      <c r="AU101" s="301"/>
      <c r="AV101" s="301"/>
      <c r="AW101" s="301"/>
      <c r="AX101" s="334"/>
      <c r="AY101" s="301"/>
      <c r="AZ101" s="301"/>
      <c r="BA101" s="301"/>
      <c r="BB101" s="301"/>
      <c r="BC101" s="301"/>
      <c r="BD101" s="377"/>
      <c r="BE101" s="334"/>
      <c r="BF101" s="301"/>
      <c r="BG101" s="301"/>
      <c r="BH101" s="301"/>
      <c r="BI101" s="301"/>
      <c r="BJ101" s="301"/>
      <c r="BK101" s="377"/>
      <c r="BL101" s="301"/>
      <c r="BM101" s="301"/>
      <c r="BN101" s="301"/>
      <c r="BO101" s="301"/>
      <c r="BP101" s="301"/>
      <c r="BQ101" s="301"/>
      <c r="BR101" s="301"/>
      <c r="BT101" s="121"/>
    </row>
    <row r="102" spans="1:72" ht="14.1">
      <c r="A102" s="177"/>
      <c r="B102" s="308" t="s">
        <v>403</v>
      </c>
      <c r="C102" s="117"/>
      <c r="D102" s="162" t="e">
        <f t="shared" ref="D102:AI102" si="407">D80-D96</f>
        <v>#REF!</v>
      </c>
      <c r="E102" s="162" t="e">
        <f t="shared" si="407"/>
        <v>#REF!</v>
      </c>
      <c r="F102" s="162" t="e">
        <f t="shared" si="407"/>
        <v>#REF!</v>
      </c>
      <c r="G102" s="162" t="e">
        <f t="shared" si="407"/>
        <v>#REF!</v>
      </c>
      <c r="H102" s="162" t="e">
        <f t="shared" si="407"/>
        <v>#REF!</v>
      </c>
      <c r="I102" s="162" t="e">
        <f t="shared" si="407"/>
        <v>#REF!</v>
      </c>
      <c r="J102" s="162" t="e">
        <f t="shared" si="407"/>
        <v>#REF!</v>
      </c>
      <c r="K102" s="162" t="e">
        <f t="shared" si="407"/>
        <v>#REF!</v>
      </c>
      <c r="L102" s="162" t="e">
        <f t="shared" si="407"/>
        <v>#REF!</v>
      </c>
      <c r="M102" s="162" t="e">
        <f t="shared" si="407"/>
        <v>#REF!</v>
      </c>
      <c r="N102" s="162" t="e">
        <f t="shared" si="407"/>
        <v>#REF!</v>
      </c>
      <c r="O102" s="162" t="e">
        <f t="shared" si="407"/>
        <v>#REF!</v>
      </c>
      <c r="P102" s="162" t="e">
        <f t="shared" si="407"/>
        <v>#REF!</v>
      </c>
      <c r="Q102" s="162" t="e">
        <f t="shared" si="407"/>
        <v>#REF!</v>
      </c>
      <c r="R102" s="162" t="e">
        <f t="shared" si="407"/>
        <v>#REF!</v>
      </c>
      <c r="S102" s="162" t="e">
        <f t="shared" si="407"/>
        <v>#REF!</v>
      </c>
      <c r="T102" s="162" t="e">
        <f t="shared" si="407"/>
        <v>#REF!</v>
      </c>
      <c r="U102" s="162" t="e">
        <f t="shared" si="407"/>
        <v>#REF!</v>
      </c>
      <c r="V102" s="333" t="e">
        <f t="shared" si="407"/>
        <v>#REF!</v>
      </c>
      <c r="W102" s="162" t="e">
        <f t="shared" si="407"/>
        <v>#REF!</v>
      </c>
      <c r="X102" s="162" t="e">
        <f t="shared" si="407"/>
        <v>#REF!</v>
      </c>
      <c r="Y102" s="162" t="e">
        <f t="shared" si="407"/>
        <v>#REF!</v>
      </c>
      <c r="Z102" s="162" t="e">
        <f t="shared" si="407"/>
        <v>#REF!</v>
      </c>
      <c r="AA102" s="162" t="e">
        <f t="shared" si="407"/>
        <v>#REF!</v>
      </c>
      <c r="AB102" s="162" t="e">
        <f t="shared" si="407"/>
        <v>#REF!</v>
      </c>
      <c r="AC102" s="333" t="e">
        <f t="shared" si="407"/>
        <v>#REF!</v>
      </c>
      <c r="AD102" s="162" t="e">
        <f t="shared" si="407"/>
        <v>#REF!</v>
      </c>
      <c r="AE102" s="162" t="e">
        <f t="shared" si="407"/>
        <v>#REF!</v>
      </c>
      <c r="AF102" s="162" t="e">
        <f t="shared" si="407"/>
        <v>#REF!</v>
      </c>
      <c r="AG102" s="162" t="e">
        <f t="shared" si="407"/>
        <v>#REF!</v>
      </c>
      <c r="AH102" s="162" t="e">
        <f t="shared" si="407"/>
        <v>#REF!</v>
      </c>
      <c r="AI102" s="162" t="e">
        <f t="shared" si="407"/>
        <v>#REF!</v>
      </c>
      <c r="AJ102" s="333" t="e">
        <f t="shared" ref="AJ102:BR102" si="408">AJ80-AJ96</f>
        <v>#REF!</v>
      </c>
      <c r="AK102" s="162" t="e">
        <f t="shared" si="408"/>
        <v>#REF!</v>
      </c>
      <c r="AL102" s="162" t="e">
        <f t="shared" si="408"/>
        <v>#REF!</v>
      </c>
      <c r="AM102" s="162" t="e">
        <f t="shared" si="408"/>
        <v>#REF!</v>
      </c>
      <c r="AN102" s="162" t="e">
        <f t="shared" si="408"/>
        <v>#REF!</v>
      </c>
      <c r="AO102" s="162" t="e">
        <f t="shared" si="408"/>
        <v>#REF!</v>
      </c>
      <c r="AP102" s="162" t="e">
        <f t="shared" si="408"/>
        <v>#REF!</v>
      </c>
      <c r="AQ102" s="333" t="e">
        <f t="shared" si="408"/>
        <v>#REF!</v>
      </c>
      <c r="AR102" s="162" t="e">
        <f t="shared" si="408"/>
        <v>#REF!</v>
      </c>
      <c r="AS102" s="162" t="e">
        <f t="shared" si="408"/>
        <v>#REF!</v>
      </c>
      <c r="AT102" s="162" t="e">
        <f t="shared" si="408"/>
        <v>#REF!</v>
      </c>
      <c r="AU102" s="162" t="e">
        <f t="shared" si="408"/>
        <v>#REF!</v>
      </c>
      <c r="AV102" s="162" t="e">
        <f t="shared" si="408"/>
        <v>#REF!</v>
      </c>
      <c r="AW102" s="162" t="e">
        <f t="shared" si="408"/>
        <v>#REF!</v>
      </c>
      <c r="AX102" s="333" t="e">
        <f t="shared" si="408"/>
        <v>#REF!</v>
      </c>
      <c r="AY102" s="162" t="e">
        <f t="shared" si="408"/>
        <v>#REF!</v>
      </c>
      <c r="AZ102" s="162" t="e">
        <f t="shared" si="408"/>
        <v>#REF!</v>
      </c>
      <c r="BA102" s="162" t="e">
        <f t="shared" si="408"/>
        <v>#REF!</v>
      </c>
      <c r="BB102" s="162" t="e">
        <f t="shared" si="408"/>
        <v>#REF!</v>
      </c>
      <c r="BC102" s="162" t="e">
        <f t="shared" si="408"/>
        <v>#REF!</v>
      </c>
      <c r="BD102" s="376" t="e">
        <f t="shared" si="408"/>
        <v>#REF!</v>
      </c>
      <c r="BE102" s="333" t="e">
        <f t="shared" ref="BE102:BK102" si="409">BE80-BE96</f>
        <v>#REF!</v>
      </c>
      <c r="BF102" s="162" t="e">
        <f t="shared" si="409"/>
        <v>#REF!</v>
      </c>
      <c r="BG102" s="162" t="e">
        <f t="shared" si="409"/>
        <v>#REF!</v>
      </c>
      <c r="BH102" s="162" t="e">
        <f t="shared" si="409"/>
        <v>#REF!</v>
      </c>
      <c r="BI102" s="162" t="e">
        <f t="shared" si="409"/>
        <v>#REF!</v>
      </c>
      <c r="BJ102" s="162" t="e">
        <f t="shared" si="409"/>
        <v>#REF!</v>
      </c>
      <c r="BK102" s="376" t="e">
        <f t="shared" si="409"/>
        <v>#REF!</v>
      </c>
      <c r="BL102" s="162" t="e">
        <f t="shared" si="408"/>
        <v>#REF!</v>
      </c>
      <c r="BM102" s="162" t="e">
        <f t="shared" si="408"/>
        <v>#REF!</v>
      </c>
      <c r="BN102" s="162" t="e">
        <f t="shared" si="408"/>
        <v>#REF!</v>
      </c>
      <c r="BO102" s="162" t="e">
        <f t="shared" si="408"/>
        <v>#REF!</v>
      </c>
      <c r="BP102" s="162" t="e">
        <f t="shared" si="408"/>
        <v>#REF!</v>
      </c>
      <c r="BQ102" s="162" t="e">
        <f t="shared" si="408"/>
        <v>#REF!</v>
      </c>
      <c r="BR102" s="162" t="e">
        <f t="shared" si="408"/>
        <v>#REF!</v>
      </c>
      <c r="BT102" s="121"/>
    </row>
    <row r="103" spans="1:72" ht="13.8">
      <c r="A103" s="177"/>
      <c r="B103" s="302" t="s">
        <v>401</v>
      </c>
      <c r="C103" s="117"/>
      <c r="D103" s="162"/>
      <c r="E103" s="162"/>
      <c r="F103" s="162"/>
      <c r="G103" s="162"/>
      <c r="H103" s="162"/>
      <c r="I103" s="162"/>
      <c r="J103" s="162"/>
      <c r="K103" s="162"/>
      <c r="L103" s="162"/>
      <c r="M103" s="162"/>
      <c r="N103" s="162"/>
      <c r="O103" s="162"/>
      <c r="P103" s="162"/>
      <c r="Q103" s="162"/>
      <c r="R103" s="162"/>
      <c r="S103" s="162"/>
      <c r="T103" s="162"/>
      <c r="U103" s="162"/>
      <c r="V103" s="333"/>
      <c r="W103" s="162"/>
      <c r="X103" s="162"/>
      <c r="Y103" s="162"/>
      <c r="Z103" s="162"/>
      <c r="AA103" s="162"/>
      <c r="AB103" s="162"/>
      <c r="AC103" s="333"/>
      <c r="AD103" s="162"/>
      <c r="AE103" s="162"/>
      <c r="AF103" s="162"/>
      <c r="AG103" s="162"/>
      <c r="AH103" s="162"/>
      <c r="AI103" s="162"/>
      <c r="AJ103" s="333"/>
      <c r="AK103" s="162"/>
      <c r="AL103" s="162"/>
      <c r="AM103" s="162"/>
      <c r="AN103" s="162"/>
      <c r="AO103" s="162"/>
      <c r="AP103" s="162"/>
      <c r="AQ103" s="333"/>
      <c r="AR103" s="162"/>
      <c r="AS103" s="162"/>
      <c r="AT103" s="162"/>
      <c r="AU103" s="162"/>
      <c r="AV103" s="162"/>
      <c r="AW103" s="162"/>
      <c r="AX103" s="333"/>
      <c r="AY103" s="162"/>
      <c r="AZ103" s="162"/>
      <c r="BA103" s="162"/>
      <c r="BB103" s="162"/>
      <c r="BC103" s="162"/>
      <c r="BD103" s="376"/>
      <c r="BE103" s="333"/>
      <c r="BF103" s="162"/>
      <c r="BG103" s="162"/>
      <c r="BH103" s="162"/>
      <c r="BI103" s="162"/>
      <c r="BJ103" s="162"/>
      <c r="BK103" s="376"/>
      <c r="BL103" s="162"/>
      <c r="BM103" s="162"/>
      <c r="BN103" s="162"/>
      <c r="BO103" s="162"/>
      <c r="BP103" s="162"/>
      <c r="BQ103" s="162"/>
      <c r="BR103" s="162"/>
      <c r="BT103" s="121"/>
    </row>
    <row r="104" spans="1:72" ht="13.8">
      <c r="A104" s="177"/>
      <c r="B104" s="302"/>
      <c r="C104" s="117"/>
      <c r="D104" s="162"/>
      <c r="E104" s="162"/>
      <c r="F104" s="162"/>
      <c r="G104" s="162"/>
      <c r="H104" s="162"/>
      <c r="I104" s="162"/>
      <c r="J104" s="162"/>
      <c r="K104" s="162"/>
      <c r="L104" s="162"/>
      <c r="M104" s="162"/>
      <c r="N104" s="162"/>
      <c r="O104" s="162"/>
      <c r="P104" s="162"/>
      <c r="Q104" s="162"/>
      <c r="R104" s="162"/>
      <c r="S104" s="162"/>
      <c r="T104" s="162"/>
      <c r="U104" s="162"/>
      <c r="V104" s="333"/>
      <c r="W104" s="162"/>
      <c r="X104" s="162"/>
      <c r="Y104" s="162"/>
      <c r="Z104" s="162"/>
      <c r="AA104" s="162"/>
      <c r="AB104" s="162"/>
      <c r="AC104" s="333"/>
      <c r="AD104" s="162"/>
      <c r="AE104" s="162"/>
      <c r="AF104" s="162"/>
      <c r="AG104" s="162"/>
      <c r="AH104" s="162"/>
      <c r="AI104" s="162"/>
      <c r="AJ104" s="333"/>
      <c r="AK104" s="162"/>
      <c r="AL104" s="162"/>
      <c r="AM104" s="162"/>
      <c r="AN104" s="162"/>
      <c r="AO104" s="162"/>
      <c r="AP104" s="162"/>
      <c r="AQ104" s="333"/>
      <c r="AR104" s="162"/>
      <c r="AS104" s="162"/>
      <c r="AT104" s="162"/>
      <c r="AU104" s="162"/>
      <c r="AV104" s="162"/>
      <c r="AW104" s="162"/>
      <c r="AX104" s="333"/>
      <c r="AY104" s="162"/>
      <c r="AZ104" s="162"/>
      <c r="BA104" s="162"/>
      <c r="BB104" s="162"/>
      <c r="BC104" s="162"/>
      <c r="BD104" s="376"/>
      <c r="BE104" s="333"/>
      <c r="BF104" s="162"/>
      <c r="BG104" s="162"/>
      <c r="BH104" s="162"/>
      <c r="BI104" s="162"/>
      <c r="BJ104" s="162"/>
      <c r="BK104" s="376"/>
      <c r="BL104" s="162"/>
      <c r="BM104" s="162"/>
      <c r="BN104" s="162"/>
      <c r="BO104" s="162"/>
      <c r="BP104" s="162"/>
      <c r="BQ104" s="162"/>
      <c r="BR104" s="162"/>
      <c r="BT104" s="121"/>
    </row>
    <row r="105" spans="1:72" ht="13.8">
      <c r="A105" s="177"/>
      <c r="B105" s="305" t="s">
        <v>405</v>
      </c>
      <c r="C105" s="117"/>
      <c r="D105" s="162"/>
      <c r="E105" s="162"/>
      <c r="F105" s="162"/>
      <c r="G105" s="162"/>
      <c r="H105" s="162"/>
      <c r="I105" s="162"/>
      <c r="J105" s="162"/>
      <c r="K105" s="162"/>
      <c r="L105" s="162"/>
      <c r="M105" s="162"/>
      <c r="N105" s="162"/>
      <c r="O105" s="162"/>
      <c r="P105" s="162"/>
      <c r="Q105" s="162"/>
      <c r="R105" s="162"/>
      <c r="S105" s="162"/>
      <c r="T105" s="162"/>
      <c r="U105" s="162" t="e">
        <f>365*U166/U5</f>
        <v>#REF!</v>
      </c>
      <c r="V105" s="333" t="e">
        <f>365*V166/V5/4</f>
        <v>#REF!</v>
      </c>
      <c r="W105" s="162" t="e">
        <f>365*W166/W5/4</f>
        <v>#REF!</v>
      </c>
      <c r="X105" s="162" t="e">
        <f>365*X166/X5/2</f>
        <v>#REF!</v>
      </c>
      <c r="Y105" s="162" t="e">
        <f>365*Y166/Y5/4</f>
        <v>#REF!</v>
      </c>
      <c r="Z105" s="162" t="e">
        <f>365*Z166/Z5/4</f>
        <v>#REF!</v>
      </c>
      <c r="AA105" s="162" t="e">
        <f>365*AA166/AA5/2</f>
        <v>#REF!</v>
      </c>
      <c r="AB105" s="162" t="e">
        <f>365*AB166/AB5</f>
        <v>#REF!</v>
      </c>
      <c r="AC105" s="333" t="e">
        <f>365*AC166/AC5/4</f>
        <v>#REF!</v>
      </c>
      <c r="AD105" s="162" t="e">
        <f>365*AD166/AD5/4</f>
        <v>#REF!</v>
      </c>
      <c r="AE105" s="162" t="e">
        <f>365*AE166/AE5/2</f>
        <v>#REF!</v>
      </c>
      <c r="AF105" s="162" t="e">
        <f>365*AF166/AF5/4</f>
        <v>#REF!</v>
      </c>
      <c r="AG105" s="162" t="e">
        <f>365*AG166/AG5/4</f>
        <v>#REF!</v>
      </c>
      <c r="AH105" s="162" t="e">
        <f>365*AH166/AH5/2</f>
        <v>#REF!</v>
      </c>
      <c r="AI105" s="162" t="e">
        <f>365*AI166/AI5</f>
        <v>#REF!</v>
      </c>
      <c r="AJ105" s="333" t="e">
        <f>365*AJ166/AJ5/4</f>
        <v>#REF!</v>
      </c>
      <c r="AK105" s="162" t="e">
        <f>365*AK166/AK5/4</f>
        <v>#REF!</v>
      </c>
      <c r="AL105" s="162" t="e">
        <f>365*AL166/AL5/2</f>
        <v>#REF!</v>
      </c>
      <c r="AM105" s="162" t="e">
        <f>365*AM166/AM5/4</f>
        <v>#REF!</v>
      </c>
      <c r="AN105" s="162" t="e">
        <f>365*AN166/AN5/4</f>
        <v>#REF!</v>
      </c>
      <c r="AO105" s="162" t="e">
        <f>365*AO166/AO5/2</f>
        <v>#REF!</v>
      </c>
      <c r="AP105" s="162" t="e">
        <f>365*AP166/AP5</f>
        <v>#REF!</v>
      </c>
      <c r="AQ105" s="333" t="e">
        <f>365*AQ166/AQ5/4</f>
        <v>#REF!</v>
      </c>
      <c r="AR105" s="162" t="e">
        <f>365*AR166/AR5/4</f>
        <v>#REF!</v>
      </c>
      <c r="AS105" s="162" t="e">
        <f>365*AS166/AS5/2</f>
        <v>#REF!</v>
      </c>
      <c r="AT105" s="162" t="e">
        <f>365*AT166/AT5/4</f>
        <v>#REF!</v>
      </c>
      <c r="AU105" s="162" t="e">
        <f>365*AU166/AU5/4</f>
        <v>#REF!</v>
      </c>
      <c r="AV105" s="162" t="e">
        <f>365*AV166/AV5/2</f>
        <v>#REF!</v>
      </c>
      <c r="AW105" s="162" t="e">
        <f>365*AW166/AW5</f>
        <v>#REF!</v>
      </c>
      <c r="AX105" s="333" t="e">
        <f>365*AX166/AX5/4</f>
        <v>#REF!</v>
      </c>
      <c r="AY105" s="162" t="e">
        <f>365*AY166/AY5/4</f>
        <v>#REF!</v>
      </c>
      <c r="AZ105" s="162" t="e">
        <f>365*AZ166/AZ5/2</f>
        <v>#REF!</v>
      </c>
      <c r="BA105" s="162" t="e">
        <f>365*BA166/BA5/4</f>
        <v>#REF!</v>
      </c>
      <c r="BB105" s="162" t="e">
        <f>365*BB166/BB5/4</f>
        <v>#REF!</v>
      </c>
      <c r="BC105" s="162" t="e">
        <f>365*BC166/BC5/2</f>
        <v>#REF!</v>
      </c>
      <c r="BD105" s="376" t="e">
        <f>365*BD166/BD5</f>
        <v>#REF!</v>
      </c>
      <c r="BE105" s="333" t="e">
        <f>365*BE166/BE5/4</f>
        <v>#REF!</v>
      </c>
      <c r="BF105" s="162" t="e">
        <f>365*BF166/BF5/4</f>
        <v>#REF!</v>
      </c>
      <c r="BG105" s="162" t="e">
        <f>365*BG166/BG5/2</f>
        <v>#REF!</v>
      </c>
      <c r="BH105" s="162" t="e">
        <f>365*BH166/BH5/4</f>
        <v>#REF!</v>
      </c>
      <c r="BI105" s="162" t="e">
        <f>365*BI166/BI5/4</f>
        <v>#REF!</v>
      </c>
      <c r="BJ105" s="162" t="e">
        <f>365*BJ166/BJ5/2</f>
        <v>#REF!</v>
      </c>
      <c r="BK105" s="376" t="e">
        <f>365*BK166/BK5</f>
        <v>#REF!</v>
      </c>
      <c r="BL105" s="162" t="e">
        <f t="shared" ref="BL105:BR105" si="410">365*BL166/BL5</f>
        <v>#REF!</v>
      </c>
      <c r="BM105" s="162" t="e">
        <f t="shared" si="410"/>
        <v>#REF!</v>
      </c>
      <c r="BN105" s="162" t="e">
        <f t="shared" si="410"/>
        <v>#REF!</v>
      </c>
      <c r="BO105" s="162" t="e">
        <f t="shared" si="410"/>
        <v>#REF!</v>
      </c>
      <c r="BP105" s="162" t="e">
        <f t="shared" si="410"/>
        <v>#REF!</v>
      </c>
      <c r="BQ105" s="162" t="e">
        <f t="shared" si="410"/>
        <v>#REF!</v>
      </c>
      <c r="BR105" s="162" t="e">
        <f t="shared" si="410"/>
        <v>#REF!</v>
      </c>
      <c r="BT105" s="121"/>
    </row>
    <row r="106" spans="1:72" ht="13.8">
      <c r="A106" s="177"/>
      <c r="B106" s="305" t="s">
        <v>406</v>
      </c>
      <c r="C106" s="117"/>
      <c r="D106" s="162"/>
      <c r="E106" s="162"/>
      <c r="F106" s="162"/>
      <c r="G106" s="162"/>
      <c r="H106" s="162"/>
      <c r="I106" s="162"/>
      <c r="J106" s="162"/>
      <c r="K106" s="162"/>
      <c r="L106" s="162"/>
      <c r="M106" s="162"/>
      <c r="N106" s="162"/>
      <c r="O106" s="162"/>
      <c r="P106" s="162"/>
      <c r="Q106" s="162"/>
      <c r="R106" s="162"/>
      <c r="S106" s="162"/>
      <c r="T106" s="162"/>
      <c r="U106" s="162" t="e">
        <f>365*U130/U5</f>
        <v>#REF!</v>
      </c>
      <c r="V106" s="333" t="e">
        <f>365*V130/V5/4</f>
        <v>#REF!</v>
      </c>
      <c r="W106" s="162" t="e">
        <f>365*W130/W5/4</f>
        <v>#REF!</v>
      </c>
      <c r="X106" s="162" t="e">
        <f>365*X130/X5/2</f>
        <v>#REF!</v>
      </c>
      <c r="Y106" s="162" t="e">
        <f>365*Y130/Y5/4</f>
        <v>#REF!</v>
      </c>
      <c r="Z106" s="162" t="e">
        <f>365*Z130/Z5/4</f>
        <v>#REF!</v>
      </c>
      <c r="AA106" s="162" t="e">
        <f>365*AA130/AA5/2</f>
        <v>#REF!</v>
      </c>
      <c r="AB106" s="162" t="e">
        <f>365*AB130/AB5</f>
        <v>#REF!</v>
      </c>
      <c r="AC106" s="333" t="e">
        <f>365*AC130/AC5/4</f>
        <v>#REF!</v>
      </c>
      <c r="AD106" s="162" t="e">
        <f>365*AD130/AD5/4</f>
        <v>#REF!</v>
      </c>
      <c r="AE106" s="162" t="e">
        <f>365*AE130/AE5/2</f>
        <v>#REF!</v>
      </c>
      <c r="AF106" s="162" t="e">
        <f>365*AF130/AF5/4</f>
        <v>#REF!</v>
      </c>
      <c r="AG106" s="162" t="e">
        <f>365*AG130/AG5/4</f>
        <v>#REF!</v>
      </c>
      <c r="AH106" s="162" t="e">
        <f>365*AH130/AH5/2</f>
        <v>#REF!</v>
      </c>
      <c r="AI106" s="162" t="e">
        <f>365*AI130/AI5</f>
        <v>#REF!</v>
      </c>
      <c r="AJ106" s="333" t="e">
        <f>365*AJ130/AJ5/4</f>
        <v>#REF!</v>
      </c>
      <c r="AK106" s="162" t="e">
        <f>365*AK130/AK5/4</f>
        <v>#REF!</v>
      </c>
      <c r="AL106" s="162" t="e">
        <f>365*AL130/AL5/2</f>
        <v>#REF!</v>
      </c>
      <c r="AM106" s="162" t="e">
        <f>365*AM130/AM5/4</f>
        <v>#REF!</v>
      </c>
      <c r="AN106" s="162" t="e">
        <f>365*AN130/AN5/4</f>
        <v>#REF!</v>
      </c>
      <c r="AO106" s="162" t="e">
        <f>365*AO130/AO5/2</f>
        <v>#REF!</v>
      </c>
      <c r="AP106" s="162" t="e">
        <f>365*AP130/AP5</f>
        <v>#REF!</v>
      </c>
      <c r="AQ106" s="333" t="e">
        <f>365*AQ130/AQ5/4</f>
        <v>#REF!</v>
      </c>
      <c r="AR106" s="162" t="e">
        <f>365*AR130/AR5/4</f>
        <v>#REF!</v>
      </c>
      <c r="AS106" s="162" t="e">
        <f>365*AS130/AS5/2</f>
        <v>#REF!</v>
      </c>
      <c r="AT106" s="162" t="e">
        <f>365*AT130/AT5/4</f>
        <v>#REF!</v>
      </c>
      <c r="AU106" s="162" t="e">
        <f>365*AU130/AU5/4</f>
        <v>#REF!</v>
      </c>
      <c r="AV106" s="162" t="e">
        <f>365*AV130/AV5/2</f>
        <v>#REF!</v>
      </c>
      <c r="AW106" s="162" t="e">
        <f>365*AW130/AW5</f>
        <v>#REF!</v>
      </c>
      <c r="AX106" s="333" t="e">
        <f>365*AX130/AX5/4</f>
        <v>#REF!</v>
      </c>
      <c r="AY106" s="162" t="e">
        <f>365*AY130/AY5/4</f>
        <v>#REF!</v>
      </c>
      <c r="AZ106" s="162" t="e">
        <f>365*AZ130/AZ5/2</f>
        <v>#REF!</v>
      </c>
      <c r="BA106" s="162" t="e">
        <f>365*BA130/BA5/4</f>
        <v>#REF!</v>
      </c>
      <c r="BB106" s="162" t="e">
        <f>365*BB130/BB5/4</f>
        <v>#REF!</v>
      </c>
      <c r="BC106" s="162" t="e">
        <f>365*BC130/BC5/2</f>
        <v>#REF!</v>
      </c>
      <c r="BD106" s="376" t="e">
        <f>365*BD130/BD5</f>
        <v>#REF!</v>
      </c>
      <c r="BE106" s="333" t="e">
        <f>365*BE130/BE5/4</f>
        <v>#REF!</v>
      </c>
      <c r="BF106" s="162" t="e">
        <f>365*BF130/BF5/4</f>
        <v>#REF!</v>
      </c>
      <c r="BG106" s="162" t="e">
        <f>365*BG130/BG5/2</f>
        <v>#REF!</v>
      </c>
      <c r="BH106" s="162" t="e">
        <f>365*BH130/BH5/4</f>
        <v>#REF!</v>
      </c>
      <c r="BI106" s="162" t="e">
        <f>365*BI130/BI5/4</f>
        <v>#REF!</v>
      </c>
      <c r="BJ106" s="162" t="e">
        <f>365*BJ130/BJ5/2</f>
        <v>#REF!</v>
      </c>
      <c r="BK106" s="376" t="e">
        <f>365*BK130/BK5</f>
        <v>#REF!</v>
      </c>
      <c r="BL106" s="162" t="e">
        <f t="shared" ref="BL106:BR106" si="411">365*BL130/BL5</f>
        <v>#REF!</v>
      </c>
      <c r="BM106" s="162" t="e">
        <f t="shared" si="411"/>
        <v>#REF!</v>
      </c>
      <c r="BN106" s="162" t="e">
        <f t="shared" si="411"/>
        <v>#REF!</v>
      </c>
      <c r="BO106" s="162" t="e">
        <f t="shared" si="411"/>
        <v>#REF!</v>
      </c>
      <c r="BP106" s="162" t="e">
        <f t="shared" si="411"/>
        <v>#REF!</v>
      </c>
      <c r="BQ106" s="162" t="e">
        <f t="shared" si="411"/>
        <v>#REF!</v>
      </c>
      <c r="BR106" s="162" t="e">
        <f t="shared" si="411"/>
        <v>#REF!</v>
      </c>
      <c r="BT106" s="121"/>
    </row>
    <row r="107" spans="1:72" ht="13.8">
      <c r="A107" s="177"/>
      <c r="B107" s="305" t="s">
        <v>398</v>
      </c>
      <c r="C107" s="117"/>
      <c r="D107" s="162"/>
      <c r="E107" s="162"/>
      <c r="F107" s="162"/>
      <c r="G107" s="162"/>
      <c r="H107" s="162"/>
      <c r="I107" s="162"/>
      <c r="J107" s="162"/>
      <c r="K107" s="162"/>
      <c r="L107" s="162"/>
      <c r="M107" s="162"/>
      <c r="N107" s="162"/>
      <c r="O107" s="162"/>
      <c r="P107" s="162"/>
      <c r="Q107" s="162"/>
      <c r="R107" s="162"/>
      <c r="S107" s="162"/>
      <c r="T107" s="162"/>
      <c r="U107" s="162" t="e">
        <f>365/U105</f>
        <v>#REF!</v>
      </c>
      <c r="V107" s="333" t="e">
        <f>365/V105</f>
        <v>#REF!</v>
      </c>
      <c r="W107" s="162" t="e">
        <f t="shared" ref="W107:AA107" si="412">365/W105</f>
        <v>#REF!</v>
      </c>
      <c r="X107" s="162" t="e">
        <f t="shared" si="412"/>
        <v>#REF!</v>
      </c>
      <c r="Y107" s="162" t="e">
        <f t="shared" si="412"/>
        <v>#REF!</v>
      </c>
      <c r="Z107" s="162" t="e">
        <f t="shared" si="412"/>
        <v>#REF!</v>
      </c>
      <c r="AA107" s="162" t="e">
        <f t="shared" si="412"/>
        <v>#REF!</v>
      </c>
      <c r="AB107" s="162" t="e">
        <f t="shared" ref="AB107:BR107" si="413">365/AB105</f>
        <v>#REF!</v>
      </c>
      <c r="AC107" s="333" t="e">
        <f>365/AC105</f>
        <v>#REF!</v>
      </c>
      <c r="AD107" s="162" t="e">
        <f t="shared" ref="AD107:AH107" si="414">365/AD105</f>
        <v>#REF!</v>
      </c>
      <c r="AE107" s="162" t="e">
        <f t="shared" si="414"/>
        <v>#REF!</v>
      </c>
      <c r="AF107" s="162" t="e">
        <f t="shared" si="414"/>
        <v>#REF!</v>
      </c>
      <c r="AG107" s="162" t="e">
        <f t="shared" si="414"/>
        <v>#REF!</v>
      </c>
      <c r="AH107" s="162" t="e">
        <f t="shared" si="414"/>
        <v>#REF!</v>
      </c>
      <c r="AI107" s="162" t="e">
        <f t="shared" si="413"/>
        <v>#REF!</v>
      </c>
      <c r="AJ107" s="333" t="e">
        <f>365/AJ105</f>
        <v>#REF!</v>
      </c>
      <c r="AK107" s="162" t="e">
        <f t="shared" ref="AK107:AO107" si="415">365/AK105</f>
        <v>#REF!</v>
      </c>
      <c r="AL107" s="162" t="e">
        <f t="shared" si="415"/>
        <v>#REF!</v>
      </c>
      <c r="AM107" s="162" t="e">
        <f t="shared" si="415"/>
        <v>#REF!</v>
      </c>
      <c r="AN107" s="162" t="e">
        <f t="shared" si="415"/>
        <v>#REF!</v>
      </c>
      <c r="AO107" s="162" t="e">
        <f t="shared" si="415"/>
        <v>#REF!</v>
      </c>
      <c r="AP107" s="162" t="e">
        <f t="shared" si="413"/>
        <v>#REF!</v>
      </c>
      <c r="AQ107" s="333" t="e">
        <f>365/AQ105</f>
        <v>#REF!</v>
      </c>
      <c r="AR107" s="162" t="e">
        <f t="shared" ref="AR107:AV107" si="416">365/AR105</f>
        <v>#REF!</v>
      </c>
      <c r="AS107" s="162" t="e">
        <f t="shared" si="416"/>
        <v>#REF!</v>
      </c>
      <c r="AT107" s="162" t="e">
        <f t="shared" si="416"/>
        <v>#REF!</v>
      </c>
      <c r="AU107" s="162" t="e">
        <f t="shared" si="416"/>
        <v>#REF!</v>
      </c>
      <c r="AV107" s="162" t="e">
        <f t="shared" si="416"/>
        <v>#REF!</v>
      </c>
      <c r="AW107" s="162" t="e">
        <f t="shared" si="413"/>
        <v>#REF!</v>
      </c>
      <c r="AX107" s="333" t="e">
        <f>365/AX105</f>
        <v>#REF!</v>
      </c>
      <c r="AY107" s="162" t="e">
        <f t="shared" ref="AY107:AZ107" si="417">365/AY105</f>
        <v>#REF!</v>
      </c>
      <c r="AZ107" s="162" t="e">
        <f t="shared" si="417"/>
        <v>#REF!</v>
      </c>
      <c r="BA107" s="162" t="e">
        <f t="shared" ref="BA107:BC107" si="418">365/BA105</f>
        <v>#REF!</v>
      </c>
      <c r="BB107" s="162" t="e">
        <f t="shared" si="418"/>
        <v>#REF!</v>
      </c>
      <c r="BC107" s="162" t="e">
        <f t="shared" si="418"/>
        <v>#REF!</v>
      </c>
      <c r="BD107" s="376" t="e">
        <f t="shared" si="413"/>
        <v>#REF!</v>
      </c>
      <c r="BE107" s="333" t="e">
        <f>365/BE105</f>
        <v>#REF!</v>
      </c>
      <c r="BF107" s="162" t="e">
        <f t="shared" ref="BF107:BK107" si="419">365/BF105</f>
        <v>#REF!</v>
      </c>
      <c r="BG107" s="162" t="e">
        <f t="shared" si="419"/>
        <v>#REF!</v>
      </c>
      <c r="BH107" s="162" t="e">
        <f t="shared" si="419"/>
        <v>#REF!</v>
      </c>
      <c r="BI107" s="162" t="e">
        <f t="shared" si="419"/>
        <v>#REF!</v>
      </c>
      <c r="BJ107" s="162" t="e">
        <f t="shared" si="419"/>
        <v>#REF!</v>
      </c>
      <c r="BK107" s="376" t="e">
        <f t="shared" si="419"/>
        <v>#REF!</v>
      </c>
      <c r="BL107" s="162" t="e">
        <f t="shared" si="413"/>
        <v>#REF!</v>
      </c>
      <c r="BM107" s="162" t="e">
        <f t="shared" si="413"/>
        <v>#REF!</v>
      </c>
      <c r="BN107" s="162" t="e">
        <f t="shared" si="413"/>
        <v>#REF!</v>
      </c>
      <c r="BO107" s="162" t="e">
        <f t="shared" si="413"/>
        <v>#REF!</v>
      </c>
      <c r="BP107" s="162" t="e">
        <f t="shared" si="413"/>
        <v>#REF!</v>
      </c>
      <c r="BQ107" s="162" t="e">
        <f t="shared" si="413"/>
        <v>#REF!</v>
      </c>
      <c r="BR107" s="162" t="e">
        <f t="shared" si="413"/>
        <v>#REF!</v>
      </c>
      <c r="BT107" s="121"/>
    </row>
    <row r="108" spans="1:72" ht="14.1">
      <c r="A108" s="177"/>
      <c r="B108" s="314" t="s">
        <v>399</v>
      </c>
      <c r="C108" s="117"/>
      <c r="D108" s="162"/>
      <c r="E108" s="162"/>
      <c r="F108" s="162"/>
      <c r="G108" s="162"/>
      <c r="H108" s="162"/>
      <c r="I108" s="162"/>
      <c r="J108" s="162"/>
      <c r="K108" s="162"/>
      <c r="L108" s="162"/>
      <c r="M108" s="162"/>
      <c r="N108" s="162"/>
      <c r="O108" s="162"/>
      <c r="P108" s="162"/>
      <c r="Q108" s="162"/>
      <c r="R108" s="162"/>
      <c r="S108" s="162"/>
      <c r="T108" s="162"/>
      <c r="U108" s="162" t="e">
        <f>365/U106</f>
        <v>#REF!</v>
      </c>
      <c r="V108" s="333" t="e">
        <f t="shared" ref="V108:AA108" si="420">365/V106</f>
        <v>#REF!</v>
      </c>
      <c r="W108" s="162" t="e">
        <f t="shared" si="420"/>
        <v>#REF!</v>
      </c>
      <c r="X108" s="162" t="e">
        <f t="shared" si="420"/>
        <v>#REF!</v>
      </c>
      <c r="Y108" s="162" t="e">
        <f t="shared" si="420"/>
        <v>#REF!</v>
      </c>
      <c r="Z108" s="162" t="e">
        <f t="shared" si="420"/>
        <v>#REF!</v>
      </c>
      <c r="AA108" s="162" t="e">
        <f t="shared" si="420"/>
        <v>#REF!</v>
      </c>
      <c r="AB108" s="162" t="e">
        <f t="shared" ref="AB108:BR108" si="421">365/AB106</f>
        <v>#REF!</v>
      </c>
      <c r="AC108" s="333" t="e">
        <f t="shared" ref="AC108:AH108" si="422">365/AC106</f>
        <v>#REF!</v>
      </c>
      <c r="AD108" s="162" t="e">
        <f t="shared" si="422"/>
        <v>#REF!</v>
      </c>
      <c r="AE108" s="162" t="e">
        <f t="shared" si="422"/>
        <v>#REF!</v>
      </c>
      <c r="AF108" s="162" t="e">
        <f t="shared" si="422"/>
        <v>#REF!</v>
      </c>
      <c r="AG108" s="162" t="e">
        <f t="shared" si="422"/>
        <v>#REF!</v>
      </c>
      <c r="AH108" s="162" t="e">
        <f t="shared" si="422"/>
        <v>#REF!</v>
      </c>
      <c r="AI108" s="162" t="e">
        <f t="shared" si="421"/>
        <v>#REF!</v>
      </c>
      <c r="AJ108" s="333" t="e">
        <f t="shared" ref="AJ108:AO108" si="423">365/AJ106</f>
        <v>#REF!</v>
      </c>
      <c r="AK108" s="162" t="e">
        <f t="shared" si="423"/>
        <v>#REF!</v>
      </c>
      <c r="AL108" s="162" t="e">
        <f t="shared" si="423"/>
        <v>#REF!</v>
      </c>
      <c r="AM108" s="162" t="e">
        <f t="shared" si="423"/>
        <v>#REF!</v>
      </c>
      <c r="AN108" s="162" t="e">
        <f t="shared" si="423"/>
        <v>#REF!</v>
      </c>
      <c r="AO108" s="162" t="e">
        <f t="shared" si="423"/>
        <v>#REF!</v>
      </c>
      <c r="AP108" s="162" t="e">
        <f t="shared" si="421"/>
        <v>#REF!</v>
      </c>
      <c r="AQ108" s="333" t="e">
        <f t="shared" ref="AQ108:AV108" si="424">365/AQ106</f>
        <v>#REF!</v>
      </c>
      <c r="AR108" s="162" t="e">
        <f t="shared" si="424"/>
        <v>#REF!</v>
      </c>
      <c r="AS108" s="162" t="e">
        <f t="shared" si="424"/>
        <v>#REF!</v>
      </c>
      <c r="AT108" s="162" t="e">
        <f t="shared" si="424"/>
        <v>#REF!</v>
      </c>
      <c r="AU108" s="162" t="e">
        <f t="shared" si="424"/>
        <v>#REF!</v>
      </c>
      <c r="AV108" s="162" t="e">
        <f t="shared" si="424"/>
        <v>#REF!</v>
      </c>
      <c r="AW108" s="162" t="e">
        <f t="shared" si="421"/>
        <v>#REF!</v>
      </c>
      <c r="AX108" s="333" t="e">
        <f t="shared" si="421"/>
        <v>#REF!</v>
      </c>
      <c r="AY108" s="162" t="e">
        <f t="shared" ref="AY108:AZ108" si="425">365/AY106</f>
        <v>#REF!</v>
      </c>
      <c r="AZ108" s="162" t="e">
        <f t="shared" si="425"/>
        <v>#REF!</v>
      </c>
      <c r="BA108" s="162" t="e">
        <f t="shared" ref="BA108:BC108" si="426">365/BA106</f>
        <v>#REF!</v>
      </c>
      <c r="BB108" s="162" t="e">
        <f t="shared" si="426"/>
        <v>#REF!</v>
      </c>
      <c r="BC108" s="162" t="e">
        <f t="shared" si="426"/>
        <v>#REF!</v>
      </c>
      <c r="BD108" s="376" t="e">
        <f t="shared" si="421"/>
        <v>#REF!</v>
      </c>
      <c r="BE108" s="333" t="e">
        <f t="shared" ref="BE108:BK108" si="427">365/BE106</f>
        <v>#REF!</v>
      </c>
      <c r="BF108" s="162" t="e">
        <f t="shared" si="427"/>
        <v>#REF!</v>
      </c>
      <c r="BG108" s="162" t="e">
        <f t="shared" si="427"/>
        <v>#REF!</v>
      </c>
      <c r="BH108" s="162" t="e">
        <f t="shared" si="427"/>
        <v>#REF!</v>
      </c>
      <c r="BI108" s="162" t="e">
        <f t="shared" si="427"/>
        <v>#REF!</v>
      </c>
      <c r="BJ108" s="162" t="e">
        <f t="shared" si="427"/>
        <v>#REF!</v>
      </c>
      <c r="BK108" s="376" t="e">
        <f t="shared" si="427"/>
        <v>#REF!</v>
      </c>
      <c r="BL108" s="162" t="e">
        <f t="shared" si="421"/>
        <v>#REF!</v>
      </c>
      <c r="BM108" s="162" t="e">
        <f t="shared" si="421"/>
        <v>#REF!</v>
      </c>
      <c r="BN108" s="162" t="e">
        <f t="shared" si="421"/>
        <v>#REF!</v>
      </c>
      <c r="BO108" s="162" t="e">
        <f t="shared" si="421"/>
        <v>#REF!</v>
      </c>
      <c r="BP108" s="162" t="e">
        <f t="shared" si="421"/>
        <v>#REF!</v>
      </c>
      <c r="BQ108" s="162" t="e">
        <f t="shared" si="421"/>
        <v>#REF!</v>
      </c>
      <c r="BR108" s="162" t="e">
        <f t="shared" si="421"/>
        <v>#REF!</v>
      </c>
      <c r="BT108" s="121"/>
    </row>
    <row r="109" spans="1:72" ht="12.9">
      <c r="A109" s="177"/>
      <c r="B109" s="304"/>
      <c r="C109" s="117"/>
      <c r="D109" s="162"/>
      <c r="E109" s="162"/>
      <c r="F109" s="162"/>
      <c r="G109" s="162"/>
      <c r="H109" s="162"/>
      <c r="I109" s="162"/>
      <c r="J109" s="162"/>
      <c r="K109" s="162"/>
      <c r="L109" s="162"/>
      <c r="M109" s="162"/>
      <c r="N109" s="162"/>
      <c r="O109" s="162"/>
      <c r="P109" s="162"/>
      <c r="Q109" s="162"/>
      <c r="R109" s="162"/>
      <c r="S109" s="162"/>
      <c r="T109" s="162"/>
      <c r="U109" s="162"/>
      <c r="V109" s="333"/>
      <c r="W109" s="162"/>
      <c r="X109" s="162"/>
      <c r="Y109" s="162"/>
      <c r="Z109" s="162"/>
      <c r="AA109" s="162"/>
      <c r="AB109" s="162"/>
      <c r="AC109" s="333"/>
      <c r="AD109" s="162"/>
      <c r="AE109" s="162"/>
      <c r="AF109" s="162"/>
      <c r="AG109" s="162"/>
      <c r="AH109" s="162"/>
      <c r="AI109" s="162"/>
      <c r="AJ109" s="333"/>
      <c r="AK109" s="162"/>
      <c r="AL109" s="162"/>
      <c r="AM109" s="162"/>
      <c r="AN109" s="162"/>
      <c r="AO109" s="162"/>
      <c r="AP109" s="162"/>
      <c r="AQ109" s="333"/>
      <c r="AR109" s="162"/>
      <c r="AS109" s="162"/>
      <c r="AT109" s="162"/>
      <c r="AU109" s="162"/>
      <c r="AV109" s="162"/>
      <c r="AW109" s="162"/>
      <c r="AX109" s="333"/>
      <c r="AY109" s="162"/>
      <c r="AZ109" s="162"/>
      <c r="BA109" s="162"/>
      <c r="BB109" s="162"/>
      <c r="BC109" s="162"/>
      <c r="BD109" s="376"/>
      <c r="BE109" s="333"/>
      <c r="BF109" s="162"/>
      <c r="BG109" s="162"/>
      <c r="BH109" s="162"/>
      <c r="BI109" s="162"/>
      <c r="BJ109" s="162"/>
      <c r="BK109" s="376"/>
      <c r="BL109" s="162"/>
      <c r="BM109" s="162"/>
      <c r="BN109" s="162"/>
      <c r="BO109" s="162"/>
      <c r="BP109" s="162"/>
      <c r="BQ109" s="162"/>
      <c r="BR109" s="162"/>
      <c r="BT109" s="121"/>
    </row>
    <row r="110" spans="1:72" ht="12.9">
      <c r="A110" s="177"/>
      <c r="B110" s="304"/>
      <c r="C110" s="117"/>
      <c r="D110" s="162"/>
      <c r="E110" s="162"/>
      <c r="F110" s="162"/>
      <c r="G110" s="162"/>
      <c r="H110" s="162"/>
      <c r="I110" s="162"/>
      <c r="J110" s="162"/>
      <c r="K110" s="162"/>
      <c r="L110" s="162"/>
      <c r="M110" s="162"/>
      <c r="N110" s="162"/>
      <c r="O110" s="162"/>
      <c r="P110" s="162"/>
      <c r="Q110" s="162"/>
      <c r="R110" s="162"/>
      <c r="S110" s="162"/>
      <c r="T110" s="162"/>
      <c r="U110" s="162"/>
      <c r="V110" s="333"/>
      <c r="W110" s="162"/>
      <c r="X110" s="162"/>
      <c r="Y110" s="162"/>
      <c r="Z110" s="162"/>
      <c r="AA110" s="162"/>
      <c r="AB110" s="162"/>
      <c r="AC110" s="333"/>
      <c r="AD110" s="162"/>
      <c r="AE110" s="162"/>
      <c r="AF110" s="162"/>
      <c r="AG110" s="162"/>
      <c r="AH110" s="162"/>
      <c r="AI110" s="162"/>
      <c r="AJ110" s="333"/>
      <c r="AK110" s="162"/>
      <c r="AL110" s="162"/>
      <c r="AM110" s="162"/>
      <c r="AN110" s="162"/>
      <c r="AO110" s="162"/>
      <c r="AP110" s="162"/>
      <c r="AQ110" s="333"/>
      <c r="AR110" s="162"/>
      <c r="AS110" s="162"/>
      <c r="AT110" s="162"/>
      <c r="AU110" s="162"/>
      <c r="AV110" s="162"/>
      <c r="AW110" s="162"/>
      <c r="AX110" s="333"/>
      <c r="AY110" s="162"/>
      <c r="AZ110" s="162"/>
      <c r="BA110" s="162"/>
      <c r="BB110" s="162"/>
      <c r="BC110" s="162"/>
      <c r="BD110" s="376"/>
      <c r="BE110" s="333"/>
      <c r="BF110" s="162"/>
      <c r="BG110" s="162"/>
      <c r="BH110" s="162"/>
      <c r="BI110" s="162"/>
      <c r="BJ110" s="162"/>
      <c r="BK110" s="376"/>
      <c r="BL110" s="162"/>
      <c r="BM110" s="162"/>
      <c r="BN110" s="162"/>
      <c r="BO110" s="162"/>
      <c r="BP110" s="162"/>
      <c r="BQ110" s="162"/>
      <c r="BR110" s="162"/>
      <c r="BT110" s="121"/>
    </row>
    <row r="111" spans="1:72" ht="12.9">
      <c r="A111" s="177"/>
      <c r="B111" s="304"/>
      <c r="C111" s="117"/>
      <c r="D111" s="162"/>
      <c r="E111" s="162"/>
      <c r="F111" s="162"/>
      <c r="G111" s="162"/>
      <c r="H111" s="162"/>
      <c r="I111" s="162"/>
      <c r="J111" s="162"/>
      <c r="K111" s="162"/>
      <c r="L111" s="162"/>
      <c r="M111" s="162"/>
      <c r="N111" s="162"/>
      <c r="O111" s="162"/>
      <c r="P111" s="162"/>
      <c r="Q111" s="162"/>
      <c r="R111" s="162"/>
      <c r="S111" s="162"/>
      <c r="T111" s="162"/>
      <c r="U111" s="162"/>
      <c r="V111" s="333"/>
      <c r="W111" s="162"/>
      <c r="X111" s="162"/>
      <c r="Y111" s="162"/>
      <c r="Z111" s="162"/>
      <c r="AA111" s="162"/>
      <c r="AB111" s="162"/>
      <c r="AC111" s="333"/>
      <c r="AD111" s="162"/>
      <c r="AE111" s="162"/>
      <c r="AF111" s="162"/>
      <c r="AG111" s="162"/>
      <c r="AH111" s="162"/>
      <c r="AI111" s="162"/>
      <c r="AJ111" s="333"/>
      <c r="AK111" s="162"/>
      <c r="AL111" s="162"/>
      <c r="AM111" s="162"/>
      <c r="AN111" s="162"/>
      <c r="AO111" s="162"/>
      <c r="AP111" s="162"/>
      <c r="AQ111" s="333"/>
      <c r="AR111" s="162"/>
      <c r="AS111" s="162"/>
      <c r="AT111" s="162"/>
      <c r="AU111" s="162"/>
      <c r="AV111" s="162"/>
      <c r="AW111" s="162"/>
      <c r="AX111" s="333"/>
      <c r="AY111" s="162"/>
      <c r="AZ111" s="162"/>
      <c r="BA111" s="162"/>
      <c r="BB111" s="162"/>
      <c r="BC111" s="162"/>
      <c r="BD111" s="376"/>
      <c r="BE111" s="333"/>
      <c r="BF111" s="162"/>
      <c r="BG111" s="162"/>
      <c r="BH111" s="162"/>
      <c r="BI111" s="162"/>
      <c r="BJ111" s="162"/>
      <c r="BK111" s="376"/>
      <c r="BL111" s="162"/>
      <c r="BM111" s="162"/>
      <c r="BN111" s="162"/>
      <c r="BO111" s="162"/>
      <c r="BP111" s="162"/>
      <c r="BQ111" s="162"/>
      <c r="BR111" s="162"/>
      <c r="BT111" s="121"/>
    </row>
    <row r="112" spans="1:72" ht="14.1">
      <c r="A112" s="130"/>
      <c r="B112" s="187" t="s">
        <v>407</v>
      </c>
      <c r="C112" s="117"/>
      <c r="D112" s="87">
        <f t="shared" ref="D112:U112" si="428">D2</f>
        <v>2001</v>
      </c>
      <c r="E112" s="87">
        <f t="shared" si="428"/>
        <v>2002</v>
      </c>
      <c r="F112" s="87">
        <f t="shared" si="428"/>
        <v>2003</v>
      </c>
      <c r="G112" s="87">
        <f t="shared" si="428"/>
        <v>2004</v>
      </c>
      <c r="H112" s="87">
        <f t="shared" si="428"/>
        <v>2005</v>
      </c>
      <c r="I112" s="87">
        <f t="shared" si="428"/>
        <v>2006</v>
      </c>
      <c r="J112" s="87">
        <f t="shared" si="428"/>
        <v>2007</v>
      </c>
      <c r="K112" s="87">
        <f t="shared" si="428"/>
        <v>2008</v>
      </c>
      <c r="L112" s="87">
        <f t="shared" si="428"/>
        <v>2009</v>
      </c>
      <c r="M112" s="87">
        <f t="shared" si="428"/>
        <v>2010</v>
      </c>
      <c r="N112" s="87">
        <f t="shared" si="428"/>
        <v>2011</v>
      </c>
      <c r="O112" s="87">
        <f t="shared" si="428"/>
        <v>2012</v>
      </c>
      <c r="P112" s="87">
        <f t="shared" si="428"/>
        <v>2013</v>
      </c>
      <c r="Q112" s="87">
        <f t="shared" si="428"/>
        <v>2014</v>
      </c>
      <c r="R112" s="87">
        <f t="shared" si="428"/>
        <v>2015</v>
      </c>
      <c r="S112" s="87">
        <f t="shared" si="428"/>
        <v>2016</v>
      </c>
      <c r="T112" s="87">
        <f t="shared" si="428"/>
        <v>2017</v>
      </c>
      <c r="U112" s="87">
        <f t="shared" si="428"/>
        <v>2018</v>
      </c>
      <c r="V112" s="142"/>
      <c r="W112" s="87"/>
      <c r="X112" s="87"/>
      <c r="Y112" s="87"/>
      <c r="Z112" s="87"/>
      <c r="AA112" s="87"/>
      <c r="AB112" s="87">
        <f>AB2</f>
        <v>2019</v>
      </c>
      <c r="AC112" s="142"/>
      <c r="AD112" s="87"/>
      <c r="AE112" s="87"/>
      <c r="AF112" s="87"/>
      <c r="AG112" s="87"/>
      <c r="AH112" s="87"/>
      <c r="AI112" s="87">
        <f>AI2</f>
        <v>2020</v>
      </c>
      <c r="AJ112" s="142"/>
      <c r="AK112" s="87"/>
      <c r="AL112" s="87"/>
      <c r="AM112" s="87"/>
      <c r="AN112" s="87"/>
      <c r="AO112" s="87"/>
      <c r="AP112" s="87">
        <f>AP2</f>
        <v>2021</v>
      </c>
      <c r="AQ112" s="142"/>
      <c r="AR112" s="87"/>
      <c r="AS112" s="87"/>
      <c r="AT112" s="87"/>
      <c r="AU112" s="87"/>
      <c r="AV112" s="87"/>
      <c r="AW112" s="87">
        <f>AW2</f>
        <v>2022</v>
      </c>
      <c r="AX112" s="142"/>
      <c r="AY112" s="87"/>
      <c r="AZ112" s="87"/>
      <c r="BA112" s="87"/>
      <c r="BB112" s="87"/>
      <c r="BC112" s="87"/>
      <c r="BD112" s="143">
        <f>BD2</f>
        <v>2023</v>
      </c>
      <c r="BE112" s="142"/>
      <c r="BF112" s="87"/>
      <c r="BG112" s="87"/>
      <c r="BH112" s="87"/>
      <c r="BI112" s="87"/>
      <c r="BJ112" s="87"/>
      <c r="BK112" s="143">
        <f>BK2</f>
        <v>2024</v>
      </c>
      <c r="BL112" s="87">
        <f>BL2</f>
        <v>2025</v>
      </c>
      <c r="BM112" s="87"/>
      <c r="BN112" s="87"/>
      <c r="BO112" s="87"/>
      <c r="BP112" s="87"/>
      <c r="BQ112" s="87"/>
      <c r="BR112" s="87"/>
      <c r="BT112" s="121"/>
    </row>
    <row r="113" spans="1:91">
      <c r="A113" s="177"/>
      <c r="B113" s="117" t="s">
        <v>112</v>
      </c>
      <c r="C113" s="117"/>
      <c r="D113" s="159"/>
      <c r="E113" s="159"/>
      <c r="F113" s="159"/>
      <c r="G113" s="159"/>
      <c r="H113" s="159"/>
      <c r="I113" s="159"/>
      <c r="J113" s="159"/>
      <c r="K113" s="159"/>
      <c r="L113" s="159"/>
      <c r="M113" s="159"/>
      <c r="N113" s="159"/>
      <c r="O113" s="159"/>
      <c r="P113" s="159"/>
      <c r="Q113" s="159"/>
      <c r="R113" s="159"/>
      <c r="S113" s="159"/>
      <c r="T113" s="159"/>
      <c r="U113" s="159"/>
      <c r="V113" s="335"/>
      <c r="W113" s="159"/>
      <c r="X113" s="159"/>
      <c r="Y113" s="159"/>
      <c r="Z113" s="159"/>
      <c r="AA113" s="159"/>
      <c r="AB113" s="159"/>
      <c r="AC113" s="335"/>
      <c r="AD113" s="159"/>
      <c r="AE113" s="159"/>
      <c r="AF113" s="159"/>
      <c r="AG113" s="159"/>
      <c r="AH113" s="159"/>
      <c r="AI113" s="159"/>
      <c r="AJ113" s="335"/>
      <c r="AK113" s="159"/>
      <c r="AL113" s="159"/>
      <c r="AM113" s="159"/>
      <c r="AN113" s="159"/>
      <c r="AO113" s="159"/>
      <c r="AP113" s="159"/>
      <c r="AQ113" s="335"/>
      <c r="AR113" s="159"/>
      <c r="AS113" s="159"/>
      <c r="AT113" s="159"/>
      <c r="AU113" s="159"/>
      <c r="AV113" s="159"/>
      <c r="AW113" s="159"/>
      <c r="AX113" s="335"/>
      <c r="AY113" s="159"/>
      <c r="AZ113" s="159"/>
      <c r="BA113" s="159"/>
      <c r="BB113" s="159"/>
      <c r="BC113" s="159"/>
      <c r="BD113" s="378"/>
      <c r="BE113" s="335"/>
      <c r="BF113" s="159"/>
      <c r="BG113" s="159"/>
      <c r="BH113" s="159"/>
      <c r="BI113" s="159"/>
      <c r="BJ113" s="159"/>
      <c r="BK113" s="378"/>
      <c r="BL113" s="159"/>
      <c r="BM113" s="159"/>
      <c r="BN113" s="119"/>
      <c r="BO113" s="119"/>
      <c r="BP113" s="159"/>
      <c r="BQ113" s="119"/>
      <c r="BR113" s="159"/>
      <c r="BT113" s="121"/>
    </row>
    <row r="114" spans="1:91">
      <c r="A114" s="130"/>
      <c r="B114" s="117" t="s">
        <v>113</v>
      </c>
      <c r="C114" s="117"/>
      <c r="D114" s="159"/>
      <c r="E114" s="159"/>
      <c r="F114" s="159"/>
      <c r="G114" s="159"/>
      <c r="H114" s="159"/>
      <c r="I114" s="159"/>
      <c r="J114" s="159"/>
      <c r="K114" s="159"/>
      <c r="L114" s="159"/>
      <c r="M114" s="159"/>
      <c r="N114" s="159"/>
      <c r="O114" s="159"/>
      <c r="P114" s="159"/>
      <c r="Q114" s="159"/>
      <c r="R114" s="159"/>
      <c r="S114" s="159"/>
      <c r="T114" s="159"/>
      <c r="U114" s="165"/>
      <c r="V114" s="336"/>
      <c r="W114" s="165"/>
      <c r="X114" s="165"/>
      <c r="Y114" s="165"/>
      <c r="Z114" s="165"/>
      <c r="AA114" s="165"/>
      <c r="AB114" s="165"/>
      <c r="AC114" s="336"/>
      <c r="AD114" s="165"/>
      <c r="AE114" s="165"/>
      <c r="AF114" s="165"/>
      <c r="AG114" s="165"/>
      <c r="AH114" s="165"/>
      <c r="AI114" s="165"/>
      <c r="AJ114" s="336"/>
      <c r="AK114" s="165"/>
      <c r="AL114" s="165"/>
      <c r="AM114" s="165"/>
      <c r="AN114" s="165"/>
      <c r="AO114" s="165"/>
      <c r="AP114" s="165"/>
      <c r="AQ114" s="336"/>
      <c r="AR114" s="165"/>
      <c r="AS114" s="165"/>
      <c r="AT114" s="165"/>
      <c r="AU114" s="165"/>
      <c r="AV114" s="165"/>
      <c r="AW114" s="165"/>
      <c r="AX114" s="336"/>
      <c r="AY114" s="165"/>
      <c r="AZ114" s="165"/>
      <c r="BA114" s="165"/>
      <c r="BB114" s="165"/>
      <c r="BC114" s="165"/>
      <c r="BD114" s="379"/>
      <c r="BE114" s="336"/>
      <c r="BF114" s="165"/>
      <c r="BG114" s="165"/>
      <c r="BH114" s="165"/>
      <c r="BI114" s="165"/>
      <c r="BJ114" s="165"/>
      <c r="BK114" s="379"/>
      <c r="BL114" s="165"/>
      <c r="BM114" s="165"/>
      <c r="BN114" s="119"/>
      <c r="BO114" s="119"/>
      <c r="BP114" s="165"/>
      <c r="BQ114" s="119"/>
      <c r="BR114" s="165"/>
      <c r="BT114" s="121"/>
    </row>
    <row r="115" spans="1:91">
      <c r="A115" s="130"/>
      <c r="B115" s="117" t="s">
        <v>114</v>
      </c>
      <c r="C115" s="117"/>
      <c r="D115" s="159">
        <v>0</v>
      </c>
      <c r="E115" s="159">
        <v>0</v>
      </c>
      <c r="F115" s="159">
        <v>0</v>
      </c>
      <c r="G115" s="159">
        <v>0</v>
      </c>
      <c r="H115" s="159">
        <v>0</v>
      </c>
      <c r="I115" s="159">
        <v>0</v>
      </c>
      <c r="J115" s="159">
        <v>0</v>
      </c>
      <c r="K115" s="159">
        <v>0</v>
      </c>
      <c r="L115" s="159">
        <v>0</v>
      </c>
      <c r="M115" s="159">
        <v>0</v>
      </c>
      <c r="N115" s="159">
        <v>0</v>
      </c>
      <c r="O115" s="159">
        <v>0</v>
      </c>
      <c r="P115" s="159">
        <v>0</v>
      </c>
      <c r="Q115" s="159">
        <v>0</v>
      </c>
      <c r="R115" s="159">
        <v>0</v>
      </c>
      <c r="S115" s="159">
        <v>0</v>
      </c>
      <c r="T115" s="159">
        <v>0</v>
      </c>
      <c r="U115" s="159">
        <v>0</v>
      </c>
      <c r="V115" s="335"/>
      <c r="W115" s="159"/>
      <c r="X115" s="159"/>
      <c r="Y115" s="159"/>
      <c r="Z115" s="159"/>
      <c r="AA115" s="159"/>
      <c r="AB115" s="159">
        <v>0</v>
      </c>
      <c r="AC115" s="335"/>
      <c r="AD115" s="159"/>
      <c r="AE115" s="159"/>
      <c r="AF115" s="159"/>
      <c r="AG115" s="159"/>
      <c r="AH115" s="159"/>
      <c r="AI115" s="159">
        <v>0</v>
      </c>
      <c r="AJ115" s="335"/>
      <c r="AK115" s="159"/>
      <c r="AL115" s="159"/>
      <c r="AM115" s="159"/>
      <c r="AN115" s="159"/>
      <c r="AO115" s="159"/>
      <c r="AP115" s="159">
        <v>0</v>
      </c>
      <c r="AQ115" s="335"/>
      <c r="AR115" s="159"/>
      <c r="AS115" s="159"/>
      <c r="AT115" s="159"/>
      <c r="AU115" s="159"/>
      <c r="AV115" s="159"/>
      <c r="AW115" s="159">
        <v>0</v>
      </c>
      <c r="AX115" s="335"/>
      <c r="AY115" s="159"/>
      <c r="AZ115" s="159"/>
      <c r="BA115" s="159"/>
      <c r="BB115" s="159"/>
      <c r="BC115" s="159"/>
      <c r="BD115" s="378">
        <v>0</v>
      </c>
      <c r="BE115" s="335"/>
      <c r="BF115" s="159"/>
      <c r="BG115" s="159"/>
      <c r="BH115" s="159"/>
      <c r="BI115" s="159"/>
      <c r="BJ115" s="159"/>
      <c r="BK115" s="378">
        <v>0</v>
      </c>
      <c r="BL115" s="159">
        <v>0</v>
      </c>
      <c r="BM115" s="159">
        <v>0</v>
      </c>
      <c r="BN115" s="159">
        <v>0</v>
      </c>
      <c r="BO115" s="159">
        <v>0</v>
      </c>
      <c r="BP115" s="159">
        <v>0</v>
      </c>
      <c r="BQ115" s="159">
        <v>0</v>
      </c>
      <c r="BR115" s="159">
        <v>0</v>
      </c>
      <c r="BT115" s="121"/>
    </row>
    <row r="116" spans="1:91" s="88" customFormat="1">
      <c r="A116" s="177"/>
      <c r="B116" s="117" t="s">
        <v>115</v>
      </c>
      <c r="C116" s="117"/>
      <c r="D116" s="159">
        <v>10</v>
      </c>
      <c r="E116" s="159">
        <v>10</v>
      </c>
      <c r="F116" s="159">
        <v>10</v>
      </c>
      <c r="G116" s="159">
        <v>10</v>
      </c>
      <c r="H116" s="159">
        <v>10</v>
      </c>
      <c r="I116" s="159">
        <v>10</v>
      </c>
      <c r="J116" s="159">
        <v>10</v>
      </c>
      <c r="K116" s="159">
        <v>10</v>
      </c>
      <c r="L116" s="159">
        <v>10</v>
      </c>
      <c r="M116" s="159">
        <v>10</v>
      </c>
      <c r="N116" s="159">
        <v>10</v>
      </c>
      <c r="O116" s="159">
        <v>10</v>
      </c>
      <c r="P116" s="159">
        <v>10</v>
      </c>
      <c r="Q116" s="159">
        <v>10</v>
      </c>
      <c r="R116" s="159">
        <v>10</v>
      </c>
      <c r="S116" s="159">
        <v>10</v>
      </c>
      <c r="T116" s="159">
        <v>10</v>
      </c>
      <c r="U116" s="159">
        <v>10</v>
      </c>
      <c r="V116" s="335"/>
      <c r="W116" s="159"/>
      <c r="X116" s="159"/>
      <c r="Y116" s="159"/>
      <c r="Z116" s="159"/>
      <c r="AA116" s="159"/>
      <c r="AB116" s="159">
        <v>10</v>
      </c>
      <c r="AC116" s="335"/>
      <c r="AD116" s="159"/>
      <c r="AE116" s="159"/>
      <c r="AF116" s="159"/>
      <c r="AG116" s="159"/>
      <c r="AH116" s="159"/>
      <c r="AI116" s="159">
        <v>10</v>
      </c>
      <c r="AJ116" s="335"/>
      <c r="AK116" s="159"/>
      <c r="AL116" s="159"/>
      <c r="AM116" s="159"/>
      <c r="AN116" s="159"/>
      <c r="AO116" s="159"/>
      <c r="AP116" s="159">
        <v>10</v>
      </c>
      <c r="AQ116" s="335"/>
      <c r="AR116" s="159"/>
      <c r="AS116" s="159"/>
      <c r="AT116" s="159"/>
      <c r="AU116" s="159"/>
      <c r="AV116" s="159"/>
      <c r="AW116" s="159">
        <v>10</v>
      </c>
      <c r="AX116" s="335"/>
      <c r="AY116" s="159"/>
      <c r="AZ116" s="159"/>
      <c r="BA116" s="159"/>
      <c r="BB116" s="159"/>
      <c r="BC116" s="159"/>
      <c r="BD116" s="378">
        <v>10</v>
      </c>
      <c r="BE116" s="335"/>
      <c r="BF116" s="159"/>
      <c r="BG116" s="159"/>
      <c r="BH116" s="159"/>
      <c r="BI116" s="159"/>
      <c r="BJ116" s="159"/>
      <c r="BK116" s="378">
        <v>10</v>
      </c>
      <c r="BL116" s="159">
        <v>10</v>
      </c>
      <c r="BM116" s="159">
        <v>10</v>
      </c>
      <c r="BN116" s="159">
        <v>10</v>
      </c>
      <c r="BO116" s="159">
        <v>10</v>
      </c>
      <c r="BP116" s="159">
        <v>10</v>
      </c>
      <c r="BQ116" s="159">
        <v>10</v>
      </c>
      <c r="BR116" s="159">
        <v>10</v>
      </c>
      <c r="BS116" s="123"/>
      <c r="BT116" s="127"/>
      <c r="BU116" s="123"/>
      <c r="BV116" s="123"/>
      <c r="BW116" s="123"/>
      <c r="BX116" s="123"/>
      <c r="BY116" s="123"/>
      <c r="BZ116" s="123"/>
      <c r="CA116" s="123"/>
      <c r="CB116" s="123"/>
      <c r="CC116" s="123"/>
      <c r="CD116" s="123"/>
      <c r="CE116" s="123"/>
      <c r="CF116" s="123"/>
      <c r="CG116" s="123"/>
      <c r="CH116" s="123"/>
      <c r="CI116" s="123"/>
      <c r="CJ116" s="123"/>
      <c r="CK116" s="123"/>
      <c r="CL116" s="123"/>
      <c r="CM116" s="123"/>
    </row>
    <row r="117" spans="1:91" s="88" customFormat="1">
      <c r="A117" s="177"/>
      <c r="B117" s="117" t="s">
        <v>116</v>
      </c>
      <c r="C117" s="117"/>
      <c r="D117" s="132">
        <v>-12.95</v>
      </c>
      <c r="E117" s="132">
        <v>-11.95</v>
      </c>
      <c r="F117" s="132">
        <v>-10.95</v>
      </c>
      <c r="G117" s="132">
        <v>-9.9499999999999993</v>
      </c>
      <c r="H117" s="132">
        <v>-8.9499999999999993</v>
      </c>
      <c r="I117" s="132">
        <v>-7.95</v>
      </c>
      <c r="J117" s="132">
        <v>-6.95</v>
      </c>
      <c r="K117" s="132">
        <v>-5.95</v>
      </c>
      <c r="L117" s="132">
        <v>-4.95</v>
      </c>
      <c r="M117" s="132">
        <v>-3.95</v>
      </c>
      <c r="N117" s="132">
        <v>-2.95</v>
      </c>
      <c r="O117" s="132">
        <v>-1.95</v>
      </c>
      <c r="P117" s="132">
        <v>-0.95</v>
      </c>
      <c r="Q117" s="132">
        <v>0.05</v>
      </c>
      <c r="R117" s="132">
        <v>0.05</v>
      </c>
      <c r="S117" s="132">
        <v>0.05</v>
      </c>
      <c r="T117" s="132">
        <v>0.05</v>
      </c>
      <c r="U117" s="132">
        <v>0.05</v>
      </c>
      <c r="V117" s="337"/>
      <c r="W117" s="132"/>
      <c r="X117" s="132"/>
      <c r="Y117" s="132"/>
      <c r="Z117" s="132"/>
      <c r="AA117" s="132"/>
      <c r="AB117" s="132">
        <v>0.05</v>
      </c>
      <c r="AC117" s="337"/>
      <c r="AD117" s="132"/>
      <c r="AE117" s="132"/>
      <c r="AF117" s="132"/>
      <c r="AG117" s="132"/>
      <c r="AH117" s="132"/>
      <c r="AI117" s="132">
        <v>0.05</v>
      </c>
      <c r="AJ117" s="337"/>
      <c r="AK117" s="132"/>
      <c r="AL117" s="132"/>
      <c r="AM117" s="132"/>
      <c r="AN117" s="132"/>
      <c r="AO117" s="132"/>
      <c r="AP117" s="132">
        <v>0.05</v>
      </c>
      <c r="AQ117" s="337"/>
      <c r="AR117" s="132"/>
      <c r="AS117" s="132"/>
      <c r="AT117" s="132"/>
      <c r="AU117" s="132"/>
      <c r="AV117" s="132"/>
      <c r="AW117" s="132">
        <v>0.05</v>
      </c>
      <c r="AX117" s="337"/>
      <c r="AY117" s="132"/>
      <c r="AZ117" s="132"/>
      <c r="BA117" s="132"/>
      <c r="BB117" s="132"/>
      <c r="BC117" s="132"/>
      <c r="BD117" s="380">
        <v>0.05</v>
      </c>
      <c r="BE117" s="337"/>
      <c r="BF117" s="132"/>
      <c r="BG117" s="132"/>
      <c r="BH117" s="132"/>
      <c r="BI117" s="132"/>
      <c r="BJ117" s="132"/>
      <c r="BK117" s="380">
        <v>0.05</v>
      </c>
      <c r="BL117" s="132">
        <v>0.05</v>
      </c>
      <c r="BM117" s="132">
        <v>0.05</v>
      </c>
      <c r="BN117" s="132">
        <v>0.05</v>
      </c>
      <c r="BO117" s="132">
        <v>0.05</v>
      </c>
      <c r="BP117" s="132">
        <v>0.05</v>
      </c>
      <c r="BQ117" s="132">
        <v>0.05</v>
      </c>
      <c r="BR117" s="132">
        <v>0.05</v>
      </c>
      <c r="BS117" s="123"/>
      <c r="BT117" s="127"/>
      <c r="BU117" s="123"/>
      <c r="BV117" s="123"/>
      <c r="BW117" s="123"/>
      <c r="BX117" s="123"/>
      <c r="BY117" s="123"/>
      <c r="BZ117" s="123"/>
      <c r="CA117" s="123"/>
      <c r="CB117" s="123"/>
      <c r="CC117" s="123"/>
      <c r="CD117" s="123"/>
      <c r="CE117" s="123"/>
      <c r="CF117" s="123"/>
      <c r="CG117" s="123"/>
      <c r="CH117" s="123"/>
      <c r="CI117" s="123"/>
      <c r="CJ117" s="123"/>
      <c r="CK117" s="123"/>
      <c r="CL117" s="123"/>
      <c r="CM117" s="123"/>
    </row>
    <row r="118" spans="1:91" s="88" customFormat="1">
      <c r="A118" s="177"/>
      <c r="B118" s="117" t="s">
        <v>117</v>
      </c>
      <c r="C118" s="117"/>
      <c r="D118" s="160">
        <f t="shared" ref="D118:U118" si="429">D64+(D115/D116)</f>
        <v>0</v>
      </c>
      <c r="E118" s="160">
        <f t="shared" si="429"/>
        <v>0</v>
      </c>
      <c r="F118" s="160">
        <f t="shared" si="429"/>
        <v>0</v>
      </c>
      <c r="G118" s="160">
        <f t="shared" si="429"/>
        <v>0</v>
      </c>
      <c r="H118" s="160">
        <f t="shared" si="429"/>
        <v>0</v>
      </c>
      <c r="I118" s="160">
        <f t="shared" si="429"/>
        <v>0</v>
      </c>
      <c r="J118" s="160">
        <f t="shared" si="429"/>
        <v>0</v>
      </c>
      <c r="K118" s="160">
        <f t="shared" si="429"/>
        <v>0</v>
      </c>
      <c r="L118" s="160">
        <f t="shared" si="429"/>
        <v>0</v>
      </c>
      <c r="M118" s="160">
        <f t="shared" si="429"/>
        <v>0</v>
      </c>
      <c r="N118" s="160">
        <f t="shared" si="429"/>
        <v>0</v>
      </c>
      <c r="O118" s="160">
        <f t="shared" si="429"/>
        <v>0</v>
      </c>
      <c r="P118" s="160">
        <f t="shared" si="429"/>
        <v>0</v>
      </c>
      <c r="Q118" s="160">
        <f t="shared" si="429"/>
        <v>0</v>
      </c>
      <c r="R118" s="160">
        <f t="shared" si="429"/>
        <v>0</v>
      </c>
      <c r="S118" s="160">
        <f t="shared" si="429"/>
        <v>0</v>
      </c>
      <c r="T118" s="160">
        <f t="shared" si="429"/>
        <v>0</v>
      </c>
      <c r="U118" s="160">
        <f t="shared" si="429"/>
        <v>0</v>
      </c>
      <c r="V118" s="338"/>
      <c r="W118" s="160"/>
      <c r="X118" s="160"/>
      <c r="Y118" s="160"/>
      <c r="Z118" s="160"/>
      <c r="AA118" s="160"/>
      <c r="AB118" s="160">
        <f>AB64+(AB115/AB116)</f>
        <v>0</v>
      </c>
      <c r="AC118" s="338"/>
      <c r="AD118" s="160"/>
      <c r="AE118" s="160"/>
      <c r="AF118" s="160"/>
      <c r="AG118" s="160"/>
      <c r="AH118" s="160"/>
      <c r="AI118" s="160">
        <f>AI64+(AI115/AI116)</f>
        <v>0</v>
      </c>
      <c r="AJ118" s="338"/>
      <c r="AK118" s="160"/>
      <c r="AL118" s="160"/>
      <c r="AM118" s="160"/>
      <c r="AN118" s="160"/>
      <c r="AO118" s="160"/>
      <c r="AP118" s="160">
        <f>AP64+(AP115/AP116)</f>
        <v>0</v>
      </c>
      <c r="AQ118" s="338"/>
      <c r="AR118" s="160"/>
      <c r="AS118" s="160"/>
      <c r="AT118" s="160"/>
      <c r="AU118" s="160"/>
      <c r="AV118" s="160"/>
      <c r="AW118" s="160">
        <f>AW64+(AW115/AW116)</f>
        <v>0</v>
      </c>
      <c r="AX118" s="338"/>
      <c r="AY118" s="160"/>
      <c r="AZ118" s="160"/>
      <c r="BA118" s="160"/>
      <c r="BB118" s="160"/>
      <c r="BC118" s="160"/>
      <c r="BD118" s="381">
        <f>BD64+(BD115/BD116)</f>
        <v>0</v>
      </c>
      <c r="BE118" s="338"/>
      <c r="BF118" s="160"/>
      <c r="BG118" s="160"/>
      <c r="BH118" s="160"/>
      <c r="BI118" s="160"/>
      <c r="BJ118" s="160"/>
      <c r="BK118" s="381">
        <f>BK64+(BK115/BK116)</f>
        <v>0</v>
      </c>
      <c r="BL118" s="160">
        <f t="shared" ref="BL118:BR118" si="430">BL64+(BL115/BL116)</f>
        <v>0</v>
      </c>
      <c r="BM118" s="160">
        <f t="shared" si="430"/>
        <v>0</v>
      </c>
      <c r="BN118" s="160">
        <f t="shared" si="430"/>
        <v>0</v>
      </c>
      <c r="BO118" s="160">
        <f t="shared" si="430"/>
        <v>0</v>
      </c>
      <c r="BP118" s="160">
        <f t="shared" si="430"/>
        <v>0</v>
      </c>
      <c r="BQ118" s="160">
        <f t="shared" si="430"/>
        <v>0</v>
      </c>
      <c r="BR118" s="160">
        <f t="shared" si="430"/>
        <v>0</v>
      </c>
      <c r="BS118" s="123"/>
      <c r="BT118" s="127"/>
      <c r="BU118" s="123"/>
      <c r="BV118" s="123"/>
      <c r="BW118" s="123"/>
      <c r="BX118" s="123"/>
      <c r="BY118" s="123"/>
      <c r="BZ118" s="123"/>
      <c r="CA118" s="123"/>
      <c r="CB118" s="123"/>
      <c r="CC118" s="123"/>
      <c r="CD118" s="123"/>
      <c r="CE118" s="123"/>
      <c r="CF118" s="123"/>
      <c r="CG118" s="123"/>
      <c r="CH118" s="123"/>
      <c r="CI118" s="123"/>
      <c r="CJ118" s="123"/>
      <c r="CK118" s="123"/>
      <c r="CL118" s="123"/>
      <c r="CM118" s="123"/>
    </row>
    <row r="119" spans="1:91">
      <c r="A119" s="177"/>
      <c r="B119" s="117"/>
      <c r="C119" s="117"/>
      <c r="D119" s="160"/>
      <c r="E119" s="160"/>
      <c r="F119" s="160"/>
      <c r="G119" s="160"/>
      <c r="H119" s="160"/>
      <c r="I119" s="160"/>
      <c r="J119" s="160"/>
      <c r="K119" s="160"/>
      <c r="L119" s="160"/>
      <c r="M119" s="160"/>
      <c r="N119" s="160"/>
      <c r="O119" s="160"/>
      <c r="P119" s="160"/>
      <c r="Q119" s="160"/>
      <c r="R119" s="160"/>
      <c r="S119" s="160"/>
      <c r="T119" s="160"/>
      <c r="U119" s="160"/>
      <c r="V119" s="338"/>
      <c r="W119" s="160"/>
      <c r="X119" s="160"/>
      <c r="Y119" s="160"/>
      <c r="Z119" s="160"/>
      <c r="AA119" s="160"/>
      <c r="AB119" s="160"/>
      <c r="AC119" s="338"/>
      <c r="AD119" s="160"/>
      <c r="AE119" s="160"/>
      <c r="AF119" s="160"/>
      <c r="AG119" s="160"/>
      <c r="AH119" s="160"/>
      <c r="AI119" s="160"/>
      <c r="AJ119" s="338"/>
      <c r="AK119" s="160"/>
      <c r="AL119" s="160"/>
      <c r="AM119" s="160"/>
      <c r="AN119" s="160"/>
      <c r="AO119" s="160"/>
      <c r="AP119" s="160"/>
      <c r="AQ119" s="338"/>
      <c r="AR119" s="160"/>
      <c r="AS119" s="160"/>
      <c r="AT119" s="160"/>
      <c r="AU119" s="160"/>
      <c r="AV119" s="160"/>
      <c r="AW119" s="160"/>
      <c r="AX119" s="338"/>
      <c r="AY119" s="160"/>
      <c r="AZ119" s="160"/>
      <c r="BA119" s="160"/>
      <c r="BB119" s="160"/>
      <c r="BC119" s="160"/>
      <c r="BD119" s="381"/>
      <c r="BE119" s="338"/>
      <c r="BF119" s="160"/>
      <c r="BG119" s="160"/>
      <c r="BH119" s="160"/>
      <c r="BI119" s="160"/>
      <c r="BJ119" s="160"/>
      <c r="BK119" s="381"/>
      <c r="BL119" s="160"/>
      <c r="BM119" s="160"/>
      <c r="BN119" s="119"/>
      <c r="BO119" s="119"/>
      <c r="BP119" s="160"/>
      <c r="BQ119" s="119"/>
      <c r="BR119" s="160"/>
      <c r="BT119" s="121"/>
    </row>
    <row r="120" spans="1:91">
      <c r="A120" s="177"/>
      <c r="B120" s="117" t="s">
        <v>118</v>
      </c>
      <c r="C120" s="117"/>
      <c r="D120" s="161" t="e">
        <f t="shared" ref="D120:U120" si="431">D59/D64</f>
        <v>#REF!</v>
      </c>
      <c r="E120" s="161" t="e">
        <f t="shared" si="431"/>
        <v>#REF!</v>
      </c>
      <c r="F120" s="161" t="e">
        <f t="shared" si="431"/>
        <v>#REF!</v>
      </c>
      <c r="G120" s="161" t="e">
        <f t="shared" si="431"/>
        <v>#REF!</v>
      </c>
      <c r="H120" s="161" t="e">
        <f t="shared" si="431"/>
        <v>#REF!</v>
      </c>
      <c r="I120" s="161" t="e">
        <f t="shared" si="431"/>
        <v>#REF!</v>
      </c>
      <c r="J120" s="161" t="e">
        <f t="shared" si="431"/>
        <v>#REF!</v>
      </c>
      <c r="K120" s="161" t="e">
        <f t="shared" si="431"/>
        <v>#REF!</v>
      </c>
      <c r="L120" s="161" t="e">
        <f t="shared" si="431"/>
        <v>#REF!</v>
      </c>
      <c r="M120" s="161" t="e">
        <f t="shared" si="431"/>
        <v>#REF!</v>
      </c>
      <c r="N120" s="161" t="e">
        <f t="shared" si="431"/>
        <v>#REF!</v>
      </c>
      <c r="O120" s="161" t="e">
        <f t="shared" si="431"/>
        <v>#REF!</v>
      </c>
      <c r="P120" s="161" t="e">
        <f t="shared" si="431"/>
        <v>#REF!</v>
      </c>
      <c r="Q120" s="161" t="e">
        <f t="shared" si="431"/>
        <v>#REF!</v>
      </c>
      <c r="R120" s="161" t="e">
        <f t="shared" si="431"/>
        <v>#REF!</v>
      </c>
      <c r="S120" s="161" t="e">
        <f t="shared" si="431"/>
        <v>#REF!</v>
      </c>
      <c r="T120" s="161" t="e">
        <f t="shared" si="431"/>
        <v>#REF!</v>
      </c>
      <c r="U120" s="161" t="e">
        <f t="shared" si="431"/>
        <v>#REF!</v>
      </c>
      <c r="V120" s="339"/>
      <c r="W120" s="161"/>
      <c r="X120" s="161"/>
      <c r="Y120" s="161"/>
      <c r="Z120" s="161"/>
      <c r="AA120" s="161"/>
      <c r="AB120" s="161" t="e">
        <f>AB59/AB64</f>
        <v>#REF!</v>
      </c>
      <c r="AC120" s="339"/>
      <c r="AD120" s="161"/>
      <c r="AE120" s="161"/>
      <c r="AF120" s="161"/>
      <c r="AG120" s="161"/>
      <c r="AH120" s="161"/>
      <c r="AI120" s="161" t="e">
        <f>AI59/AI64</f>
        <v>#REF!</v>
      </c>
      <c r="AJ120" s="339"/>
      <c r="AK120" s="161"/>
      <c r="AL120" s="161"/>
      <c r="AM120" s="161"/>
      <c r="AN120" s="161"/>
      <c r="AO120" s="161"/>
      <c r="AP120" s="161" t="e">
        <f>AP59/AP64</f>
        <v>#REF!</v>
      </c>
      <c r="AQ120" s="339"/>
      <c r="AR120" s="161"/>
      <c r="AS120" s="161"/>
      <c r="AT120" s="161"/>
      <c r="AU120" s="161"/>
      <c r="AV120" s="161"/>
      <c r="AW120" s="161" t="e">
        <f>AW59/AW64</f>
        <v>#REF!</v>
      </c>
      <c r="AX120" s="339"/>
      <c r="AY120" s="161"/>
      <c r="AZ120" s="161"/>
      <c r="BA120" s="161"/>
      <c r="BB120" s="161"/>
      <c r="BC120" s="161"/>
      <c r="BD120" s="382" t="e">
        <f>BD59/BD64</f>
        <v>#REF!</v>
      </c>
      <c r="BE120" s="339"/>
      <c r="BF120" s="161"/>
      <c r="BG120" s="161"/>
      <c r="BH120" s="161"/>
      <c r="BI120" s="161"/>
      <c r="BJ120" s="161"/>
      <c r="BK120" s="382" t="e">
        <f>BK59/BK64</f>
        <v>#REF!</v>
      </c>
      <c r="BL120" s="161" t="e">
        <f t="shared" ref="BL120:BR120" si="432">BL59/BL64</f>
        <v>#REF!</v>
      </c>
      <c r="BM120" s="161" t="e">
        <f t="shared" si="432"/>
        <v>#REF!</v>
      </c>
      <c r="BN120" s="161" t="e">
        <f t="shared" si="432"/>
        <v>#REF!</v>
      </c>
      <c r="BO120" s="161" t="e">
        <f t="shared" si="432"/>
        <v>#REF!</v>
      </c>
      <c r="BP120" s="161" t="e">
        <f t="shared" si="432"/>
        <v>#REF!</v>
      </c>
      <c r="BQ120" s="161" t="e">
        <f t="shared" si="432"/>
        <v>#REF!</v>
      </c>
      <c r="BR120" s="161" t="e">
        <f t="shared" si="432"/>
        <v>#REF!</v>
      </c>
      <c r="BT120" s="121"/>
    </row>
    <row r="121" spans="1:91" s="88" customFormat="1">
      <c r="A121" s="177"/>
      <c r="B121" s="117" t="s">
        <v>119</v>
      </c>
      <c r="C121" s="117"/>
      <c r="D121" s="161" t="e">
        <f t="shared" ref="D121:U121" si="433">(D59+D115*D117*(1-D56))/D118</f>
        <v>#REF!</v>
      </c>
      <c r="E121" s="161" t="e">
        <f t="shared" si="433"/>
        <v>#REF!</v>
      </c>
      <c r="F121" s="161" t="e">
        <f t="shared" si="433"/>
        <v>#REF!</v>
      </c>
      <c r="G121" s="161" t="e">
        <f t="shared" si="433"/>
        <v>#REF!</v>
      </c>
      <c r="H121" s="161" t="e">
        <f t="shared" si="433"/>
        <v>#REF!</v>
      </c>
      <c r="I121" s="161" t="e">
        <f t="shared" si="433"/>
        <v>#REF!</v>
      </c>
      <c r="J121" s="161" t="e">
        <f t="shared" si="433"/>
        <v>#REF!</v>
      </c>
      <c r="K121" s="161" t="e">
        <f t="shared" si="433"/>
        <v>#REF!</v>
      </c>
      <c r="L121" s="161" t="e">
        <f t="shared" si="433"/>
        <v>#REF!</v>
      </c>
      <c r="M121" s="161" t="e">
        <f t="shared" si="433"/>
        <v>#REF!</v>
      </c>
      <c r="N121" s="161" t="e">
        <f t="shared" si="433"/>
        <v>#REF!</v>
      </c>
      <c r="O121" s="161" t="e">
        <f t="shared" si="433"/>
        <v>#REF!</v>
      </c>
      <c r="P121" s="161" t="e">
        <f t="shared" si="433"/>
        <v>#REF!</v>
      </c>
      <c r="Q121" s="161" t="e">
        <f t="shared" si="433"/>
        <v>#REF!</v>
      </c>
      <c r="R121" s="161" t="e">
        <f t="shared" si="433"/>
        <v>#REF!</v>
      </c>
      <c r="S121" s="161" t="e">
        <f t="shared" si="433"/>
        <v>#REF!</v>
      </c>
      <c r="T121" s="161" t="e">
        <f t="shared" si="433"/>
        <v>#REF!</v>
      </c>
      <c r="U121" s="161" t="e">
        <f t="shared" si="433"/>
        <v>#REF!</v>
      </c>
      <c r="V121" s="339"/>
      <c r="W121" s="161"/>
      <c r="X121" s="161"/>
      <c r="Y121" s="161"/>
      <c r="Z121" s="161"/>
      <c r="AA121" s="161"/>
      <c r="AB121" s="161" t="e">
        <f>(AB59+AB115*AB117*(1-AB56))/AB118</f>
        <v>#REF!</v>
      </c>
      <c r="AC121" s="339"/>
      <c r="AD121" s="161"/>
      <c r="AE121" s="161"/>
      <c r="AF121" s="161"/>
      <c r="AG121" s="161"/>
      <c r="AH121" s="161"/>
      <c r="AI121" s="161" t="e">
        <f>(AI59+AI115*AI117*(1-AI56))/AI118</f>
        <v>#REF!</v>
      </c>
      <c r="AJ121" s="339"/>
      <c r="AK121" s="161"/>
      <c r="AL121" s="161"/>
      <c r="AM121" s="161"/>
      <c r="AN121" s="161"/>
      <c r="AO121" s="161"/>
      <c r="AP121" s="161" t="e">
        <f>(AP59+AP115*AP117*(1-AP56))/AP118</f>
        <v>#REF!</v>
      </c>
      <c r="AQ121" s="339"/>
      <c r="AR121" s="161"/>
      <c r="AS121" s="161"/>
      <c r="AT121" s="161"/>
      <c r="AU121" s="161"/>
      <c r="AV121" s="161"/>
      <c r="AW121" s="161" t="e">
        <f>(AW59+AW115*AW117*(1-AW56))/AW118</f>
        <v>#REF!</v>
      </c>
      <c r="AX121" s="339"/>
      <c r="AY121" s="161"/>
      <c r="AZ121" s="161"/>
      <c r="BA121" s="161"/>
      <c r="BB121" s="161"/>
      <c r="BC121" s="161"/>
      <c r="BD121" s="382" t="e">
        <f>(BD59+BD115*BD117*(1-BD56))/BD118</f>
        <v>#REF!</v>
      </c>
      <c r="BE121" s="339"/>
      <c r="BF121" s="161"/>
      <c r="BG121" s="161"/>
      <c r="BH121" s="161"/>
      <c r="BI121" s="161"/>
      <c r="BJ121" s="161"/>
      <c r="BK121" s="382" t="e">
        <f>(BK59+BK115*BK117*(1-BK56))/BK118</f>
        <v>#REF!</v>
      </c>
      <c r="BL121" s="161" t="e">
        <f t="shared" ref="BL121:BR121" si="434">(BL59+BL115*BL117*(1-BL56))/BL118</f>
        <v>#REF!</v>
      </c>
      <c r="BM121" s="161" t="e">
        <f t="shared" si="434"/>
        <v>#REF!</v>
      </c>
      <c r="BN121" s="161" t="e">
        <f t="shared" si="434"/>
        <v>#REF!</v>
      </c>
      <c r="BO121" s="161" t="e">
        <f t="shared" si="434"/>
        <v>#REF!</v>
      </c>
      <c r="BP121" s="161" t="e">
        <f t="shared" si="434"/>
        <v>#REF!</v>
      </c>
      <c r="BQ121" s="161" t="e">
        <f t="shared" si="434"/>
        <v>#REF!</v>
      </c>
      <c r="BR121" s="161" t="e">
        <f t="shared" si="434"/>
        <v>#REF!</v>
      </c>
      <c r="BS121" s="123"/>
      <c r="BT121" s="127"/>
      <c r="BU121" s="123"/>
      <c r="BV121" s="123"/>
      <c r="BW121" s="123"/>
      <c r="BX121" s="123"/>
      <c r="BY121" s="123"/>
      <c r="BZ121" s="123"/>
      <c r="CA121" s="123"/>
      <c r="CB121" s="123"/>
      <c r="CC121" s="123"/>
      <c r="CD121" s="123"/>
      <c r="CE121" s="123"/>
      <c r="CF121" s="123"/>
      <c r="CG121" s="123"/>
      <c r="CH121" s="123"/>
      <c r="CI121" s="123"/>
      <c r="CJ121" s="123"/>
      <c r="CK121" s="123"/>
      <c r="CL121" s="123"/>
      <c r="CM121" s="123"/>
    </row>
    <row r="122" spans="1:91" s="88" customFormat="1">
      <c r="A122" s="182"/>
      <c r="B122" s="117" t="s">
        <v>69</v>
      </c>
      <c r="C122" s="117"/>
      <c r="D122" s="161" t="e">
        <f t="shared" ref="D122:U122" si="435">D124/D64</f>
        <v>#DIV/0!</v>
      </c>
      <c r="E122" s="161" t="e">
        <f t="shared" si="435"/>
        <v>#DIV/0!</v>
      </c>
      <c r="F122" s="161" t="e">
        <f t="shared" si="435"/>
        <v>#DIV/0!</v>
      </c>
      <c r="G122" s="161" t="e">
        <f t="shared" si="435"/>
        <v>#DIV/0!</v>
      </c>
      <c r="H122" s="161" t="e">
        <f t="shared" si="435"/>
        <v>#DIV/0!</v>
      </c>
      <c r="I122" s="161" t="e">
        <f t="shared" si="435"/>
        <v>#DIV/0!</v>
      </c>
      <c r="J122" s="161" t="e">
        <f t="shared" si="435"/>
        <v>#DIV/0!</v>
      </c>
      <c r="K122" s="161" t="e">
        <f t="shared" si="435"/>
        <v>#DIV/0!</v>
      </c>
      <c r="L122" s="161" t="e">
        <f t="shared" si="435"/>
        <v>#DIV/0!</v>
      </c>
      <c r="M122" s="161" t="e">
        <f t="shared" si="435"/>
        <v>#DIV/0!</v>
      </c>
      <c r="N122" s="161" t="e">
        <f t="shared" si="435"/>
        <v>#DIV/0!</v>
      </c>
      <c r="O122" s="161" t="e">
        <f t="shared" si="435"/>
        <v>#DIV/0!</v>
      </c>
      <c r="P122" s="161" t="e">
        <f t="shared" si="435"/>
        <v>#DIV/0!</v>
      </c>
      <c r="Q122" s="161" t="e">
        <f t="shared" si="435"/>
        <v>#DIV/0!</v>
      </c>
      <c r="R122" s="161" t="e">
        <f t="shared" si="435"/>
        <v>#DIV/0!</v>
      </c>
      <c r="S122" s="161" t="e">
        <f t="shared" si="435"/>
        <v>#DIV/0!</v>
      </c>
      <c r="T122" s="161" t="e">
        <f t="shared" si="435"/>
        <v>#DIV/0!</v>
      </c>
      <c r="U122" s="161" t="e">
        <f t="shared" si="435"/>
        <v>#DIV/0!</v>
      </c>
      <c r="V122" s="339"/>
      <c r="W122" s="161"/>
      <c r="X122" s="161"/>
      <c r="Y122" s="161"/>
      <c r="Z122" s="161"/>
      <c r="AA122" s="161"/>
      <c r="AB122" s="161" t="e">
        <f>AB124/AB64</f>
        <v>#DIV/0!</v>
      </c>
      <c r="AC122" s="339"/>
      <c r="AD122" s="161"/>
      <c r="AE122" s="161"/>
      <c r="AF122" s="161"/>
      <c r="AG122" s="161"/>
      <c r="AH122" s="161"/>
      <c r="AI122" s="161" t="e">
        <f>AI124/AI64</f>
        <v>#DIV/0!</v>
      </c>
      <c r="AJ122" s="339"/>
      <c r="AK122" s="161"/>
      <c r="AL122" s="161"/>
      <c r="AM122" s="161"/>
      <c r="AN122" s="161"/>
      <c r="AO122" s="161"/>
      <c r="AP122" s="161" t="e">
        <f>AP124/AP64</f>
        <v>#DIV/0!</v>
      </c>
      <c r="AQ122" s="339"/>
      <c r="AR122" s="161"/>
      <c r="AS122" s="161"/>
      <c r="AT122" s="161"/>
      <c r="AU122" s="161"/>
      <c r="AV122" s="161"/>
      <c r="AW122" s="161" t="e">
        <f>AW124/AW64</f>
        <v>#DIV/0!</v>
      </c>
      <c r="AX122" s="339"/>
      <c r="AY122" s="161"/>
      <c r="AZ122" s="161"/>
      <c r="BA122" s="161"/>
      <c r="BB122" s="161"/>
      <c r="BC122" s="161"/>
      <c r="BD122" s="382" t="e">
        <f>BD124/BD64</f>
        <v>#DIV/0!</v>
      </c>
      <c r="BE122" s="339"/>
      <c r="BF122" s="161"/>
      <c r="BG122" s="161"/>
      <c r="BH122" s="161"/>
      <c r="BI122" s="161"/>
      <c r="BJ122" s="161"/>
      <c r="BK122" s="382" t="e">
        <f>BK124/BK64</f>
        <v>#DIV/0!</v>
      </c>
      <c r="BL122" s="161" t="e">
        <f t="shared" ref="BL122:BR122" si="436">BL124/BL64</f>
        <v>#REF!</v>
      </c>
      <c r="BM122" s="161" t="e">
        <f t="shared" si="436"/>
        <v>#REF!</v>
      </c>
      <c r="BN122" s="161" t="e">
        <f t="shared" si="436"/>
        <v>#REF!</v>
      </c>
      <c r="BO122" s="161" t="e">
        <f t="shared" si="436"/>
        <v>#REF!</v>
      </c>
      <c r="BP122" s="161" t="e">
        <f t="shared" si="436"/>
        <v>#REF!</v>
      </c>
      <c r="BQ122" s="161" t="e">
        <f t="shared" si="436"/>
        <v>#REF!</v>
      </c>
      <c r="BR122" s="161" t="e">
        <f t="shared" si="436"/>
        <v>#REF!</v>
      </c>
      <c r="BS122" s="123"/>
      <c r="BT122" s="127"/>
      <c r="BU122" s="123"/>
      <c r="BV122" s="123"/>
      <c r="BW122" s="123"/>
      <c r="BX122" s="123"/>
      <c r="BY122" s="123"/>
      <c r="BZ122" s="123"/>
      <c r="CA122" s="123"/>
      <c r="CB122" s="123"/>
      <c r="CC122" s="123"/>
      <c r="CD122" s="123"/>
      <c r="CE122" s="123"/>
      <c r="CF122" s="123"/>
      <c r="CG122" s="123"/>
      <c r="CH122" s="123"/>
      <c r="CI122" s="123"/>
      <c r="CJ122" s="123"/>
      <c r="CK122" s="123"/>
      <c r="CL122" s="123"/>
      <c r="CM122" s="123"/>
    </row>
    <row r="123" spans="1:91">
      <c r="A123" s="177"/>
      <c r="B123" s="117" t="s">
        <v>120</v>
      </c>
      <c r="C123" s="117"/>
      <c r="D123" s="131" t="e">
        <f t="shared" ref="D123:P123" si="437">D122/D120</f>
        <v>#DIV/0!</v>
      </c>
      <c r="E123" s="131" t="e">
        <f t="shared" si="437"/>
        <v>#DIV/0!</v>
      </c>
      <c r="F123" s="131" t="e">
        <f t="shared" si="437"/>
        <v>#DIV/0!</v>
      </c>
      <c r="G123" s="131" t="e">
        <f t="shared" si="437"/>
        <v>#DIV/0!</v>
      </c>
      <c r="H123" s="131" t="e">
        <f t="shared" si="437"/>
        <v>#DIV/0!</v>
      </c>
      <c r="I123" s="131" t="e">
        <f t="shared" si="437"/>
        <v>#DIV/0!</v>
      </c>
      <c r="J123" s="131" t="e">
        <f t="shared" si="437"/>
        <v>#DIV/0!</v>
      </c>
      <c r="K123" s="131" t="e">
        <f t="shared" si="437"/>
        <v>#DIV/0!</v>
      </c>
      <c r="L123" s="131" t="e">
        <f t="shared" si="437"/>
        <v>#DIV/0!</v>
      </c>
      <c r="M123" s="131" t="e">
        <f t="shared" si="437"/>
        <v>#DIV/0!</v>
      </c>
      <c r="N123" s="131" t="e">
        <f t="shared" si="437"/>
        <v>#DIV/0!</v>
      </c>
      <c r="O123" s="131" t="e">
        <f t="shared" si="437"/>
        <v>#DIV/0!</v>
      </c>
      <c r="P123" s="131" t="e">
        <f t="shared" si="437"/>
        <v>#DIV/0!</v>
      </c>
      <c r="Q123" s="131" t="e">
        <f t="shared" ref="Q123:AW123" si="438">Q122/Q120</f>
        <v>#DIV/0!</v>
      </c>
      <c r="R123" s="131" t="e">
        <f t="shared" si="438"/>
        <v>#DIV/0!</v>
      </c>
      <c r="S123" s="131" t="e">
        <f t="shared" si="438"/>
        <v>#DIV/0!</v>
      </c>
      <c r="T123" s="131" t="e">
        <f t="shared" si="438"/>
        <v>#DIV/0!</v>
      </c>
      <c r="U123" s="131" t="e">
        <f t="shared" si="438"/>
        <v>#DIV/0!</v>
      </c>
      <c r="V123" s="324"/>
      <c r="W123" s="131"/>
      <c r="X123" s="131"/>
      <c r="Y123" s="131"/>
      <c r="Z123" s="131"/>
      <c r="AA123" s="131"/>
      <c r="AB123" s="131" t="e">
        <f t="shared" si="438"/>
        <v>#DIV/0!</v>
      </c>
      <c r="AC123" s="324"/>
      <c r="AD123" s="131"/>
      <c r="AE123" s="131"/>
      <c r="AF123" s="131"/>
      <c r="AG123" s="131"/>
      <c r="AH123" s="131"/>
      <c r="AI123" s="131" t="e">
        <f t="shared" si="438"/>
        <v>#DIV/0!</v>
      </c>
      <c r="AJ123" s="324"/>
      <c r="AK123" s="131"/>
      <c r="AL123" s="131"/>
      <c r="AM123" s="131"/>
      <c r="AN123" s="131"/>
      <c r="AO123" s="131"/>
      <c r="AP123" s="131" t="e">
        <f t="shared" si="438"/>
        <v>#DIV/0!</v>
      </c>
      <c r="AQ123" s="324"/>
      <c r="AR123" s="131"/>
      <c r="AS123" s="131"/>
      <c r="AT123" s="131"/>
      <c r="AU123" s="131"/>
      <c r="AV123" s="131"/>
      <c r="AW123" s="131" t="e">
        <f t="shared" si="438"/>
        <v>#DIV/0!</v>
      </c>
      <c r="AX123" s="324"/>
      <c r="AY123" s="131"/>
      <c r="AZ123" s="131"/>
      <c r="BA123" s="131"/>
      <c r="BB123" s="131"/>
      <c r="BC123" s="131"/>
      <c r="BD123" s="368" t="e">
        <f t="shared" ref="BD123" si="439">BD122/BD120</f>
        <v>#DIV/0!</v>
      </c>
      <c r="BE123" s="324"/>
      <c r="BF123" s="131"/>
      <c r="BG123" s="131"/>
      <c r="BH123" s="131"/>
      <c r="BI123" s="131"/>
      <c r="BJ123" s="131"/>
      <c r="BK123" s="368" t="e">
        <f t="shared" ref="BK123" si="440">BK122/BK120</f>
        <v>#DIV/0!</v>
      </c>
      <c r="BL123" s="108">
        <v>0.75</v>
      </c>
      <c r="BM123" s="108">
        <f t="shared" ref="BM123:BR123" si="441">BL123+1%</f>
        <v>0.76</v>
      </c>
      <c r="BN123" s="108">
        <f t="shared" si="441"/>
        <v>0.77</v>
      </c>
      <c r="BO123" s="108">
        <f t="shared" si="441"/>
        <v>0.78</v>
      </c>
      <c r="BP123" s="108">
        <f t="shared" si="441"/>
        <v>0.79</v>
      </c>
      <c r="BQ123" s="108">
        <f t="shared" si="441"/>
        <v>0.8</v>
      </c>
      <c r="BR123" s="108">
        <f t="shared" si="441"/>
        <v>0.81</v>
      </c>
      <c r="BT123" s="121"/>
    </row>
    <row r="124" spans="1:91" ht="13.8">
      <c r="A124" s="177"/>
      <c r="B124" s="188" t="s">
        <v>253</v>
      </c>
      <c r="C124" s="117"/>
      <c r="D124" s="162">
        <f>[69]!s_stmnote_profitapr(#REF!,"4",D3,1000000)</f>
        <v>0</v>
      </c>
      <c r="E124" s="162">
        <f>[69]!s_stmnote_profitapr(#REF!,"4",E3,1000000)</f>
        <v>0</v>
      </c>
      <c r="F124" s="162">
        <f>[69]!s_stmnote_profitapr(#REF!,"4",F3,1000000)</f>
        <v>0</v>
      </c>
      <c r="G124" s="162">
        <f>[69]!s_stmnote_profitapr(#REF!,"4",G3,1000000)</f>
        <v>0</v>
      </c>
      <c r="H124" s="162">
        <f>[69]!s_stmnote_profitapr(#REF!,"4",H3,1000000)</f>
        <v>0</v>
      </c>
      <c r="I124" s="162">
        <f>[69]!s_stmnote_profitapr(#REF!,"4",I3,1000000)</f>
        <v>0</v>
      </c>
      <c r="J124" s="162">
        <f>[69]!s_stmnote_profitapr(#REF!,"4",J3,1000000)</f>
        <v>0</v>
      </c>
      <c r="K124" s="162">
        <f>[69]!s_stmnote_profitapr(#REF!,"4",K3,1000000)</f>
        <v>0</v>
      </c>
      <c r="L124" s="162">
        <f>[69]!s_stmnote_profitapr(#REF!,"4",L3,1000000)</f>
        <v>0</v>
      </c>
      <c r="M124" s="162">
        <f>[69]!s_stmnote_profitapr(#REF!,"4",M3,1000000)</f>
        <v>0</v>
      </c>
      <c r="N124" s="162">
        <f>[69]!s_stmnote_profitapr(#REF!,"4",N3,1000000)</f>
        <v>0</v>
      </c>
      <c r="O124" s="162">
        <f>[69]!s_stmnote_profitapr(#REF!,"4",O3,1000000)</f>
        <v>0</v>
      </c>
      <c r="P124" s="162">
        <f>[69]!s_stmnote_profitapr(#REF!,"4",P3,1000000)</f>
        <v>0</v>
      </c>
      <c r="Q124" s="162">
        <f>[69]!s_stmnote_profitapr(#REF!,"4",Q3,1000000)</f>
        <v>0</v>
      </c>
      <c r="R124" s="162">
        <f>[69]!s_stmnote_profitapr(#REF!,"4",R3,1000000)</f>
        <v>0</v>
      </c>
      <c r="S124" s="162">
        <f>[69]!s_stmnote_profitapr(#REF!,"4",S3,1000000)</f>
        <v>0</v>
      </c>
      <c r="T124" s="162">
        <f>[69]!s_stmnote_profitapr(#REF!,"4",T3,1000000)</f>
        <v>0</v>
      </c>
      <c r="U124" s="162">
        <f>[69]!s_stmnote_profitapr(#REF!,"4",U3,1000000)</f>
        <v>0</v>
      </c>
      <c r="V124" s="333"/>
      <c r="W124" s="162"/>
      <c r="X124" s="162"/>
      <c r="Y124" s="162"/>
      <c r="Z124" s="162"/>
      <c r="AA124" s="162"/>
      <c r="AB124" s="162">
        <f>[69]!s_stmnote_profitapr(#REF!,"4",AB3,1000000)</f>
        <v>0</v>
      </c>
      <c r="AC124" s="333"/>
      <c r="AD124" s="162"/>
      <c r="AE124" s="162"/>
      <c r="AF124" s="162"/>
      <c r="AG124" s="162"/>
      <c r="AH124" s="162"/>
      <c r="AI124" s="162">
        <f>[69]!s_stmnote_profitapr(#REF!,"4",AI3,1000000)</f>
        <v>0</v>
      </c>
      <c r="AJ124" s="333"/>
      <c r="AK124" s="162"/>
      <c r="AL124" s="162"/>
      <c r="AM124" s="162"/>
      <c r="AN124" s="162"/>
      <c r="AO124" s="162"/>
      <c r="AP124" s="162">
        <f>[69]!s_stmnote_profitapr(#REF!,"4",AP3,1000000)</f>
        <v>0</v>
      </c>
      <c r="AQ124" s="333"/>
      <c r="AR124" s="162"/>
      <c r="AS124" s="162"/>
      <c r="AT124" s="162"/>
      <c r="AU124" s="162"/>
      <c r="AV124" s="162"/>
      <c r="AW124" s="162">
        <f>[69]!s_stmnote_profitapr(#REF!,"4",AW3,1000000)</f>
        <v>0</v>
      </c>
      <c r="AX124" s="333"/>
      <c r="AY124" s="162"/>
      <c r="AZ124" s="162"/>
      <c r="BA124" s="162"/>
      <c r="BB124" s="162"/>
      <c r="BC124" s="162"/>
      <c r="BD124" s="376">
        <f>[69]!s_stmnote_profitapr(#REF!,"4",BD3,1000000)</f>
        <v>0</v>
      </c>
      <c r="BE124" s="333"/>
      <c r="BF124" s="162"/>
      <c r="BG124" s="162"/>
      <c r="BH124" s="162"/>
      <c r="BI124" s="162"/>
      <c r="BJ124" s="162"/>
      <c r="BK124" s="376">
        <f>[69]!s_stmnote_profitapr(#REF!,"4",BK3,1000000)</f>
        <v>0</v>
      </c>
      <c r="BL124" s="162" t="e">
        <f t="shared" ref="BL124:BR124" si="442">BL59*BL123</f>
        <v>#REF!</v>
      </c>
      <c r="BM124" s="162" t="e">
        <f t="shared" si="442"/>
        <v>#REF!</v>
      </c>
      <c r="BN124" s="162" t="e">
        <f t="shared" si="442"/>
        <v>#REF!</v>
      </c>
      <c r="BO124" s="162" t="e">
        <f t="shared" si="442"/>
        <v>#REF!</v>
      </c>
      <c r="BP124" s="162" t="e">
        <f t="shared" si="442"/>
        <v>#REF!</v>
      </c>
      <c r="BQ124" s="162" t="e">
        <f t="shared" si="442"/>
        <v>#REF!</v>
      </c>
      <c r="BR124" s="162" t="e">
        <f t="shared" si="442"/>
        <v>#REF!</v>
      </c>
      <c r="BT124" s="121"/>
    </row>
    <row r="125" spans="1:91" ht="13.8">
      <c r="A125" s="177"/>
      <c r="B125" s="302"/>
      <c r="C125" s="117"/>
      <c r="D125" s="162"/>
      <c r="E125" s="162"/>
      <c r="F125" s="162"/>
      <c r="G125" s="162"/>
      <c r="H125" s="162"/>
      <c r="I125" s="162"/>
      <c r="J125" s="162"/>
      <c r="K125" s="162"/>
      <c r="L125" s="162"/>
      <c r="M125" s="162"/>
      <c r="N125" s="162"/>
      <c r="O125" s="162"/>
      <c r="P125" s="162"/>
      <c r="Q125" s="162"/>
      <c r="R125" s="162"/>
      <c r="S125" s="162"/>
      <c r="T125" s="162"/>
      <c r="U125" s="162"/>
      <c r="V125" s="333"/>
      <c r="W125" s="162"/>
      <c r="X125" s="162"/>
      <c r="Y125" s="162"/>
      <c r="Z125" s="162"/>
      <c r="AA125" s="162"/>
      <c r="AB125" s="162"/>
      <c r="AC125" s="333"/>
      <c r="AD125" s="162"/>
      <c r="AE125" s="162"/>
      <c r="AF125" s="162"/>
      <c r="AG125" s="162"/>
      <c r="AH125" s="162"/>
      <c r="AI125" s="162"/>
      <c r="AJ125" s="333"/>
      <c r="AK125" s="162"/>
      <c r="AL125" s="162"/>
      <c r="AM125" s="162"/>
      <c r="AN125" s="162"/>
      <c r="AO125" s="162"/>
      <c r="AP125" s="162"/>
      <c r="AQ125" s="333"/>
      <c r="AR125" s="162"/>
      <c r="AS125" s="162"/>
      <c r="AT125" s="162"/>
      <c r="AU125" s="162"/>
      <c r="AV125" s="162"/>
      <c r="AW125" s="162"/>
      <c r="AX125" s="333"/>
      <c r="AY125" s="162"/>
      <c r="AZ125" s="162"/>
      <c r="BA125" s="162"/>
      <c r="BB125" s="162"/>
      <c r="BC125" s="162"/>
      <c r="BD125" s="376"/>
      <c r="BE125" s="333"/>
      <c r="BF125" s="162"/>
      <c r="BG125" s="162"/>
      <c r="BH125" s="162"/>
      <c r="BI125" s="162"/>
      <c r="BJ125" s="162"/>
      <c r="BK125" s="376"/>
      <c r="BL125" s="162"/>
      <c r="BM125" s="162"/>
      <c r="BN125" s="162"/>
      <c r="BO125" s="162"/>
      <c r="BP125" s="162"/>
      <c r="BQ125" s="162"/>
      <c r="BR125" s="162"/>
      <c r="BT125" s="121"/>
    </row>
    <row r="126" spans="1:91" ht="13.8">
      <c r="A126" s="177"/>
      <c r="B126" s="302"/>
      <c r="C126" s="117"/>
      <c r="D126" s="162"/>
      <c r="E126" s="162"/>
      <c r="F126" s="162"/>
      <c r="G126" s="162"/>
      <c r="H126" s="162"/>
      <c r="I126" s="162"/>
      <c r="J126" s="162"/>
      <c r="K126" s="162"/>
      <c r="L126" s="162"/>
      <c r="M126" s="162"/>
      <c r="N126" s="162"/>
      <c r="O126" s="162"/>
      <c r="P126" s="162"/>
      <c r="Q126" s="162"/>
      <c r="R126" s="162"/>
      <c r="S126" s="162"/>
      <c r="T126" s="162"/>
      <c r="U126" s="162"/>
      <c r="V126" s="333"/>
      <c r="W126" s="162"/>
      <c r="X126" s="162"/>
      <c r="Y126" s="162"/>
      <c r="Z126" s="162"/>
      <c r="AA126" s="162"/>
      <c r="AB126" s="162"/>
      <c r="AC126" s="333"/>
      <c r="AD126" s="162"/>
      <c r="AE126" s="162"/>
      <c r="AF126" s="162"/>
      <c r="AG126" s="162"/>
      <c r="AH126" s="162"/>
      <c r="AI126" s="162"/>
      <c r="AJ126" s="333"/>
      <c r="AK126" s="162"/>
      <c r="AL126" s="162"/>
      <c r="AM126" s="162"/>
      <c r="AN126" s="162"/>
      <c r="AO126" s="162"/>
      <c r="AP126" s="162"/>
      <c r="AQ126" s="333"/>
      <c r="AR126" s="162"/>
      <c r="AS126" s="162"/>
      <c r="AT126" s="162"/>
      <c r="AU126" s="162"/>
      <c r="AV126" s="162"/>
      <c r="AW126" s="162"/>
      <c r="AX126" s="333"/>
      <c r="AY126" s="162"/>
      <c r="AZ126" s="162"/>
      <c r="BA126" s="162"/>
      <c r="BB126" s="162"/>
      <c r="BC126" s="162"/>
      <c r="BD126" s="376"/>
      <c r="BE126" s="333"/>
      <c r="BF126" s="162"/>
      <c r="BG126" s="162"/>
      <c r="BH126" s="162"/>
      <c r="BI126" s="162"/>
      <c r="BJ126" s="162"/>
      <c r="BK126" s="376"/>
      <c r="BL126" s="162"/>
      <c r="BM126" s="162"/>
      <c r="BN126" s="162"/>
      <c r="BO126" s="162"/>
      <c r="BP126" s="162"/>
      <c r="BQ126" s="162"/>
      <c r="BR126" s="162"/>
      <c r="BT126" s="121"/>
    </row>
    <row r="127" spans="1:91" s="250" customFormat="1" ht="12.6" thickBot="1">
      <c r="A127" s="245"/>
      <c r="B127" s="246"/>
      <c r="C127" s="246"/>
      <c r="D127" s="247"/>
      <c r="E127" s="247"/>
      <c r="F127" s="247"/>
      <c r="G127" s="247"/>
      <c r="H127" s="247"/>
      <c r="I127" s="247"/>
      <c r="J127" s="247"/>
      <c r="K127" s="247"/>
      <c r="L127" s="247"/>
      <c r="M127" s="247"/>
      <c r="N127" s="247"/>
      <c r="O127" s="247"/>
      <c r="P127" s="247"/>
      <c r="Q127" s="247"/>
      <c r="R127" s="247"/>
      <c r="S127" s="247"/>
      <c r="T127" s="247"/>
      <c r="U127" s="247"/>
      <c r="V127" s="340"/>
      <c r="W127" s="247"/>
      <c r="X127" s="247"/>
      <c r="Y127" s="247"/>
      <c r="Z127" s="247"/>
      <c r="AA127" s="247"/>
      <c r="AB127" s="247"/>
      <c r="AC127" s="340"/>
      <c r="AD127" s="247"/>
      <c r="AE127" s="247"/>
      <c r="AF127" s="247"/>
      <c r="AG127" s="247"/>
      <c r="AH127" s="247"/>
      <c r="AI127" s="247"/>
      <c r="AJ127" s="340"/>
      <c r="AK127" s="247"/>
      <c r="AL127" s="247"/>
      <c r="AM127" s="247"/>
      <c r="AN127" s="247"/>
      <c r="AO127" s="247"/>
      <c r="AP127" s="247"/>
      <c r="AQ127" s="340"/>
      <c r="AR127" s="247"/>
      <c r="AS127" s="247"/>
      <c r="AT127" s="247"/>
      <c r="AU127" s="247"/>
      <c r="AV127" s="247"/>
      <c r="AW127" s="247"/>
      <c r="AX127" s="340"/>
      <c r="AY127" s="247"/>
      <c r="AZ127" s="247"/>
      <c r="BA127" s="247"/>
      <c r="BB127" s="247"/>
      <c r="BC127" s="247"/>
      <c r="BD127" s="383"/>
      <c r="BE127" s="340"/>
      <c r="BF127" s="247"/>
      <c r="BG127" s="247"/>
      <c r="BH127" s="247"/>
      <c r="BI127" s="247"/>
      <c r="BJ127" s="247"/>
      <c r="BK127" s="383"/>
      <c r="BL127" s="247"/>
      <c r="BM127" s="247"/>
      <c r="BN127" s="248"/>
      <c r="BO127" s="248"/>
      <c r="BP127" s="247"/>
      <c r="BQ127" s="248"/>
      <c r="BR127" s="247"/>
      <c r="BS127" s="248"/>
      <c r="BT127" s="249"/>
      <c r="BU127" s="248"/>
      <c r="BV127" s="248"/>
      <c r="BW127" s="248"/>
      <c r="BX127" s="248"/>
      <c r="BY127" s="248"/>
      <c r="BZ127" s="248"/>
      <c r="CA127" s="248"/>
      <c r="CB127" s="248"/>
      <c r="CC127" s="248"/>
      <c r="CD127" s="248"/>
      <c r="CE127" s="248"/>
      <c r="CF127" s="248"/>
      <c r="CG127" s="248"/>
      <c r="CH127" s="248"/>
      <c r="CI127" s="248"/>
      <c r="CJ127" s="248"/>
      <c r="CK127" s="248"/>
      <c r="CL127" s="248"/>
      <c r="CM127" s="248"/>
    </row>
    <row r="128" spans="1:91">
      <c r="A128" s="130"/>
      <c r="B128" s="148" t="s">
        <v>39</v>
      </c>
      <c r="C128" s="149"/>
      <c r="D128" s="87">
        <f t="shared" ref="D128:T128" si="443">D112</f>
        <v>2001</v>
      </c>
      <c r="E128" s="87">
        <f t="shared" si="443"/>
        <v>2002</v>
      </c>
      <c r="F128" s="87">
        <f t="shared" si="443"/>
        <v>2003</v>
      </c>
      <c r="G128" s="87">
        <f t="shared" si="443"/>
        <v>2004</v>
      </c>
      <c r="H128" s="87">
        <f t="shared" si="443"/>
        <v>2005</v>
      </c>
      <c r="I128" s="87">
        <f t="shared" si="443"/>
        <v>2006</v>
      </c>
      <c r="J128" s="87">
        <f t="shared" si="443"/>
        <v>2007</v>
      </c>
      <c r="K128" s="87">
        <f t="shared" si="443"/>
        <v>2008</v>
      </c>
      <c r="L128" s="87">
        <f t="shared" si="443"/>
        <v>2009</v>
      </c>
      <c r="M128" s="87">
        <f t="shared" si="443"/>
        <v>2010</v>
      </c>
      <c r="N128" s="87">
        <f t="shared" si="443"/>
        <v>2011</v>
      </c>
      <c r="O128" s="87">
        <f t="shared" si="443"/>
        <v>2012</v>
      </c>
      <c r="P128" s="87">
        <f t="shared" si="443"/>
        <v>2013</v>
      </c>
      <c r="Q128" s="87">
        <f t="shared" si="443"/>
        <v>2014</v>
      </c>
      <c r="R128" s="87">
        <f t="shared" si="443"/>
        <v>2015</v>
      </c>
      <c r="S128" s="87">
        <f t="shared" si="443"/>
        <v>2016</v>
      </c>
      <c r="T128" s="87">
        <f t="shared" si="443"/>
        <v>2017</v>
      </c>
      <c r="U128" s="87">
        <f>U2</f>
        <v>2018</v>
      </c>
      <c r="V128" s="142"/>
      <c r="W128" s="87"/>
      <c r="X128" s="87"/>
      <c r="Y128" s="87"/>
      <c r="Z128" s="87"/>
      <c r="AA128" s="87"/>
      <c r="AB128" s="87">
        <f>AB2</f>
        <v>2019</v>
      </c>
      <c r="AC128" s="142"/>
      <c r="AD128" s="87"/>
      <c r="AE128" s="87"/>
      <c r="AF128" s="87"/>
      <c r="AG128" s="87"/>
      <c r="AH128" s="87"/>
      <c r="AI128" s="87">
        <f>AI2</f>
        <v>2020</v>
      </c>
      <c r="AJ128" s="142"/>
      <c r="AK128" s="87"/>
      <c r="AL128" s="87"/>
      <c r="AM128" s="87"/>
      <c r="AN128" s="87"/>
      <c r="AO128" s="87"/>
      <c r="AP128" s="87">
        <f>AP2</f>
        <v>2021</v>
      </c>
      <c r="AQ128" s="142"/>
      <c r="AR128" s="87"/>
      <c r="AS128" s="87"/>
      <c r="AT128" s="87"/>
      <c r="AU128" s="87"/>
      <c r="AV128" s="87"/>
      <c r="AW128" s="87">
        <f>AW2</f>
        <v>2022</v>
      </c>
      <c r="AX128" s="142"/>
      <c r="AY128" s="87"/>
      <c r="AZ128" s="87"/>
      <c r="BA128" s="87"/>
      <c r="BB128" s="87"/>
      <c r="BC128" s="87"/>
      <c r="BD128" s="143">
        <f>BD2</f>
        <v>2023</v>
      </c>
      <c r="BE128" s="142"/>
      <c r="BF128" s="87"/>
      <c r="BG128" s="87"/>
      <c r="BH128" s="87"/>
      <c r="BI128" s="87"/>
      <c r="BJ128" s="87"/>
      <c r="BK128" s="143">
        <f>BK2</f>
        <v>2024</v>
      </c>
      <c r="BL128" s="87">
        <f t="shared" ref="BL128:BR128" si="444">BL2</f>
        <v>2025</v>
      </c>
      <c r="BM128" s="87">
        <f t="shared" si="444"/>
        <v>2026</v>
      </c>
      <c r="BN128" s="87">
        <f t="shared" si="444"/>
        <v>2027</v>
      </c>
      <c r="BO128" s="87">
        <f t="shared" si="444"/>
        <v>2028</v>
      </c>
      <c r="BP128" s="87">
        <f t="shared" si="444"/>
        <v>2029</v>
      </c>
      <c r="BQ128" s="87">
        <f t="shared" si="444"/>
        <v>2030</v>
      </c>
      <c r="BR128" s="87">
        <f t="shared" si="444"/>
        <v>2031</v>
      </c>
      <c r="BT128" s="121"/>
    </row>
    <row r="130" spans="1:91">
      <c r="B130" s="93" t="s">
        <v>298</v>
      </c>
      <c r="D130" s="189" t="e">
        <f t="shared" ref="D130:BR130" si="445">D138+D159</f>
        <v>#REF!</v>
      </c>
      <c r="E130" s="189" t="e">
        <f t="shared" si="445"/>
        <v>#REF!</v>
      </c>
      <c r="F130" s="189" t="e">
        <f t="shared" si="445"/>
        <v>#REF!</v>
      </c>
      <c r="G130" s="189" t="e">
        <f t="shared" si="445"/>
        <v>#REF!</v>
      </c>
      <c r="H130" s="189" t="e">
        <f t="shared" si="445"/>
        <v>#REF!</v>
      </c>
      <c r="I130" s="189" t="e">
        <f t="shared" si="445"/>
        <v>#REF!</v>
      </c>
      <c r="J130" s="189" t="e">
        <f t="shared" si="445"/>
        <v>#REF!</v>
      </c>
      <c r="K130" s="189" t="e">
        <f t="shared" si="445"/>
        <v>#REF!</v>
      </c>
      <c r="L130" s="189" t="e">
        <f t="shared" si="445"/>
        <v>#REF!</v>
      </c>
      <c r="M130" s="189" t="e">
        <f t="shared" si="445"/>
        <v>#REF!</v>
      </c>
      <c r="N130" s="189" t="e">
        <f t="shared" si="445"/>
        <v>#REF!</v>
      </c>
      <c r="O130" s="189" t="e">
        <f t="shared" si="445"/>
        <v>#REF!</v>
      </c>
      <c r="P130" s="189" t="e">
        <f t="shared" si="445"/>
        <v>#REF!</v>
      </c>
      <c r="Q130" s="189" t="e">
        <f t="shared" si="445"/>
        <v>#REF!</v>
      </c>
      <c r="R130" s="189" t="e">
        <f t="shared" si="445"/>
        <v>#REF!</v>
      </c>
      <c r="S130" s="189" t="e">
        <f t="shared" si="445"/>
        <v>#REF!</v>
      </c>
      <c r="T130" s="189" t="e">
        <f>T138+T159</f>
        <v>#REF!</v>
      </c>
      <c r="U130" s="189" t="e">
        <f t="shared" si="445"/>
        <v>#REF!</v>
      </c>
      <c r="V130" s="341" t="e">
        <f t="shared" ref="V130:AA130" si="446">V138+V159</f>
        <v>#REF!</v>
      </c>
      <c r="W130" s="189" t="e">
        <f t="shared" si="446"/>
        <v>#REF!</v>
      </c>
      <c r="X130" s="189" t="e">
        <f t="shared" si="446"/>
        <v>#REF!</v>
      </c>
      <c r="Y130" s="189" t="e">
        <f t="shared" si="446"/>
        <v>#REF!</v>
      </c>
      <c r="Z130" s="189" t="e">
        <f t="shared" si="446"/>
        <v>#REF!</v>
      </c>
      <c r="AA130" s="189" t="e">
        <f t="shared" si="446"/>
        <v>#REF!</v>
      </c>
      <c r="AB130" s="189" t="e">
        <f t="shared" si="445"/>
        <v>#REF!</v>
      </c>
      <c r="AC130" s="341" t="e">
        <f t="shared" ref="AC130:AH130" si="447">AC138+AC159</f>
        <v>#REF!</v>
      </c>
      <c r="AD130" s="189" t="e">
        <f t="shared" si="447"/>
        <v>#REF!</v>
      </c>
      <c r="AE130" s="189" t="e">
        <f t="shared" si="447"/>
        <v>#REF!</v>
      </c>
      <c r="AF130" s="189" t="e">
        <f t="shared" si="447"/>
        <v>#REF!</v>
      </c>
      <c r="AG130" s="189" t="e">
        <f t="shared" si="447"/>
        <v>#REF!</v>
      </c>
      <c r="AH130" s="189" t="e">
        <f t="shared" si="447"/>
        <v>#REF!</v>
      </c>
      <c r="AI130" s="189" t="e">
        <f t="shared" si="445"/>
        <v>#REF!</v>
      </c>
      <c r="AJ130" s="341" t="e">
        <f t="shared" ref="AJ130:AO130" si="448">AJ138+AJ159</f>
        <v>#REF!</v>
      </c>
      <c r="AK130" s="189" t="e">
        <f t="shared" si="448"/>
        <v>#REF!</v>
      </c>
      <c r="AL130" s="189" t="e">
        <f t="shared" si="448"/>
        <v>#REF!</v>
      </c>
      <c r="AM130" s="189" t="e">
        <f t="shared" si="448"/>
        <v>#REF!</v>
      </c>
      <c r="AN130" s="189" t="e">
        <f t="shared" si="448"/>
        <v>#REF!</v>
      </c>
      <c r="AO130" s="189" t="e">
        <f t="shared" si="448"/>
        <v>#REF!</v>
      </c>
      <c r="AP130" s="189" t="e">
        <f t="shared" si="445"/>
        <v>#REF!</v>
      </c>
      <c r="AQ130" s="341" t="e">
        <f t="shared" ref="AQ130:AV130" si="449">AQ138+AQ159</f>
        <v>#REF!</v>
      </c>
      <c r="AR130" s="189" t="e">
        <f t="shared" si="449"/>
        <v>#REF!</v>
      </c>
      <c r="AS130" s="189" t="e">
        <f t="shared" si="449"/>
        <v>#REF!</v>
      </c>
      <c r="AT130" s="189" t="e">
        <f t="shared" si="449"/>
        <v>#REF!</v>
      </c>
      <c r="AU130" s="189" t="e">
        <f t="shared" si="449"/>
        <v>#REF!</v>
      </c>
      <c r="AV130" s="189" t="e">
        <f t="shared" si="449"/>
        <v>#REF!</v>
      </c>
      <c r="AW130" s="189" t="e">
        <f t="shared" si="445"/>
        <v>#REF!</v>
      </c>
      <c r="AX130" s="341" t="e">
        <f t="shared" si="445"/>
        <v>#REF!</v>
      </c>
      <c r="AY130" s="189" t="e">
        <f t="shared" ref="AY130:AZ130" si="450">AY138+AY159</f>
        <v>#REF!</v>
      </c>
      <c r="AZ130" s="189" t="e">
        <f t="shared" si="450"/>
        <v>#REF!</v>
      </c>
      <c r="BA130" s="189" t="e">
        <f t="shared" ref="BA130:BC130" si="451">BA138+BA159</f>
        <v>#REF!</v>
      </c>
      <c r="BB130" s="189" t="e">
        <f t="shared" si="451"/>
        <v>#REF!</v>
      </c>
      <c r="BC130" s="189" t="e">
        <f t="shared" si="451"/>
        <v>#REF!</v>
      </c>
      <c r="BD130" s="384" t="e">
        <f t="shared" ref="BD130:BJ130" si="452">BD138+BD159</f>
        <v>#REF!</v>
      </c>
      <c r="BE130" s="341" t="e">
        <f t="shared" si="452"/>
        <v>#REF!</v>
      </c>
      <c r="BF130" s="189" t="e">
        <f t="shared" si="452"/>
        <v>#REF!</v>
      </c>
      <c r="BG130" s="189" t="e">
        <f t="shared" si="452"/>
        <v>#REF!</v>
      </c>
      <c r="BH130" s="189" t="e">
        <f t="shared" si="452"/>
        <v>#REF!</v>
      </c>
      <c r="BI130" s="189" t="e">
        <f t="shared" si="452"/>
        <v>#REF!</v>
      </c>
      <c r="BJ130" s="189" t="e">
        <f t="shared" si="452"/>
        <v>#REF!</v>
      </c>
      <c r="BK130" s="384" t="e">
        <f t="shared" ref="BK130" si="453">BK138+BK159</f>
        <v>#REF!</v>
      </c>
      <c r="BL130" s="189" t="e">
        <f t="shared" si="445"/>
        <v>#REF!</v>
      </c>
      <c r="BM130" s="189" t="e">
        <f t="shared" si="445"/>
        <v>#REF!</v>
      </c>
      <c r="BN130" s="189" t="e">
        <f t="shared" si="445"/>
        <v>#REF!</v>
      </c>
      <c r="BO130" s="189" t="e">
        <f t="shared" si="445"/>
        <v>#REF!</v>
      </c>
      <c r="BP130" s="189" t="e">
        <f t="shared" si="445"/>
        <v>#REF!</v>
      </c>
      <c r="BQ130" s="189" t="e">
        <f t="shared" si="445"/>
        <v>#REF!</v>
      </c>
      <c r="BR130" s="189" t="e">
        <f t="shared" si="445"/>
        <v>#REF!</v>
      </c>
    </row>
    <row r="131" spans="1:91">
      <c r="B131" s="93" t="s">
        <v>299</v>
      </c>
      <c r="D131" s="189" t="e">
        <f t="shared" ref="D131:P131" si="454">D193+D213</f>
        <v>#REF!</v>
      </c>
      <c r="E131" s="189" t="e">
        <f t="shared" si="454"/>
        <v>#REF!</v>
      </c>
      <c r="F131" s="189" t="e">
        <f t="shared" si="454"/>
        <v>#REF!</v>
      </c>
      <c r="G131" s="189" t="e">
        <f t="shared" si="454"/>
        <v>#REF!</v>
      </c>
      <c r="H131" s="189" t="e">
        <f t="shared" si="454"/>
        <v>#REF!</v>
      </c>
      <c r="I131" s="189" t="e">
        <f t="shared" si="454"/>
        <v>#REF!</v>
      </c>
      <c r="J131" s="189" t="e">
        <f t="shared" si="454"/>
        <v>#REF!</v>
      </c>
      <c r="K131" s="189" t="e">
        <f t="shared" si="454"/>
        <v>#REF!</v>
      </c>
      <c r="L131" s="189" t="e">
        <f t="shared" si="454"/>
        <v>#REF!</v>
      </c>
      <c r="M131" s="189" t="e">
        <f t="shared" si="454"/>
        <v>#REF!</v>
      </c>
      <c r="N131" s="189" t="e">
        <f t="shared" si="454"/>
        <v>#REF!</v>
      </c>
      <c r="O131" s="189" t="e">
        <f t="shared" si="454"/>
        <v>#REF!</v>
      </c>
      <c r="P131" s="189" t="e">
        <f t="shared" si="454"/>
        <v>#REF!</v>
      </c>
      <c r="Q131" s="189" t="e">
        <f t="shared" ref="Q131:BR131" si="455">Q193+Q213</f>
        <v>#REF!</v>
      </c>
      <c r="R131" s="189" t="e">
        <f t="shared" si="455"/>
        <v>#REF!</v>
      </c>
      <c r="S131" s="189" t="e">
        <f t="shared" si="455"/>
        <v>#REF!</v>
      </c>
      <c r="T131" s="189" t="e">
        <f t="shared" si="455"/>
        <v>#REF!</v>
      </c>
      <c r="U131" s="189" t="e">
        <f t="shared" si="455"/>
        <v>#REF!</v>
      </c>
      <c r="V131" s="341" t="e">
        <f t="shared" ref="V131:AA131" si="456">V193+V213</f>
        <v>#REF!</v>
      </c>
      <c r="W131" s="189" t="e">
        <f t="shared" si="456"/>
        <v>#REF!</v>
      </c>
      <c r="X131" s="189" t="e">
        <f t="shared" si="456"/>
        <v>#REF!</v>
      </c>
      <c r="Y131" s="189" t="e">
        <f t="shared" si="456"/>
        <v>#REF!</v>
      </c>
      <c r="Z131" s="189" t="e">
        <f t="shared" si="456"/>
        <v>#REF!</v>
      </c>
      <c r="AA131" s="189" t="e">
        <f t="shared" si="456"/>
        <v>#REF!</v>
      </c>
      <c r="AB131" s="189" t="e">
        <f t="shared" si="455"/>
        <v>#REF!</v>
      </c>
      <c r="AC131" s="341" t="e">
        <f t="shared" ref="AC131:AH131" si="457">AC193+AC213</f>
        <v>#REF!</v>
      </c>
      <c r="AD131" s="189" t="e">
        <f t="shared" si="457"/>
        <v>#REF!</v>
      </c>
      <c r="AE131" s="189" t="e">
        <f t="shared" si="457"/>
        <v>#REF!</v>
      </c>
      <c r="AF131" s="189" t="e">
        <f t="shared" si="457"/>
        <v>#REF!</v>
      </c>
      <c r="AG131" s="189" t="e">
        <f t="shared" si="457"/>
        <v>#REF!</v>
      </c>
      <c r="AH131" s="189" t="e">
        <f t="shared" si="457"/>
        <v>#REF!</v>
      </c>
      <c r="AI131" s="189" t="e">
        <f t="shared" si="455"/>
        <v>#REF!</v>
      </c>
      <c r="AJ131" s="341" t="e">
        <f t="shared" ref="AJ131:AO131" si="458">AJ193+AJ213</f>
        <v>#REF!</v>
      </c>
      <c r="AK131" s="189" t="e">
        <f t="shared" si="458"/>
        <v>#REF!</v>
      </c>
      <c r="AL131" s="189" t="e">
        <f t="shared" si="458"/>
        <v>#REF!</v>
      </c>
      <c r="AM131" s="189" t="e">
        <f t="shared" si="458"/>
        <v>#REF!</v>
      </c>
      <c r="AN131" s="189" t="e">
        <f t="shared" si="458"/>
        <v>#REF!</v>
      </c>
      <c r="AO131" s="189" t="e">
        <f t="shared" si="458"/>
        <v>#REF!</v>
      </c>
      <c r="AP131" s="189" t="e">
        <f t="shared" si="455"/>
        <v>#REF!</v>
      </c>
      <c r="AQ131" s="341" t="e">
        <f t="shared" ref="AQ131:AV131" si="459">AQ193+AQ213</f>
        <v>#REF!</v>
      </c>
      <c r="AR131" s="189" t="e">
        <f t="shared" si="459"/>
        <v>#REF!</v>
      </c>
      <c r="AS131" s="189" t="e">
        <f t="shared" si="459"/>
        <v>#REF!</v>
      </c>
      <c r="AT131" s="189" t="e">
        <f t="shared" si="459"/>
        <v>#REF!</v>
      </c>
      <c r="AU131" s="189" t="e">
        <f t="shared" si="459"/>
        <v>#REF!</v>
      </c>
      <c r="AV131" s="189" t="e">
        <f t="shared" si="459"/>
        <v>#REF!</v>
      </c>
      <c r="AW131" s="189" t="e">
        <f t="shared" si="455"/>
        <v>#REF!</v>
      </c>
      <c r="AX131" s="341" t="e">
        <f t="shared" si="455"/>
        <v>#REF!</v>
      </c>
      <c r="AY131" s="189" t="e">
        <f t="shared" ref="AY131:AZ131" si="460">AY193+AY213</f>
        <v>#REF!</v>
      </c>
      <c r="AZ131" s="189" t="e">
        <f t="shared" si="460"/>
        <v>#REF!</v>
      </c>
      <c r="BA131" s="189" t="e">
        <f t="shared" ref="BA131:BC131" si="461">BA193+BA213</f>
        <v>#REF!</v>
      </c>
      <c r="BB131" s="189" t="e">
        <f t="shared" si="461"/>
        <v>#REF!</v>
      </c>
      <c r="BC131" s="189" t="e">
        <f t="shared" si="461"/>
        <v>#REF!</v>
      </c>
      <c r="BD131" s="384" t="e">
        <f t="shared" ref="BD131:BJ131" si="462">BD193+BD213</f>
        <v>#REF!</v>
      </c>
      <c r="BE131" s="341" t="e">
        <f t="shared" si="462"/>
        <v>#REF!</v>
      </c>
      <c r="BF131" s="189" t="e">
        <f t="shared" si="462"/>
        <v>#REF!</v>
      </c>
      <c r="BG131" s="189" t="e">
        <f t="shared" si="462"/>
        <v>#REF!</v>
      </c>
      <c r="BH131" s="189" t="e">
        <f t="shared" si="462"/>
        <v>#REF!</v>
      </c>
      <c r="BI131" s="189" t="e">
        <f t="shared" si="462"/>
        <v>#REF!</v>
      </c>
      <c r="BJ131" s="189" t="e">
        <f t="shared" si="462"/>
        <v>#REF!</v>
      </c>
      <c r="BK131" s="384" t="e">
        <f t="shared" ref="BK131" si="463">BK193+BK213</f>
        <v>#REF!</v>
      </c>
      <c r="BL131" s="189" t="e">
        <f t="shared" si="455"/>
        <v>#REF!</v>
      </c>
      <c r="BM131" s="189" t="e">
        <f t="shared" si="455"/>
        <v>#REF!</v>
      </c>
      <c r="BN131" s="189" t="e">
        <f t="shared" si="455"/>
        <v>#REF!</v>
      </c>
      <c r="BO131" s="189" t="e">
        <f t="shared" si="455"/>
        <v>#REF!</v>
      </c>
      <c r="BP131" s="189" t="e">
        <f t="shared" si="455"/>
        <v>#REF!</v>
      </c>
      <c r="BQ131" s="189" t="e">
        <f t="shared" si="455"/>
        <v>#REF!</v>
      </c>
      <c r="BR131" s="189" t="e">
        <f t="shared" si="455"/>
        <v>#REF!</v>
      </c>
    </row>
    <row r="132" spans="1:91">
      <c r="B132" s="93" t="s">
        <v>300</v>
      </c>
      <c r="D132" s="189" t="e">
        <f t="shared" ref="D132:P132" si="464">D229</f>
        <v>#REF!</v>
      </c>
      <c r="E132" s="189" t="e">
        <f t="shared" si="464"/>
        <v>#REF!</v>
      </c>
      <c r="F132" s="189" t="e">
        <f t="shared" si="464"/>
        <v>#REF!</v>
      </c>
      <c r="G132" s="189" t="e">
        <f t="shared" si="464"/>
        <v>#REF!</v>
      </c>
      <c r="H132" s="189" t="e">
        <f t="shared" si="464"/>
        <v>#REF!</v>
      </c>
      <c r="I132" s="189" t="e">
        <f t="shared" si="464"/>
        <v>#REF!</v>
      </c>
      <c r="J132" s="189" t="e">
        <f t="shared" si="464"/>
        <v>#REF!</v>
      </c>
      <c r="K132" s="189" t="e">
        <f t="shared" si="464"/>
        <v>#REF!</v>
      </c>
      <c r="L132" s="189" t="e">
        <f t="shared" si="464"/>
        <v>#REF!</v>
      </c>
      <c r="M132" s="189" t="e">
        <f t="shared" si="464"/>
        <v>#REF!</v>
      </c>
      <c r="N132" s="189" t="e">
        <f t="shared" si="464"/>
        <v>#REF!</v>
      </c>
      <c r="O132" s="189" t="e">
        <f t="shared" si="464"/>
        <v>#REF!</v>
      </c>
      <c r="P132" s="189" t="e">
        <f t="shared" si="464"/>
        <v>#REF!</v>
      </c>
      <c r="Q132" s="189" t="e">
        <f t="shared" ref="Q132:AX132" si="465">Q229</f>
        <v>#REF!</v>
      </c>
      <c r="R132" s="189" t="e">
        <f t="shared" si="465"/>
        <v>#REF!</v>
      </c>
      <c r="S132" s="189" t="e">
        <f t="shared" si="465"/>
        <v>#REF!</v>
      </c>
      <c r="T132" s="189" t="e">
        <f t="shared" si="465"/>
        <v>#REF!</v>
      </c>
      <c r="U132" s="189" t="e">
        <f t="shared" si="465"/>
        <v>#REF!</v>
      </c>
      <c r="V132" s="341" t="e">
        <f t="shared" ref="V132:AA132" si="466">V229</f>
        <v>#REF!</v>
      </c>
      <c r="W132" s="189" t="e">
        <f t="shared" si="466"/>
        <v>#REF!</v>
      </c>
      <c r="X132" s="189" t="e">
        <f t="shared" si="466"/>
        <v>#REF!</v>
      </c>
      <c r="Y132" s="189" t="e">
        <f t="shared" si="466"/>
        <v>#REF!</v>
      </c>
      <c r="Z132" s="189" t="e">
        <f t="shared" si="466"/>
        <v>#REF!</v>
      </c>
      <c r="AA132" s="189" t="e">
        <f t="shared" si="466"/>
        <v>#REF!</v>
      </c>
      <c r="AB132" s="189" t="e">
        <f t="shared" si="465"/>
        <v>#REF!</v>
      </c>
      <c r="AC132" s="341" t="e">
        <f t="shared" ref="AC132:AH132" si="467">AC229</f>
        <v>#REF!</v>
      </c>
      <c r="AD132" s="189" t="e">
        <f t="shared" si="467"/>
        <v>#REF!</v>
      </c>
      <c r="AE132" s="189" t="e">
        <f t="shared" si="467"/>
        <v>#REF!</v>
      </c>
      <c r="AF132" s="189" t="e">
        <f t="shared" si="467"/>
        <v>#REF!</v>
      </c>
      <c r="AG132" s="189" t="e">
        <f t="shared" si="467"/>
        <v>#REF!</v>
      </c>
      <c r="AH132" s="189" t="e">
        <f t="shared" si="467"/>
        <v>#REF!</v>
      </c>
      <c r="AI132" s="189" t="e">
        <f t="shared" si="465"/>
        <v>#REF!</v>
      </c>
      <c r="AJ132" s="341" t="e">
        <f t="shared" ref="AJ132:AO132" si="468">AJ229</f>
        <v>#REF!</v>
      </c>
      <c r="AK132" s="189" t="e">
        <f t="shared" si="468"/>
        <v>#REF!</v>
      </c>
      <c r="AL132" s="189" t="e">
        <f t="shared" si="468"/>
        <v>#REF!</v>
      </c>
      <c r="AM132" s="189" t="e">
        <f t="shared" si="468"/>
        <v>#REF!</v>
      </c>
      <c r="AN132" s="189" t="e">
        <f t="shared" si="468"/>
        <v>#REF!</v>
      </c>
      <c r="AO132" s="189" t="e">
        <f t="shared" si="468"/>
        <v>#REF!</v>
      </c>
      <c r="AP132" s="189" t="e">
        <f t="shared" si="465"/>
        <v>#REF!</v>
      </c>
      <c r="AQ132" s="341" t="e">
        <f t="shared" ref="AQ132:AV132" si="469">AQ229</f>
        <v>#REF!</v>
      </c>
      <c r="AR132" s="189" t="e">
        <f t="shared" si="469"/>
        <v>#REF!</v>
      </c>
      <c r="AS132" s="189" t="e">
        <f t="shared" si="469"/>
        <v>#REF!</v>
      </c>
      <c r="AT132" s="189" t="e">
        <f t="shared" si="469"/>
        <v>#REF!</v>
      </c>
      <c r="AU132" s="189" t="e">
        <f t="shared" si="469"/>
        <v>#REF!</v>
      </c>
      <c r="AV132" s="189" t="e">
        <f t="shared" si="469"/>
        <v>#REF!</v>
      </c>
      <c r="AW132" s="189" t="e">
        <f t="shared" si="465"/>
        <v>#REF!</v>
      </c>
      <c r="AX132" s="341" t="e">
        <f t="shared" si="465"/>
        <v>#REF!</v>
      </c>
      <c r="AY132" s="189" t="e">
        <f t="shared" ref="AY132:AZ132" si="470">AY229</f>
        <v>#REF!</v>
      </c>
      <c r="AZ132" s="189" t="e">
        <f t="shared" si="470"/>
        <v>#REF!</v>
      </c>
      <c r="BA132" s="189" t="e">
        <f t="shared" ref="BA132:BC132" si="471">BA229</f>
        <v>#REF!</v>
      </c>
      <c r="BB132" s="189" t="e">
        <f t="shared" si="471"/>
        <v>#REF!</v>
      </c>
      <c r="BC132" s="189" t="e">
        <f t="shared" si="471"/>
        <v>#REF!</v>
      </c>
      <c r="BD132" s="384" t="e">
        <f t="shared" ref="BD132:BJ132" si="472">BD229</f>
        <v>#REF!</v>
      </c>
      <c r="BE132" s="341" t="e">
        <f t="shared" si="472"/>
        <v>#REF!</v>
      </c>
      <c r="BF132" s="189" t="e">
        <f t="shared" si="472"/>
        <v>#REF!</v>
      </c>
      <c r="BG132" s="189" t="e">
        <f t="shared" si="472"/>
        <v>#REF!</v>
      </c>
      <c r="BH132" s="189" t="e">
        <f t="shared" si="472"/>
        <v>#REF!</v>
      </c>
      <c r="BI132" s="189" t="e">
        <f t="shared" si="472"/>
        <v>#REF!</v>
      </c>
      <c r="BJ132" s="189" t="e">
        <f t="shared" si="472"/>
        <v>#REF!</v>
      </c>
      <c r="BK132" s="384" t="e">
        <f t="shared" ref="BK132" si="473">BK229</f>
        <v>#REF!</v>
      </c>
      <c r="BL132" s="189" t="e">
        <f t="shared" ref="BL132:BR132" si="474">BL229</f>
        <v>#REF!</v>
      </c>
      <c r="BM132" s="189" t="e">
        <f t="shared" si="474"/>
        <v>#REF!</v>
      </c>
      <c r="BN132" s="189" t="e">
        <f t="shared" si="474"/>
        <v>#REF!</v>
      </c>
      <c r="BO132" s="189" t="e">
        <f t="shared" si="474"/>
        <v>#REF!</v>
      </c>
      <c r="BP132" s="189" t="e">
        <f t="shared" si="474"/>
        <v>#REF!</v>
      </c>
      <c r="BQ132" s="189" t="e">
        <f t="shared" si="474"/>
        <v>#REF!</v>
      </c>
      <c r="BR132" s="189" t="e">
        <f t="shared" si="474"/>
        <v>#REF!</v>
      </c>
    </row>
    <row r="133" spans="1:91">
      <c r="B133" s="93"/>
      <c r="D133" s="189"/>
      <c r="E133" s="189"/>
      <c r="F133" s="189"/>
      <c r="G133" s="189"/>
      <c r="H133" s="189"/>
      <c r="I133" s="189"/>
      <c r="J133" s="189"/>
      <c r="K133" s="189"/>
      <c r="L133" s="189"/>
      <c r="M133" s="189"/>
      <c r="N133" s="189"/>
      <c r="O133" s="189"/>
      <c r="P133" s="189"/>
      <c r="Q133" s="189"/>
      <c r="R133" s="189"/>
      <c r="S133" s="189"/>
      <c r="T133" s="189"/>
      <c r="U133" s="189"/>
      <c r="V133" s="341"/>
      <c r="W133" s="189"/>
      <c r="X133" s="189"/>
      <c r="Y133" s="189"/>
      <c r="Z133" s="189"/>
      <c r="AA133" s="189"/>
      <c r="AB133" s="189"/>
      <c r="AC133" s="341"/>
      <c r="AD133" s="189"/>
      <c r="AE133" s="189"/>
      <c r="AF133" s="189"/>
      <c r="AG133" s="189"/>
      <c r="AH133" s="189"/>
      <c r="AI133" s="189"/>
      <c r="AJ133" s="341"/>
      <c r="AK133" s="189"/>
      <c r="AL133" s="189"/>
      <c r="AM133" s="189"/>
      <c r="AN133" s="189"/>
      <c r="AO133" s="189"/>
      <c r="AP133" s="189"/>
      <c r="AQ133" s="341"/>
      <c r="AR133" s="189"/>
      <c r="AS133" s="189"/>
      <c r="AT133" s="189"/>
      <c r="AU133" s="189"/>
      <c r="AV133" s="189"/>
      <c r="AW133" s="189"/>
      <c r="AX133" s="341"/>
      <c r="AY133" s="189"/>
      <c r="AZ133" s="189"/>
      <c r="BA133" s="189"/>
      <c r="BB133" s="189"/>
      <c r="BC133" s="189"/>
      <c r="BD133" s="384"/>
      <c r="BE133" s="341"/>
      <c r="BF133" s="189"/>
      <c r="BG133" s="189"/>
      <c r="BH133" s="189"/>
      <c r="BI133" s="189"/>
      <c r="BJ133" s="189"/>
      <c r="BK133" s="384"/>
      <c r="BL133" s="189"/>
      <c r="BM133" s="189"/>
      <c r="BN133" s="189"/>
      <c r="BO133" s="189"/>
      <c r="BP133" s="189"/>
      <c r="BQ133" s="189"/>
      <c r="BR133" s="189"/>
    </row>
    <row r="134" spans="1:91">
      <c r="B134" s="154" t="s">
        <v>324</v>
      </c>
      <c r="C134" s="190"/>
      <c r="D134" s="191" t="e">
        <f t="shared" ref="D134:P134" si="475">D130-D132-D131</f>
        <v>#REF!</v>
      </c>
      <c r="E134" s="191" t="e">
        <f t="shared" si="475"/>
        <v>#REF!</v>
      </c>
      <c r="F134" s="191" t="e">
        <f t="shared" si="475"/>
        <v>#REF!</v>
      </c>
      <c r="G134" s="191" t="e">
        <f t="shared" si="475"/>
        <v>#REF!</v>
      </c>
      <c r="H134" s="191" t="e">
        <f t="shared" si="475"/>
        <v>#REF!</v>
      </c>
      <c r="I134" s="191" t="e">
        <f t="shared" si="475"/>
        <v>#REF!</v>
      </c>
      <c r="J134" s="191" t="e">
        <f t="shared" si="475"/>
        <v>#REF!</v>
      </c>
      <c r="K134" s="191" t="e">
        <f t="shared" si="475"/>
        <v>#REF!</v>
      </c>
      <c r="L134" s="191" t="e">
        <f t="shared" si="475"/>
        <v>#REF!</v>
      </c>
      <c r="M134" s="191" t="e">
        <f t="shared" si="475"/>
        <v>#REF!</v>
      </c>
      <c r="N134" s="191" t="e">
        <f t="shared" si="475"/>
        <v>#REF!</v>
      </c>
      <c r="O134" s="191" t="e">
        <f t="shared" si="475"/>
        <v>#REF!</v>
      </c>
      <c r="P134" s="191" t="e">
        <f t="shared" si="475"/>
        <v>#REF!</v>
      </c>
      <c r="Q134" s="191" t="e">
        <f t="shared" ref="Q134:AX134" si="476">Q130-Q132-Q131</f>
        <v>#REF!</v>
      </c>
      <c r="R134" s="191" t="e">
        <f t="shared" si="476"/>
        <v>#REF!</v>
      </c>
      <c r="S134" s="191" t="e">
        <f t="shared" si="476"/>
        <v>#REF!</v>
      </c>
      <c r="T134" s="191" t="e">
        <f t="shared" si="476"/>
        <v>#REF!</v>
      </c>
      <c r="U134" s="191" t="e">
        <f t="shared" si="476"/>
        <v>#REF!</v>
      </c>
      <c r="V134" s="342" t="e">
        <f t="shared" ref="V134:AA134" si="477">V130-V132-V131</f>
        <v>#REF!</v>
      </c>
      <c r="W134" s="191" t="e">
        <f t="shared" si="477"/>
        <v>#REF!</v>
      </c>
      <c r="X134" s="191" t="e">
        <f t="shared" si="477"/>
        <v>#REF!</v>
      </c>
      <c r="Y134" s="191" t="e">
        <f t="shared" si="477"/>
        <v>#REF!</v>
      </c>
      <c r="Z134" s="191" t="e">
        <f t="shared" si="477"/>
        <v>#REF!</v>
      </c>
      <c r="AA134" s="191" t="e">
        <f t="shared" si="477"/>
        <v>#REF!</v>
      </c>
      <c r="AB134" s="191" t="e">
        <f t="shared" si="476"/>
        <v>#REF!</v>
      </c>
      <c r="AC134" s="342" t="e">
        <f t="shared" ref="AC134:AH134" si="478">AC130-AC132-AC131</f>
        <v>#REF!</v>
      </c>
      <c r="AD134" s="191" t="e">
        <f t="shared" si="478"/>
        <v>#REF!</v>
      </c>
      <c r="AE134" s="191" t="e">
        <f t="shared" si="478"/>
        <v>#REF!</v>
      </c>
      <c r="AF134" s="191" t="e">
        <f t="shared" si="478"/>
        <v>#REF!</v>
      </c>
      <c r="AG134" s="191" t="e">
        <f t="shared" si="478"/>
        <v>#REF!</v>
      </c>
      <c r="AH134" s="191" t="e">
        <f t="shared" si="478"/>
        <v>#REF!</v>
      </c>
      <c r="AI134" s="191" t="e">
        <f t="shared" si="476"/>
        <v>#REF!</v>
      </c>
      <c r="AJ134" s="342" t="e">
        <f t="shared" ref="AJ134:AO134" si="479">AJ130-AJ132-AJ131</f>
        <v>#REF!</v>
      </c>
      <c r="AK134" s="191" t="e">
        <f t="shared" si="479"/>
        <v>#REF!</v>
      </c>
      <c r="AL134" s="191" t="e">
        <f t="shared" si="479"/>
        <v>#REF!</v>
      </c>
      <c r="AM134" s="191" t="e">
        <f t="shared" si="479"/>
        <v>#REF!</v>
      </c>
      <c r="AN134" s="191" t="e">
        <f t="shared" si="479"/>
        <v>#REF!</v>
      </c>
      <c r="AO134" s="191" t="e">
        <f t="shared" si="479"/>
        <v>#REF!</v>
      </c>
      <c r="AP134" s="191" t="e">
        <f t="shared" si="476"/>
        <v>#REF!</v>
      </c>
      <c r="AQ134" s="342" t="e">
        <f t="shared" ref="AQ134:AV134" si="480">AQ130-AQ132-AQ131</f>
        <v>#REF!</v>
      </c>
      <c r="AR134" s="191" t="e">
        <f t="shared" si="480"/>
        <v>#REF!</v>
      </c>
      <c r="AS134" s="191" t="e">
        <f t="shared" si="480"/>
        <v>#REF!</v>
      </c>
      <c r="AT134" s="191" t="e">
        <f t="shared" si="480"/>
        <v>#REF!</v>
      </c>
      <c r="AU134" s="191" t="e">
        <f t="shared" si="480"/>
        <v>#REF!</v>
      </c>
      <c r="AV134" s="191" t="e">
        <f t="shared" si="480"/>
        <v>#REF!</v>
      </c>
      <c r="AW134" s="191" t="e">
        <f t="shared" si="476"/>
        <v>#REF!</v>
      </c>
      <c r="AX134" s="342" t="e">
        <f t="shared" si="476"/>
        <v>#REF!</v>
      </c>
      <c r="AY134" s="191" t="e">
        <f t="shared" ref="AY134:AZ134" si="481">AY130-AY132-AY131</f>
        <v>#REF!</v>
      </c>
      <c r="AZ134" s="191" t="e">
        <f t="shared" si="481"/>
        <v>#REF!</v>
      </c>
      <c r="BA134" s="191" t="e">
        <f t="shared" ref="BA134:BC134" si="482">BA130-BA132-BA131</f>
        <v>#REF!</v>
      </c>
      <c r="BB134" s="191" t="e">
        <f t="shared" si="482"/>
        <v>#REF!</v>
      </c>
      <c r="BC134" s="191" t="e">
        <f t="shared" si="482"/>
        <v>#REF!</v>
      </c>
      <c r="BD134" s="385" t="e">
        <f t="shared" ref="BD134:BJ134" si="483">BD130-BD132-BD131</f>
        <v>#REF!</v>
      </c>
      <c r="BE134" s="342" t="e">
        <f t="shared" si="483"/>
        <v>#REF!</v>
      </c>
      <c r="BF134" s="191" t="e">
        <f t="shared" si="483"/>
        <v>#REF!</v>
      </c>
      <c r="BG134" s="191" t="e">
        <f t="shared" si="483"/>
        <v>#REF!</v>
      </c>
      <c r="BH134" s="191" t="e">
        <f t="shared" si="483"/>
        <v>#REF!</v>
      </c>
      <c r="BI134" s="191" t="e">
        <f t="shared" si="483"/>
        <v>#REF!</v>
      </c>
      <c r="BJ134" s="191" t="e">
        <f t="shared" si="483"/>
        <v>#REF!</v>
      </c>
      <c r="BK134" s="385" t="e">
        <f t="shared" ref="BK134" si="484">BK130-BK132-BK131</f>
        <v>#REF!</v>
      </c>
      <c r="BL134" s="191" t="e">
        <f t="shared" ref="BL134:BR134" si="485">BL130-BL132-BL131</f>
        <v>#REF!</v>
      </c>
      <c r="BM134" s="191" t="e">
        <f t="shared" si="485"/>
        <v>#REF!</v>
      </c>
      <c r="BN134" s="191" t="e">
        <f t="shared" si="485"/>
        <v>#REF!</v>
      </c>
      <c r="BO134" s="191" t="e">
        <f t="shared" si="485"/>
        <v>#REF!</v>
      </c>
      <c r="BP134" s="191" t="e">
        <f t="shared" si="485"/>
        <v>#REF!</v>
      </c>
      <c r="BQ134" s="191" t="e">
        <f t="shared" si="485"/>
        <v>#REF!</v>
      </c>
      <c r="BR134" s="191" t="e">
        <f t="shared" si="485"/>
        <v>#REF!</v>
      </c>
    </row>
    <row r="135" spans="1:91">
      <c r="B135" s="93"/>
      <c r="D135" s="189"/>
      <c r="E135" s="189"/>
      <c r="F135" s="189"/>
      <c r="G135" s="189"/>
      <c r="H135" s="189"/>
      <c r="I135" s="189"/>
      <c r="J135" s="189"/>
      <c r="K135" s="189"/>
      <c r="L135" s="189"/>
      <c r="M135" s="189"/>
      <c r="N135" s="189"/>
      <c r="O135" s="189"/>
      <c r="P135" s="189"/>
      <c r="Q135" s="189"/>
      <c r="R135" s="189"/>
      <c r="S135" s="189"/>
      <c r="T135" s="189"/>
      <c r="U135" s="189"/>
      <c r="V135" s="341"/>
      <c r="W135" s="189"/>
      <c r="X135" s="189"/>
      <c r="Y135" s="189"/>
      <c r="Z135" s="189"/>
      <c r="AA135" s="189"/>
      <c r="AB135" s="189"/>
      <c r="AC135" s="341"/>
      <c r="AD135" s="189"/>
      <c r="AE135" s="189"/>
      <c r="AF135" s="189"/>
      <c r="AG135" s="189"/>
      <c r="AH135" s="189"/>
      <c r="AI135" s="189"/>
      <c r="AJ135" s="341"/>
      <c r="AK135" s="189"/>
      <c r="AL135" s="189"/>
      <c r="AM135" s="189"/>
      <c r="AN135" s="189"/>
      <c r="AO135" s="189"/>
      <c r="AP135" s="189"/>
      <c r="AQ135" s="341"/>
      <c r="AR135" s="189"/>
      <c r="AS135" s="189"/>
      <c r="AT135" s="189"/>
      <c r="AU135" s="189"/>
      <c r="AV135" s="189"/>
      <c r="AW135" s="189"/>
      <c r="AX135" s="341"/>
      <c r="AY135" s="189"/>
      <c r="AZ135" s="189"/>
      <c r="BA135" s="189"/>
      <c r="BB135" s="189"/>
      <c r="BC135" s="189"/>
      <c r="BD135" s="384"/>
      <c r="BE135" s="341"/>
      <c r="BF135" s="189"/>
      <c r="BG135" s="189"/>
      <c r="BH135" s="189"/>
      <c r="BI135" s="189"/>
      <c r="BJ135" s="189"/>
      <c r="BK135" s="384"/>
      <c r="BL135" s="189"/>
      <c r="BM135" s="189"/>
      <c r="BN135" s="189"/>
      <c r="BO135" s="189"/>
      <c r="BP135" s="189"/>
      <c r="BQ135" s="189"/>
      <c r="BR135" s="189"/>
    </row>
    <row r="136" spans="1:91">
      <c r="B136" s="93"/>
      <c r="D136" s="189"/>
      <c r="E136" s="189"/>
      <c r="F136" s="189"/>
      <c r="G136" s="189"/>
      <c r="H136" s="189"/>
      <c r="I136" s="189"/>
      <c r="J136" s="189"/>
      <c r="K136" s="189"/>
      <c r="L136" s="189"/>
      <c r="M136" s="189"/>
      <c r="N136" s="189"/>
      <c r="O136" s="189"/>
      <c r="P136" s="189"/>
      <c r="Q136" s="189"/>
      <c r="R136" s="189"/>
      <c r="S136" s="189"/>
      <c r="T136" s="189"/>
      <c r="U136" s="189"/>
      <c r="V136" s="341"/>
      <c r="W136" s="189"/>
      <c r="X136" s="189"/>
      <c r="Y136" s="189"/>
      <c r="Z136" s="189"/>
      <c r="AA136" s="189"/>
      <c r="AB136" s="189"/>
      <c r="AC136" s="341"/>
      <c r="AD136" s="189"/>
      <c r="AE136" s="189"/>
      <c r="AF136" s="189"/>
      <c r="AG136" s="189"/>
      <c r="AH136" s="189"/>
      <c r="AI136" s="189"/>
      <c r="AJ136" s="341"/>
      <c r="AK136" s="189"/>
      <c r="AL136" s="189"/>
      <c r="AM136" s="189"/>
      <c r="AN136" s="189"/>
      <c r="AO136" s="189"/>
      <c r="AP136" s="189"/>
      <c r="AQ136" s="341"/>
      <c r="AR136" s="189"/>
      <c r="AS136" s="189"/>
      <c r="AT136" s="189"/>
      <c r="AU136" s="189"/>
      <c r="AV136" s="189"/>
      <c r="AW136" s="189"/>
      <c r="AX136" s="341"/>
      <c r="AY136" s="189"/>
      <c r="AZ136" s="189"/>
      <c r="BA136" s="189"/>
      <c r="BB136" s="189"/>
      <c r="BC136" s="189"/>
      <c r="BD136" s="384"/>
      <c r="BE136" s="341"/>
      <c r="BF136" s="189"/>
      <c r="BG136" s="189"/>
      <c r="BH136" s="189"/>
      <c r="BI136" s="189"/>
      <c r="BJ136" s="189"/>
      <c r="BK136" s="384"/>
      <c r="BL136" s="189"/>
      <c r="BM136" s="189"/>
      <c r="BN136" s="189"/>
      <c r="BO136" s="189"/>
      <c r="BP136" s="189"/>
      <c r="BQ136" s="189"/>
      <c r="BR136" s="189"/>
    </row>
    <row r="138" spans="1:91" s="244" customFormat="1" ht="14.1">
      <c r="A138" s="239" t="s">
        <v>175</v>
      </c>
      <c r="B138" s="240" t="s">
        <v>270</v>
      </c>
      <c r="C138" s="241"/>
      <c r="D138" s="242" t="e">
        <f>INDEX(#REF!, MATCH($A138,#REF!, 0), MATCH(D$4,#REF!, 0))</f>
        <v>#REF!</v>
      </c>
      <c r="E138" s="242" t="e">
        <f>INDEX(#REF!, MATCH($A138,#REF!, 0), MATCH(E$4,#REF!, 0))</f>
        <v>#REF!</v>
      </c>
      <c r="F138" s="242" t="e">
        <f>INDEX(#REF!, MATCH($A138,#REF!, 0), MATCH(F$4,#REF!, 0))</f>
        <v>#REF!</v>
      </c>
      <c r="G138" s="242" t="e">
        <f>INDEX(#REF!, MATCH($A138,#REF!, 0), MATCH(G$4,#REF!, 0))</f>
        <v>#REF!</v>
      </c>
      <c r="H138" s="242" t="e">
        <f>INDEX(#REF!, MATCH($A138,#REF!, 0), MATCH(H$4,#REF!, 0))</f>
        <v>#REF!</v>
      </c>
      <c r="I138" s="242" t="e">
        <f>INDEX(#REF!, MATCH($A138,#REF!, 0), MATCH(I$4,#REF!, 0))</f>
        <v>#REF!</v>
      </c>
      <c r="J138" s="242" t="e">
        <f>INDEX(#REF!, MATCH($A138,#REF!, 0), MATCH(J$4,#REF!, 0))</f>
        <v>#REF!</v>
      </c>
      <c r="K138" s="242" t="e">
        <f>INDEX(#REF!, MATCH($A138,#REF!, 0), MATCH(K$4,#REF!, 0))</f>
        <v>#REF!</v>
      </c>
      <c r="L138" s="242" t="e">
        <f>INDEX(#REF!, MATCH($A138,#REF!, 0), MATCH(L$4,#REF!, 0))</f>
        <v>#REF!</v>
      </c>
      <c r="M138" s="242" t="e">
        <f>INDEX(#REF!, MATCH($A138,#REF!, 0), MATCH(M$4,#REF!, 0))</f>
        <v>#REF!</v>
      </c>
      <c r="N138" s="242" t="e">
        <f>INDEX(#REF!, MATCH($A138,#REF!, 0), MATCH(N$4,#REF!, 0))</f>
        <v>#REF!</v>
      </c>
      <c r="O138" s="242" t="e">
        <f>INDEX(#REF!, MATCH($A138,#REF!, 0), MATCH(O$4,#REF!, 0))</f>
        <v>#REF!</v>
      </c>
      <c r="P138" s="242" t="e">
        <f>INDEX(#REF!, MATCH($A138,#REF!, 0), MATCH(P$4,#REF!, 0))</f>
        <v>#REF!</v>
      </c>
      <c r="Q138" s="242" t="e">
        <f>INDEX(#REF!, MATCH($A138,#REF!, 0), MATCH(Q$4,#REF!, 0))</f>
        <v>#REF!</v>
      </c>
      <c r="R138" s="242" t="e">
        <f>INDEX(#REF!, MATCH($A138,#REF!, 0), MATCH(R$4,#REF!, 0))</f>
        <v>#REF!</v>
      </c>
      <c r="S138" s="242" t="e">
        <f>INDEX(#REF!, MATCH($A138,#REF!, 0), MATCH(S$4,#REF!, 0))</f>
        <v>#REF!</v>
      </c>
      <c r="T138" s="242" t="e">
        <f>INDEX(#REF!, MATCH($A138,#REF!, 0), MATCH(T$4,#REF!, 0))</f>
        <v>#REF!</v>
      </c>
      <c r="U138" s="242" t="e">
        <f>INDEX(#REF!, MATCH($A138,#REF!, 0), MATCH(U$4,#REF!, 0))</f>
        <v>#REF!</v>
      </c>
      <c r="V138" s="321" t="e">
        <f>INDEX(#REF!, MATCH($A138,#REF!, 0), MATCH(V$4,#REF!, 0))</f>
        <v>#REF!</v>
      </c>
      <c r="W138" s="242" t="e">
        <f>INDEX(#REF!, MATCH($A138,#REF!, 0), MATCH(W$4,#REF!, 0))</f>
        <v>#REF!</v>
      </c>
      <c r="X138" s="242" t="e">
        <f>INDEX(#REF!, MATCH($A138,#REF!, 0), MATCH(X$4,#REF!, 0))</f>
        <v>#REF!</v>
      </c>
      <c r="Y138" s="242" t="e">
        <f>INDEX(#REF!, MATCH($A138,#REF!, 0), MATCH(Y$4,#REF!, 0))</f>
        <v>#REF!</v>
      </c>
      <c r="Z138" s="242" t="e">
        <f>INDEX(#REF!, MATCH($A138,#REF!, 0), MATCH(Z$4,#REF!, 0))</f>
        <v>#REF!</v>
      </c>
      <c r="AA138" s="242" t="e">
        <f>INDEX(#REF!, MATCH($A138,#REF!, 0), MATCH(AA$4,#REF!, 0))</f>
        <v>#REF!</v>
      </c>
      <c r="AB138" s="242" t="e">
        <f>INDEX(#REF!, MATCH($A138,#REF!, 0), MATCH(AB$4,#REF!, 0))</f>
        <v>#REF!</v>
      </c>
      <c r="AC138" s="321" t="e">
        <f>INDEX(#REF!, MATCH($A138,#REF!, 0), MATCH(AC$4,#REF!, 0))</f>
        <v>#REF!</v>
      </c>
      <c r="AD138" s="242" t="e">
        <f>INDEX(#REF!, MATCH($A138,#REF!, 0), MATCH(AD$4,#REF!, 0))</f>
        <v>#REF!</v>
      </c>
      <c r="AE138" s="242" t="e">
        <f>INDEX(#REF!, MATCH($A138,#REF!, 0), MATCH(AE$4,#REF!, 0))</f>
        <v>#REF!</v>
      </c>
      <c r="AF138" s="242" t="e">
        <f>INDEX(#REF!, MATCH($A138,#REF!, 0), MATCH(AF$4,#REF!, 0))</f>
        <v>#REF!</v>
      </c>
      <c r="AG138" s="242" t="e">
        <f>INDEX(#REF!, MATCH($A138,#REF!, 0), MATCH(AG$4,#REF!, 0))</f>
        <v>#REF!</v>
      </c>
      <c r="AH138" s="242" t="e">
        <f>INDEX(#REF!, MATCH($A138,#REF!, 0), MATCH(AH$4,#REF!, 0))</f>
        <v>#REF!</v>
      </c>
      <c r="AI138" s="242" t="e">
        <f>INDEX(#REF!, MATCH($A138,#REF!, 0), MATCH(AI$4,#REF!, 0))</f>
        <v>#REF!</v>
      </c>
      <c r="AJ138" s="321" t="e">
        <f>INDEX(#REF!, MATCH($A138,#REF!, 0), MATCH(AJ$4,#REF!, 0))</f>
        <v>#REF!</v>
      </c>
      <c r="AK138" s="242" t="e">
        <f>INDEX(#REF!, MATCH($A138,#REF!, 0), MATCH(AK$4,#REF!, 0))</f>
        <v>#REF!</v>
      </c>
      <c r="AL138" s="242" t="e">
        <f>INDEX(#REF!, MATCH($A138,#REF!, 0), MATCH(AL$4,#REF!, 0))</f>
        <v>#REF!</v>
      </c>
      <c r="AM138" s="242" t="e">
        <f>INDEX(#REF!, MATCH($A138,#REF!, 0), MATCH(AM$4,#REF!, 0))</f>
        <v>#REF!</v>
      </c>
      <c r="AN138" s="242" t="e">
        <f>INDEX(#REF!, MATCH($A138,#REF!, 0), MATCH(AN$4,#REF!, 0))</f>
        <v>#REF!</v>
      </c>
      <c r="AO138" s="242" t="e">
        <f>INDEX(#REF!, MATCH($A138,#REF!, 0), MATCH(AO$4,#REF!, 0))</f>
        <v>#REF!</v>
      </c>
      <c r="AP138" s="242" t="e">
        <f>INDEX(#REF!, MATCH($A138,#REF!, 0), MATCH(AP$4,#REF!, 0))</f>
        <v>#REF!</v>
      </c>
      <c r="AQ138" s="321" t="e">
        <f>INDEX(#REF!, MATCH($A138,#REF!, 0), MATCH(AQ$4,#REF!, 0))</f>
        <v>#REF!</v>
      </c>
      <c r="AR138" s="242" t="e">
        <f>INDEX(#REF!, MATCH($A138,#REF!, 0), MATCH(AR$4,#REF!, 0))</f>
        <v>#REF!</v>
      </c>
      <c r="AS138" s="242" t="e">
        <f>INDEX(#REF!, MATCH($A138,#REF!, 0), MATCH(AS$4,#REF!, 0))</f>
        <v>#REF!</v>
      </c>
      <c r="AT138" s="242" t="e">
        <f>INDEX(#REF!, MATCH($A138,#REF!, 0), MATCH(AT$4,#REF!, 0))</f>
        <v>#REF!</v>
      </c>
      <c r="AU138" s="242" t="e">
        <f>INDEX(#REF!, MATCH($A138,#REF!, 0), MATCH(AU$4,#REF!, 0))</f>
        <v>#REF!</v>
      </c>
      <c r="AV138" s="242" t="e">
        <f>INDEX(#REF!, MATCH($A138,#REF!, 0), MATCH(AV$4,#REF!, 0))</f>
        <v>#REF!</v>
      </c>
      <c r="AW138" s="242" t="e">
        <f>INDEX(#REF!, MATCH($A138,#REF!, 0), MATCH(AW$4,#REF!, 0))</f>
        <v>#REF!</v>
      </c>
      <c r="AX138" s="321" t="e">
        <f>INDEX(#REF!, MATCH($A138,#REF!, 0), MATCH(AX$4,#REF!, 0))</f>
        <v>#REF!</v>
      </c>
      <c r="AY138" s="242" t="e">
        <f>INDEX(#REF!, MATCH($A138,#REF!, 0), MATCH(AY$4,#REF!, 0))</f>
        <v>#REF!</v>
      </c>
      <c r="AZ138" s="242" t="e">
        <f>INDEX(#REF!, MATCH($A138,#REF!, 0), MATCH(AZ$4,#REF!, 0))</f>
        <v>#REF!</v>
      </c>
      <c r="BA138" s="242" t="e">
        <f>INDEX(#REF!, MATCH($A138,#REF!, 0), MATCH(BA$4,#REF!, 0))</f>
        <v>#REF!</v>
      </c>
      <c r="BB138" s="242" t="e">
        <f>INDEX(#REF!, MATCH($A138,#REF!, 0), MATCH(BB$4,#REF!, 0))</f>
        <v>#REF!</v>
      </c>
      <c r="BC138" s="242" t="e">
        <f>INDEX(#REF!, MATCH($A138,#REF!, 0), MATCH(BC$4,#REF!, 0))</f>
        <v>#REF!</v>
      </c>
      <c r="BD138" s="365" t="e">
        <f>INDEX(#REF!, MATCH($A138,#REF!, 0), MATCH(BD$4,#REF!, 0))</f>
        <v>#REF!</v>
      </c>
      <c r="BE138" s="321" t="e">
        <f>INDEX(#REF!, MATCH($A138,#REF!, 0), MATCH(BE$4,#REF!, 0))</f>
        <v>#REF!</v>
      </c>
      <c r="BF138" s="242" t="e">
        <f>INDEX(#REF!, MATCH($A138,#REF!, 0), MATCH(BF$4,#REF!, 0))</f>
        <v>#REF!</v>
      </c>
      <c r="BG138" s="242" t="e">
        <f>INDEX(#REF!, MATCH($A138,#REF!, 0), MATCH(BG$4,#REF!, 0))</f>
        <v>#REF!</v>
      </c>
      <c r="BH138" s="242" t="e">
        <f>INDEX(#REF!, MATCH($A138,#REF!, 0), MATCH(BH$4,#REF!, 0))</f>
        <v>#REF!</v>
      </c>
      <c r="BI138" s="242" t="e">
        <f>INDEX(#REF!, MATCH($A138,#REF!, 0), MATCH(BI$4,#REF!, 0))</f>
        <v>#REF!</v>
      </c>
      <c r="BJ138" s="242" t="e">
        <f>INDEX(#REF!, MATCH($A138,#REF!, 0), MATCH(BJ$4,#REF!, 0))</f>
        <v>#REF!</v>
      </c>
      <c r="BK138" s="365" t="e">
        <f>INDEX(#REF!, MATCH($A138,#REF!, 0), MATCH(BK$4,#REF!, 0))</f>
        <v>#REF!</v>
      </c>
      <c r="BL138" s="94" t="e">
        <f t="shared" ref="BL138:BR138" si="486">BL144+BL140+BL141+BL146</f>
        <v>#REF!</v>
      </c>
      <c r="BM138" s="94" t="e">
        <f t="shared" si="486"/>
        <v>#REF!</v>
      </c>
      <c r="BN138" s="94" t="e">
        <f t="shared" si="486"/>
        <v>#REF!</v>
      </c>
      <c r="BO138" s="94" t="e">
        <f t="shared" si="486"/>
        <v>#REF!</v>
      </c>
      <c r="BP138" s="94" t="e">
        <f t="shared" si="486"/>
        <v>#REF!</v>
      </c>
      <c r="BQ138" s="94" t="e">
        <f t="shared" si="486"/>
        <v>#REF!</v>
      </c>
      <c r="BR138" s="94" t="e">
        <f t="shared" si="486"/>
        <v>#REF!</v>
      </c>
      <c r="BS138" s="235"/>
      <c r="BT138" s="243"/>
      <c r="BU138" s="235"/>
      <c r="BV138" s="235"/>
      <c r="BW138" s="235"/>
      <c r="BX138" s="235"/>
      <c r="BY138" s="235"/>
      <c r="BZ138" s="235"/>
      <c r="CA138" s="235"/>
      <c r="CB138" s="235"/>
      <c r="CC138" s="235"/>
      <c r="CD138" s="235"/>
      <c r="CE138" s="235"/>
      <c r="CF138" s="235"/>
      <c r="CG138" s="235"/>
      <c r="CH138" s="235"/>
      <c r="CI138" s="235"/>
      <c r="CJ138" s="235"/>
      <c r="CK138" s="235"/>
      <c r="CL138" s="235"/>
      <c r="CM138" s="235"/>
    </row>
    <row r="140" spans="1:91" ht="14.25" customHeight="1">
      <c r="A140" s="105" t="s">
        <v>172</v>
      </c>
      <c r="B140" s="1" t="s">
        <v>268</v>
      </c>
      <c r="C140" s="117"/>
      <c r="D140" s="146" t="e">
        <f>INDEX(#REF!, MATCH($A140,#REF!, 0), MATCH(D$4,#REF!, 0))</f>
        <v>#REF!</v>
      </c>
      <c r="E140" s="146" t="e">
        <f>INDEX(#REF!, MATCH($A140,#REF!, 0), MATCH(E$4,#REF!, 0))</f>
        <v>#REF!</v>
      </c>
      <c r="F140" s="146" t="e">
        <f>INDEX(#REF!, MATCH($A140,#REF!, 0), MATCH(F$4,#REF!, 0))</f>
        <v>#REF!</v>
      </c>
      <c r="G140" s="146" t="e">
        <f>INDEX(#REF!, MATCH($A140,#REF!, 0), MATCH(G$4,#REF!, 0))</f>
        <v>#REF!</v>
      </c>
      <c r="H140" s="146" t="e">
        <f>INDEX(#REF!, MATCH($A140,#REF!, 0), MATCH(H$4,#REF!, 0))</f>
        <v>#REF!</v>
      </c>
      <c r="I140" s="146" t="e">
        <f>INDEX(#REF!, MATCH($A140,#REF!, 0), MATCH(I$4,#REF!, 0))</f>
        <v>#REF!</v>
      </c>
      <c r="J140" s="146" t="e">
        <f>INDEX(#REF!, MATCH($A140,#REF!, 0), MATCH(J$4,#REF!, 0))</f>
        <v>#REF!</v>
      </c>
      <c r="K140" s="146" t="e">
        <f>INDEX(#REF!, MATCH($A140,#REF!, 0), MATCH(K$4,#REF!, 0))</f>
        <v>#REF!</v>
      </c>
      <c r="L140" s="146" t="e">
        <f>INDEX(#REF!, MATCH($A140,#REF!, 0), MATCH(L$4,#REF!, 0))</f>
        <v>#REF!</v>
      </c>
      <c r="M140" s="146" t="e">
        <f>INDEX(#REF!, MATCH($A140,#REF!, 0), MATCH(M$4,#REF!, 0))</f>
        <v>#REF!</v>
      </c>
      <c r="N140" s="146" t="e">
        <f>INDEX(#REF!, MATCH($A140,#REF!, 0), MATCH(N$4,#REF!, 0))</f>
        <v>#REF!</v>
      </c>
      <c r="O140" s="146" t="e">
        <f>INDEX(#REF!, MATCH($A140,#REF!, 0), MATCH(O$4,#REF!, 0))</f>
        <v>#REF!</v>
      </c>
      <c r="P140" s="146" t="e">
        <f>INDEX(#REF!, MATCH($A140,#REF!, 0), MATCH(P$4,#REF!, 0))</f>
        <v>#REF!</v>
      </c>
      <c r="Q140" s="146" t="e">
        <f>INDEX(#REF!, MATCH($A140,#REF!, 0), MATCH(Q$4,#REF!, 0))</f>
        <v>#REF!</v>
      </c>
      <c r="R140" s="146" t="e">
        <f>INDEX(#REF!, MATCH($A140,#REF!, 0), MATCH(R$4,#REF!, 0))</f>
        <v>#REF!</v>
      </c>
      <c r="S140" s="146" t="e">
        <f>INDEX(#REF!, MATCH($A140,#REF!, 0), MATCH(S$4,#REF!, 0))</f>
        <v>#REF!</v>
      </c>
      <c r="T140" s="146" t="e">
        <f>INDEX(#REF!, MATCH($A140,#REF!, 0), MATCH(T$4,#REF!, 0))</f>
        <v>#REF!</v>
      </c>
      <c r="U140" s="146" t="e">
        <f>INDEX(#REF!, MATCH($A140,#REF!, 0), MATCH(U$4,#REF!, 0))</f>
        <v>#REF!</v>
      </c>
      <c r="V140" s="320" t="e">
        <f>INDEX(#REF!, MATCH($A140,#REF!, 0), MATCH(V$4,#REF!, 0))</f>
        <v>#REF!</v>
      </c>
      <c r="W140" s="146" t="e">
        <f>INDEX(#REF!, MATCH($A140,#REF!, 0), MATCH(W$4,#REF!, 0))</f>
        <v>#REF!</v>
      </c>
      <c r="X140" s="146" t="e">
        <f>INDEX(#REF!, MATCH($A140,#REF!, 0), MATCH(X$4,#REF!, 0))</f>
        <v>#REF!</v>
      </c>
      <c r="Y140" s="146" t="e">
        <f>INDEX(#REF!, MATCH($A140,#REF!, 0), MATCH(Y$4,#REF!, 0))</f>
        <v>#REF!</v>
      </c>
      <c r="Z140" s="146" t="e">
        <f>INDEX(#REF!, MATCH($A140,#REF!, 0), MATCH(Z$4,#REF!, 0))</f>
        <v>#REF!</v>
      </c>
      <c r="AA140" s="146" t="e">
        <f>INDEX(#REF!, MATCH($A140,#REF!, 0), MATCH(AA$4,#REF!, 0))</f>
        <v>#REF!</v>
      </c>
      <c r="AB140" s="146" t="e">
        <f>INDEX(#REF!, MATCH($A140,#REF!, 0), MATCH(AB$4,#REF!, 0))</f>
        <v>#REF!</v>
      </c>
      <c r="AC140" s="320" t="e">
        <f>INDEX(#REF!, MATCH($A140,#REF!, 0), MATCH(AC$4,#REF!, 0))</f>
        <v>#REF!</v>
      </c>
      <c r="AD140" s="146" t="e">
        <f>INDEX(#REF!, MATCH($A140,#REF!, 0), MATCH(AD$4,#REF!, 0))</f>
        <v>#REF!</v>
      </c>
      <c r="AE140" s="146" t="e">
        <f>INDEX(#REF!, MATCH($A140,#REF!, 0), MATCH(AE$4,#REF!, 0))</f>
        <v>#REF!</v>
      </c>
      <c r="AF140" s="146" t="e">
        <f>INDEX(#REF!, MATCH($A140,#REF!, 0), MATCH(AF$4,#REF!, 0))</f>
        <v>#REF!</v>
      </c>
      <c r="AG140" s="146" t="e">
        <f>INDEX(#REF!, MATCH($A140,#REF!, 0), MATCH(AG$4,#REF!, 0))</f>
        <v>#REF!</v>
      </c>
      <c r="AH140" s="146" t="e">
        <f>INDEX(#REF!, MATCH($A140,#REF!, 0), MATCH(AH$4,#REF!, 0))</f>
        <v>#REF!</v>
      </c>
      <c r="AI140" s="146" t="e">
        <f>INDEX(#REF!, MATCH($A140,#REF!, 0), MATCH(AI$4,#REF!, 0))</f>
        <v>#REF!</v>
      </c>
      <c r="AJ140" s="320" t="e">
        <f>INDEX(#REF!, MATCH($A140,#REF!, 0), MATCH(AJ$4,#REF!, 0))</f>
        <v>#REF!</v>
      </c>
      <c r="AK140" s="146" t="e">
        <f>INDEX(#REF!, MATCH($A140,#REF!, 0), MATCH(AK$4,#REF!, 0))</f>
        <v>#REF!</v>
      </c>
      <c r="AL140" s="146" t="e">
        <f>INDEX(#REF!, MATCH($A140,#REF!, 0), MATCH(AL$4,#REF!, 0))</f>
        <v>#REF!</v>
      </c>
      <c r="AM140" s="146" t="e">
        <f>INDEX(#REF!, MATCH($A140,#REF!, 0), MATCH(AM$4,#REF!, 0))</f>
        <v>#REF!</v>
      </c>
      <c r="AN140" s="146" t="e">
        <f>INDEX(#REF!, MATCH($A140,#REF!, 0), MATCH(AN$4,#REF!, 0))</f>
        <v>#REF!</v>
      </c>
      <c r="AO140" s="146" t="e">
        <f>INDEX(#REF!, MATCH($A140,#REF!, 0), MATCH(AO$4,#REF!, 0))</f>
        <v>#REF!</v>
      </c>
      <c r="AP140" s="146" t="e">
        <f>INDEX(#REF!, MATCH($A140,#REF!, 0), MATCH(AP$4,#REF!, 0))</f>
        <v>#REF!</v>
      </c>
      <c r="AQ140" s="320" t="e">
        <f>INDEX(#REF!, MATCH($A140,#REF!, 0), MATCH(AQ$4,#REF!, 0))</f>
        <v>#REF!</v>
      </c>
      <c r="AR140" s="146" t="e">
        <f>INDEX(#REF!, MATCH($A140,#REF!, 0), MATCH(AR$4,#REF!, 0))</f>
        <v>#REF!</v>
      </c>
      <c r="AS140" s="146" t="e">
        <f>INDEX(#REF!, MATCH($A140,#REF!, 0), MATCH(AS$4,#REF!, 0))</f>
        <v>#REF!</v>
      </c>
      <c r="AT140" s="146" t="e">
        <f>INDEX(#REF!, MATCH($A140,#REF!, 0), MATCH(AT$4,#REF!, 0))</f>
        <v>#REF!</v>
      </c>
      <c r="AU140" s="146" t="e">
        <f>INDEX(#REF!, MATCH($A140,#REF!, 0), MATCH(AU$4,#REF!, 0))</f>
        <v>#REF!</v>
      </c>
      <c r="AV140" s="146" t="e">
        <f>INDEX(#REF!, MATCH($A140,#REF!, 0), MATCH(AV$4,#REF!, 0))</f>
        <v>#REF!</v>
      </c>
      <c r="AW140" s="146" t="e">
        <f>INDEX(#REF!, MATCH($A140,#REF!, 0), MATCH(AW$4,#REF!, 0))</f>
        <v>#REF!</v>
      </c>
      <c r="AX140" s="320" t="e">
        <f>INDEX(#REF!, MATCH($A140,#REF!, 0), MATCH(AX$4,#REF!, 0))</f>
        <v>#REF!</v>
      </c>
      <c r="AY140" s="146" t="e">
        <f>INDEX(#REF!, MATCH($A140,#REF!, 0), MATCH(AY$4,#REF!, 0))</f>
        <v>#REF!</v>
      </c>
      <c r="AZ140" s="146" t="e">
        <f>INDEX(#REF!, MATCH($A140,#REF!, 0), MATCH(AZ$4,#REF!, 0))</f>
        <v>#REF!</v>
      </c>
      <c r="BA140" s="146" t="e">
        <f>INDEX(#REF!, MATCH($A140,#REF!, 0), MATCH(BA$4,#REF!, 0))</f>
        <v>#REF!</v>
      </c>
      <c r="BB140" s="146" t="e">
        <f>INDEX(#REF!, MATCH($A140,#REF!, 0), MATCH(BB$4,#REF!, 0))</f>
        <v>#REF!</v>
      </c>
      <c r="BC140" s="146" t="e">
        <f>INDEX(#REF!, MATCH($A140,#REF!, 0), MATCH(BC$4,#REF!, 0))</f>
        <v>#REF!</v>
      </c>
      <c r="BD140" s="364" t="e">
        <f>INDEX(#REF!, MATCH($A140,#REF!, 0), MATCH(BD$4,#REF!, 0))</f>
        <v>#REF!</v>
      </c>
      <c r="BE140" s="320" t="e">
        <f>INDEX(#REF!, MATCH($A140,#REF!, 0), MATCH(BE$4,#REF!, 0))</f>
        <v>#REF!</v>
      </c>
      <c r="BF140" s="146" t="e">
        <f>INDEX(#REF!, MATCH($A140,#REF!, 0), MATCH(BF$4,#REF!, 0))</f>
        <v>#REF!</v>
      </c>
      <c r="BG140" s="146" t="e">
        <f>INDEX(#REF!, MATCH($A140,#REF!, 0), MATCH(BG$4,#REF!, 0))</f>
        <v>#REF!</v>
      </c>
      <c r="BH140" s="146" t="e">
        <f>INDEX(#REF!, MATCH($A140,#REF!, 0), MATCH(BH$4,#REF!, 0))</f>
        <v>#REF!</v>
      </c>
      <c r="BI140" s="146" t="e">
        <f>INDEX(#REF!, MATCH($A140,#REF!, 0), MATCH(BI$4,#REF!, 0))</f>
        <v>#REF!</v>
      </c>
      <c r="BJ140" s="146" t="e">
        <f>INDEX(#REF!, MATCH($A140,#REF!, 0), MATCH(BJ$4,#REF!, 0))</f>
        <v>#REF!</v>
      </c>
      <c r="BK140" s="364" t="e">
        <f>INDEX(#REF!, MATCH($A140,#REF!, 0), MATCH(BK$4,#REF!, 0))</f>
        <v>#REF!</v>
      </c>
      <c r="BL140" s="150" t="e">
        <f t="shared" ref="BL140:BR140" si="487">BL307</f>
        <v>#REF!</v>
      </c>
      <c r="BM140" s="150" t="e">
        <f t="shared" si="487"/>
        <v>#REF!</v>
      </c>
      <c r="BN140" s="150" t="e">
        <f t="shared" si="487"/>
        <v>#REF!</v>
      </c>
      <c r="BO140" s="150" t="e">
        <f t="shared" si="487"/>
        <v>#REF!</v>
      </c>
      <c r="BP140" s="150" t="e">
        <f t="shared" si="487"/>
        <v>#REF!</v>
      </c>
      <c r="BQ140" s="150" t="e">
        <f t="shared" si="487"/>
        <v>#REF!</v>
      </c>
      <c r="BR140" s="150" t="e">
        <f t="shared" si="487"/>
        <v>#REF!</v>
      </c>
      <c r="BT140" s="121"/>
    </row>
    <row r="141" spans="1:91" ht="12.9">
      <c r="B141" s="193" t="s">
        <v>269</v>
      </c>
      <c r="D141" s="93" t="e">
        <f>D138-D140-D144-D146</f>
        <v>#REF!</v>
      </c>
      <c r="E141" s="93" t="e">
        <f t="shared" ref="E141:AX141" si="488">E138-E140-E144-E146</f>
        <v>#REF!</v>
      </c>
      <c r="F141" s="93" t="e">
        <f t="shared" si="488"/>
        <v>#REF!</v>
      </c>
      <c r="G141" s="93" t="e">
        <f t="shared" si="488"/>
        <v>#REF!</v>
      </c>
      <c r="H141" s="93" t="e">
        <f t="shared" si="488"/>
        <v>#REF!</v>
      </c>
      <c r="I141" s="93" t="e">
        <f t="shared" si="488"/>
        <v>#REF!</v>
      </c>
      <c r="J141" s="93" t="e">
        <f t="shared" si="488"/>
        <v>#REF!</v>
      </c>
      <c r="K141" s="93" t="e">
        <f t="shared" si="488"/>
        <v>#REF!</v>
      </c>
      <c r="L141" s="93" t="e">
        <f t="shared" si="488"/>
        <v>#REF!</v>
      </c>
      <c r="M141" s="93" t="e">
        <f t="shared" si="488"/>
        <v>#REF!</v>
      </c>
      <c r="N141" s="93" t="e">
        <f t="shared" si="488"/>
        <v>#REF!</v>
      </c>
      <c r="O141" s="93" t="e">
        <f t="shared" si="488"/>
        <v>#REF!</v>
      </c>
      <c r="P141" s="93" t="e">
        <f t="shared" si="488"/>
        <v>#REF!</v>
      </c>
      <c r="Q141" s="93" t="e">
        <f t="shared" si="488"/>
        <v>#REF!</v>
      </c>
      <c r="R141" s="93" t="e">
        <f t="shared" si="488"/>
        <v>#REF!</v>
      </c>
      <c r="S141" s="93" t="e">
        <f t="shared" si="488"/>
        <v>#REF!</v>
      </c>
      <c r="T141" s="93" t="e">
        <f t="shared" si="488"/>
        <v>#REF!</v>
      </c>
      <c r="U141" s="93" t="e">
        <f t="shared" si="488"/>
        <v>#REF!</v>
      </c>
      <c r="V141" s="141" t="e">
        <f t="shared" ref="V141:AA141" si="489">V138-V140-V144-V146</f>
        <v>#REF!</v>
      </c>
      <c r="W141" s="93" t="e">
        <f t="shared" si="489"/>
        <v>#REF!</v>
      </c>
      <c r="X141" s="93" t="e">
        <f t="shared" si="489"/>
        <v>#REF!</v>
      </c>
      <c r="Y141" s="93" t="e">
        <f t="shared" si="489"/>
        <v>#REF!</v>
      </c>
      <c r="Z141" s="93" t="e">
        <f t="shared" si="489"/>
        <v>#REF!</v>
      </c>
      <c r="AA141" s="93" t="e">
        <f t="shared" si="489"/>
        <v>#REF!</v>
      </c>
      <c r="AB141" s="93" t="e">
        <f t="shared" si="488"/>
        <v>#REF!</v>
      </c>
      <c r="AC141" s="141" t="e">
        <f t="shared" ref="AC141:AH141" si="490">AC138-AC140-AC144-AC146</f>
        <v>#REF!</v>
      </c>
      <c r="AD141" s="93" t="e">
        <f t="shared" si="490"/>
        <v>#REF!</v>
      </c>
      <c r="AE141" s="93" t="e">
        <f t="shared" si="490"/>
        <v>#REF!</v>
      </c>
      <c r="AF141" s="93" t="e">
        <f t="shared" si="490"/>
        <v>#REF!</v>
      </c>
      <c r="AG141" s="93" t="e">
        <f t="shared" si="490"/>
        <v>#REF!</v>
      </c>
      <c r="AH141" s="93" t="e">
        <f t="shared" si="490"/>
        <v>#REF!</v>
      </c>
      <c r="AI141" s="93" t="e">
        <f t="shared" si="488"/>
        <v>#REF!</v>
      </c>
      <c r="AJ141" s="141" t="e">
        <f t="shared" ref="AJ141:AO141" si="491">AJ138-AJ140-AJ144-AJ146</f>
        <v>#REF!</v>
      </c>
      <c r="AK141" s="93" t="e">
        <f t="shared" si="491"/>
        <v>#REF!</v>
      </c>
      <c r="AL141" s="93" t="e">
        <f t="shared" si="491"/>
        <v>#REF!</v>
      </c>
      <c r="AM141" s="93" t="e">
        <f t="shared" si="491"/>
        <v>#REF!</v>
      </c>
      <c r="AN141" s="93" t="e">
        <f t="shared" si="491"/>
        <v>#REF!</v>
      </c>
      <c r="AO141" s="93" t="e">
        <f t="shared" si="491"/>
        <v>#REF!</v>
      </c>
      <c r="AP141" s="93" t="e">
        <f t="shared" si="488"/>
        <v>#REF!</v>
      </c>
      <c r="AQ141" s="141" t="e">
        <f t="shared" ref="AQ141:AV141" si="492">AQ138-AQ140-AQ144-AQ146</f>
        <v>#REF!</v>
      </c>
      <c r="AR141" s="93" t="e">
        <f t="shared" si="492"/>
        <v>#REF!</v>
      </c>
      <c r="AS141" s="93" t="e">
        <f t="shared" si="492"/>
        <v>#REF!</v>
      </c>
      <c r="AT141" s="93" t="e">
        <f t="shared" si="492"/>
        <v>#REF!</v>
      </c>
      <c r="AU141" s="93" t="e">
        <f t="shared" si="492"/>
        <v>#REF!</v>
      </c>
      <c r="AV141" s="93" t="e">
        <f t="shared" si="492"/>
        <v>#REF!</v>
      </c>
      <c r="AW141" s="93" t="e">
        <f t="shared" si="488"/>
        <v>#REF!</v>
      </c>
      <c r="AX141" s="141" t="e">
        <f t="shared" si="488"/>
        <v>#REF!</v>
      </c>
      <c r="AY141" s="93" t="e">
        <f t="shared" ref="AY141:AZ141" si="493">AY138-AY140-AY144-AY146</f>
        <v>#REF!</v>
      </c>
      <c r="AZ141" s="93" t="e">
        <f t="shared" si="493"/>
        <v>#REF!</v>
      </c>
      <c r="BA141" s="93" t="e">
        <f t="shared" ref="BA141:BC141" si="494">BA138-BA140-BA144-BA146</f>
        <v>#REF!</v>
      </c>
      <c r="BB141" s="93" t="e">
        <f t="shared" si="494"/>
        <v>#REF!</v>
      </c>
      <c r="BC141" s="93" t="e">
        <f t="shared" si="494"/>
        <v>#REF!</v>
      </c>
      <c r="BD141" s="139" t="e">
        <f t="shared" ref="BD141:BJ141" si="495">BD138-BD140-BD144-BD146</f>
        <v>#REF!</v>
      </c>
      <c r="BE141" s="141" t="e">
        <f t="shared" si="495"/>
        <v>#REF!</v>
      </c>
      <c r="BF141" s="93" t="e">
        <f t="shared" si="495"/>
        <v>#REF!</v>
      </c>
      <c r="BG141" s="93" t="e">
        <f t="shared" si="495"/>
        <v>#REF!</v>
      </c>
      <c r="BH141" s="93" t="e">
        <f t="shared" si="495"/>
        <v>#REF!</v>
      </c>
      <c r="BI141" s="93" t="e">
        <f t="shared" si="495"/>
        <v>#REF!</v>
      </c>
      <c r="BJ141" s="93" t="e">
        <f t="shared" si="495"/>
        <v>#REF!</v>
      </c>
      <c r="BK141" s="139" t="e">
        <f t="shared" ref="BK141" si="496">BK138-BK140-BK144-BK146</f>
        <v>#REF!</v>
      </c>
      <c r="BL141" s="112" t="e">
        <f>BK141</f>
        <v>#REF!</v>
      </c>
      <c r="BM141" s="112" t="e">
        <f t="shared" ref="BM141:BR141" si="497">BL141</f>
        <v>#REF!</v>
      </c>
      <c r="BN141" s="112" t="e">
        <f t="shared" si="497"/>
        <v>#REF!</v>
      </c>
      <c r="BO141" s="112" t="e">
        <f t="shared" si="497"/>
        <v>#REF!</v>
      </c>
      <c r="BP141" s="112" t="e">
        <f t="shared" si="497"/>
        <v>#REF!</v>
      </c>
      <c r="BQ141" s="112" t="e">
        <f t="shared" si="497"/>
        <v>#REF!</v>
      </c>
      <c r="BR141" s="112" t="e">
        <f t="shared" si="497"/>
        <v>#REF!</v>
      </c>
    </row>
    <row r="143" spans="1:91" ht="14.1">
      <c r="B143" s="194" t="s">
        <v>271</v>
      </c>
    </row>
    <row r="144" spans="1:91" ht="14.25" customHeight="1">
      <c r="A144" s="169" t="s">
        <v>174</v>
      </c>
      <c r="B144" s="1" t="s">
        <v>123</v>
      </c>
      <c r="C144" s="117"/>
      <c r="D144" s="146" t="e">
        <f>INDEX(#REF!, MATCH($A144,#REF!, 0), MATCH(D$4,#REF!, 0))</f>
        <v>#REF!</v>
      </c>
      <c r="E144" s="146" t="e">
        <f>INDEX(#REF!, MATCH($A144,#REF!, 0), MATCH(E$4,#REF!, 0))</f>
        <v>#REF!</v>
      </c>
      <c r="F144" s="146" t="e">
        <f>INDEX(#REF!, MATCH($A144,#REF!, 0), MATCH(F$4,#REF!, 0))</f>
        <v>#REF!</v>
      </c>
      <c r="G144" s="146" t="e">
        <f>INDEX(#REF!, MATCH($A144,#REF!, 0), MATCH(G$4,#REF!, 0))</f>
        <v>#REF!</v>
      </c>
      <c r="H144" s="146" t="e">
        <f>INDEX(#REF!, MATCH($A144,#REF!, 0), MATCH(H$4,#REF!, 0))</f>
        <v>#REF!</v>
      </c>
      <c r="I144" s="146" t="e">
        <f>INDEX(#REF!, MATCH($A144,#REF!, 0), MATCH(I$4,#REF!, 0))</f>
        <v>#REF!</v>
      </c>
      <c r="J144" s="146" t="e">
        <f>INDEX(#REF!, MATCH($A144,#REF!, 0), MATCH(J$4,#REF!, 0))</f>
        <v>#REF!</v>
      </c>
      <c r="K144" s="146" t="e">
        <f>INDEX(#REF!, MATCH($A144,#REF!, 0), MATCH(K$4,#REF!, 0))</f>
        <v>#REF!</v>
      </c>
      <c r="L144" s="146" t="e">
        <f>INDEX(#REF!, MATCH($A144,#REF!, 0), MATCH(L$4,#REF!, 0))</f>
        <v>#REF!</v>
      </c>
      <c r="M144" s="146" t="e">
        <f>INDEX(#REF!, MATCH($A144,#REF!, 0), MATCH(M$4,#REF!, 0))</f>
        <v>#REF!</v>
      </c>
      <c r="N144" s="146" t="e">
        <f>INDEX(#REF!, MATCH($A144,#REF!, 0), MATCH(N$4,#REF!, 0))</f>
        <v>#REF!</v>
      </c>
      <c r="O144" s="146" t="e">
        <f>INDEX(#REF!, MATCH($A144,#REF!, 0), MATCH(O$4,#REF!, 0))</f>
        <v>#REF!</v>
      </c>
      <c r="P144" s="146" t="e">
        <f>INDEX(#REF!, MATCH($A144,#REF!, 0), MATCH(P$4,#REF!, 0))</f>
        <v>#REF!</v>
      </c>
      <c r="Q144" s="146" t="e">
        <f>INDEX(#REF!, MATCH($A144,#REF!, 0), MATCH(Q$4,#REF!, 0))</f>
        <v>#REF!</v>
      </c>
      <c r="R144" s="146" t="e">
        <f>INDEX(#REF!, MATCH($A144,#REF!, 0), MATCH(R$4,#REF!, 0))</f>
        <v>#REF!</v>
      </c>
      <c r="S144" s="146" t="e">
        <f>INDEX(#REF!, MATCH($A144,#REF!, 0), MATCH(S$4,#REF!, 0))</f>
        <v>#REF!</v>
      </c>
      <c r="T144" s="146" t="e">
        <f>INDEX(#REF!, MATCH($A144,#REF!, 0), MATCH(T$4,#REF!, 0))</f>
        <v>#REF!</v>
      </c>
      <c r="U144" s="146" t="e">
        <f>INDEX(#REF!, MATCH($A144,#REF!, 0), MATCH(U$4,#REF!, 0))</f>
        <v>#REF!</v>
      </c>
      <c r="V144" s="320" t="e">
        <f>INDEX(#REF!, MATCH($A144,#REF!, 0), MATCH(V$4,#REF!, 0))</f>
        <v>#REF!</v>
      </c>
      <c r="W144" s="146" t="e">
        <f>INDEX(#REF!, MATCH($A144,#REF!, 0), MATCH(W$4,#REF!, 0))</f>
        <v>#REF!</v>
      </c>
      <c r="X144" s="146" t="e">
        <f>INDEX(#REF!, MATCH($A144,#REF!, 0), MATCH(X$4,#REF!, 0))</f>
        <v>#REF!</v>
      </c>
      <c r="Y144" s="146" t="e">
        <f>INDEX(#REF!, MATCH($A144,#REF!, 0), MATCH(Y$4,#REF!, 0))</f>
        <v>#REF!</v>
      </c>
      <c r="Z144" s="146" t="e">
        <f>INDEX(#REF!, MATCH($A144,#REF!, 0), MATCH(Z$4,#REF!, 0))</f>
        <v>#REF!</v>
      </c>
      <c r="AA144" s="146" t="e">
        <f>INDEX(#REF!, MATCH($A144,#REF!, 0), MATCH(AA$4,#REF!, 0))</f>
        <v>#REF!</v>
      </c>
      <c r="AB144" s="146" t="e">
        <f>INDEX(#REF!, MATCH($A144,#REF!, 0), MATCH(AB$4,#REF!, 0))</f>
        <v>#REF!</v>
      </c>
      <c r="AC144" s="320" t="e">
        <f>INDEX(#REF!, MATCH($A144,#REF!, 0), MATCH(AC$4,#REF!, 0))</f>
        <v>#REF!</v>
      </c>
      <c r="AD144" s="146" t="e">
        <f>INDEX(#REF!, MATCH($A144,#REF!, 0), MATCH(AD$4,#REF!, 0))</f>
        <v>#REF!</v>
      </c>
      <c r="AE144" s="146" t="e">
        <f>INDEX(#REF!, MATCH($A144,#REF!, 0), MATCH(AE$4,#REF!, 0))</f>
        <v>#REF!</v>
      </c>
      <c r="AF144" s="146" t="e">
        <f>INDEX(#REF!, MATCH($A144,#REF!, 0), MATCH(AF$4,#REF!, 0))</f>
        <v>#REF!</v>
      </c>
      <c r="AG144" s="146" t="e">
        <f>INDEX(#REF!, MATCH($A144,#REF!, 0), MATCH(AG$4,#REF!, 0))</f>
        <v>#REF!</v>
      </c>
      <c r="AH144" s="146" t="e">
        <f>INDEX(#REF!, MATCH($A144,#REF!, 0), MATCH(AH$4,#REF!, 0))</f>
        <v>#REF!</v>
      </c>
      <c r="AI144" s="146" t="e">
        <f>INDEX(#REF!, MATCH($A144,#REF!, 0), MATCH(AI$4,#REF!, 0))</f>
        <v>#REF!</v>
      </c>
      <c r="AJ144" s="320" t="e">
        <f>INDEX(#REF!, MATCH($A144,#REF!, 0), MATCH(AJ$4,#REF!, 0))</f>
        <v>#REF!</v>
      </c>
      <c r="AK144" s="146" t="e">
        <f>INDEX(#REF!, MATCH($A144,#REF!, 0), MATCH(AK$4,#REF!, 0))</f>
        <v>#REF!</v>
      </c>
      <c r="AL144" s="146" t="e">
        <f>INDEX(#REF!, MATCH($A144,#REF!, 0), MATCH(AL$4,#REF!, 0))</f>
        <v>#REF!</v>
      </c>
      <c r="AM144" s="146" t="e">
        <f>INDEX(#REF!, MATCH($A144,#REF!, 0), MATCH(AM$4,#REF!, 0))</f>
        <v>#REF!</v>
      </c>
      <c r="AN144" s="146" t="e">
        <f>INDEX(#REF!, MATCH($A144,#REF!, 0), MATCH(AN$4,#REF!, 0))</f>
        <v>#REF!</v>
      </c>
      <c r="AO144" s="146" t="e">
        <f>INDEX(#REF!, MATCH($A144,#REF!, 0), MATCH(AO$4,#REF!, 0))</f>
        <v>#REF!</v>
      </c>
      <c r="AP144" s="146" t="e">
        <f>INDEX(#REF!, MATCH($A144,#REF!, 0), MATCH(AP$4,#REF!, 0))</f>
        <v>#REF!</v>
      </c>
      <c r="AQ144" s="320" t="e">
        <f>INDEX(#REF!, MATCH($A144,#REF!, 0), MATCH(AQ$4,#REF!, 0))</f>
        <v>#REF!</v>
      </c>
      <c r="AR144" s="146" t="e">
        <f>INDEX(#REF!, MATCH($A144,#REF!, 0), MATCH(AR$4,#REF!, 0))</f>
        <v>#REF!</v>
      </c>
      <c r="AS144" s="146" t="e">
        <f>INDEX(#REF!, MATCH($A144,#REF!, 0), MATCH(AS$4,#REF!, 0))</f>
        <v>#REF!</v>
      </c>
      <c r="AT144" s="146" t="e">
        <f>INDEX(#REF!, MATCH($A144,#REF!, 0), MATCH(AT$4,#REF!, 0))</f>
        <v>#REF!</v>
      </c>
      <c r="AU144" s="146" t="e">
        <f>INDEX(#REF!, MATCH($A144,#REF!, 0), MATCH(AU$4,#REF!, 0))</f>
        <v>#REF!</v>
      </c>
      <c r="AV144" s="146" t="e">
        <f>INDEX(#REF!, MATCH($A144,#REF!, 0), MATCH(AV$4,#REF!, 0))</f>
        <v>#REF!</v>
      </c>
      <c r="AW144" s="146" t="e">
        <f>INDEX(#REF!, MATCH($A144,#REF!, 0), MATCH(AW$4,#REF!, 0))</f>
        <v>#REF!</v>
      </c>
      <c r="AX144" s="320" t="e">
        <f>INDEX(#REF!, MATCH($A144,#REF!, 0), MATCH(AX$4,#REF!, 0))</f>
        <v>#REF!</v>
      </c>
      <c r="AY144" s="146" t="e">
        <f>INDEX(#REF!, MATCH($A144,#REF!, 0), MATCH(AY$4,#REF!, 0))</f>
        <v>#REF!</v>
      </c>
      <c r="AZ144" s="146" t="e">
        <f>INDEX(#REF!, MATCH($A144,#REF!, 0), MATCH(AZ$4,#REF!, 0))</f>
        <v>#REF!</v>
      </c>
      <c r="BA144" s="146" t="e">
        <f>INDEX(#REF!, MATCH($A144,#REF!, 0), MATCH(BA$4,#REF!, 0))</f>
        <v>#REF!</v>
      </c>
      <c r="BB144" s="146" t="e">
        <f>INDEX(#REF!, MATCH($A144,#REF!, 0), MATCH(BB$4,#REF!, 0))</f>
        <v>#REF!</v>
      </c>
      <c r="BC144" s="146" t="e">
        <f>INDEX(#REF!, MATCH($A144,#REF!, 0), MATCH(BC$4,#REF!, 0))</f>
        <v>#REF!</v>
      </c>
      <c r="BD144" s="364" t="e">
        <f>INDEX(#REF!, MATCH($A144,#REF!, 0), MATCH(BD$4,#REF!, 0))</f>
        <v>#REF!</v>
      </c>
      <c r="BE144" s="320" t="e">
        <f>INDEX(#REF!, MATCH($A144,#REF!, 0), MATCH(BE$4,#REF!, 0))</f>
        <v>#REF!</v>
      </c>
      <c r="BF144" s="146" t="e">
        <f>INDEX(#REF!, MATCH($A144,#REF!, 0), MATCH(BF$4,#REF!, 0))</f>
        <v>#REF!</v>
      </c>
      <c r="BG144" s="146" t="e">
        <f>INDEX(#REF!, MATCH($A144,#REF!, 0), MATCH(BG$4,#REF!, 0))</f>
        <v>#REF!</v>
      </c>
      <c r="BH144" s="146" t="e">
        <f>INDEX(#REF!, MATCH($A144,#REF!, 0), MATCH(BH$4,#REF!, 0))</f>
        <v>#REF!</v>
      </c>
      <c r="BI144" s="146" t="e">
        <f>INDEX(#REF!, MATCH($A144,#REF!, 0), MATCH(BI$4,#REF!, 0))</f>
        <v>#REF!</v>
      </c>
      <c r="BJ144" s="146" t="e">
        <f>INDEX(#REF!, MATCH($A144,#REF!, 0), MATCH(BJ$4,#REF!, 0))</f>
        <v>#REF!</v>
      </c>
      <c r="BK144" s="364" t="e">
        <f>INDEX(#REF!, MATCH($A144,#REF!, 0), MATCH(BK$4,#REF!, 0))</f>
        <v>#REF!</v>
      </c>
      <c r="BL144" s="150" t="e">
        <f t="shared" ref="BL144:BR144" si="498">BL145*BL$5</f>
        <v>#REF!</v>
      </c>
      <c r="BM144" s="150" t="e">
        <f t="shared" si="498"/>
        <v>#REF!</v>
      </c>
      <c r="BN144" s="150" t="e">
        <f t="shared" si="498"/>
        <v>#REF!</v>
      </c>
      <c r="BO144" s="150" t="e">
        <f t="shared" si="498"/>
        <v>#REF!</v>
      </c>
      <c r="BP144" s="150" t="e">
        <f t="shared" si="498"/>
        <v>#REF!</v>
      </c>
      <c r="BQ144" s="150" t="e">
        <f t="shared" si="498"/>
        <v>#REF!</v>
      </c>
      <c r="BR144" s="150" t="e">
        <f t="shared" si="498"/>
        <v>#REF!</v>
      </c>
      <c r="BS144" s="124"/>
      <c r="BT144" s="128"/>
      <c r="BU144" s="124"/>
      <c r="BV144" s="124"/>
    </row>
    <row r="145" spans="1:91" ht="14.25" customHeight="1">
      <c r="A145" s="169"/>
      <c r="B145" s="1" t="s">
        <v>281</v>
      </c>
      <c r="C145" s="117"/>
      <c r="D145" s="2" t="e">
        <f t="shared" ref="D145:AW145" si="499">D144/D$5</f>
        <v>#REF!</v>
      </c>
      <c r="E145" s="2" t="e">
        <f t="shared" si="499"/>
        <v>#REF!</v>
      </c>
      <c r="F145" s="2" t="e">
        <f t="shared" si="499"/>
        <v>#REF!</v>
      </c>
      <c r="G145" s="2" t="e">
        <f t="shared" si="499"/>
        <v>#REF!</v>
      </c>
      <c r="H145" s="2" t="e">
        <f t="shared" si="499"/>
        <v>#REF!</v>
      </c>
      <c r="I145" s="2" t="e">
        <f t="shared" si="499"/>
        <v>#REF!</v>
      </c>
      <c r="J145" s="2" t="e">
        <f t="shared" si="499"/>
        <v>#REF!</v>
      </c>
      <c r="K145" s="2" t="e">
        <f t="shared" si="499"/>
        <v>#REF!</v>
      </c>
      <c r="L145" s="2" t="e">
        <f t="shared" si="499"/>
        <v>#REF!</v>
      </c>
      <c r="M145" s="2" t="e">
        <f t="shared" si="499"/>
        <v>#REF!</v>
      </c>
      <c r="N145" s="2" t="e">
        <f t="shared" si="499"/>
        <v>#REF!</v>
      </c>
      <c r="O145" s="2" t="e">
        <f t="shared" si="499"/>
        <v>#REF!</v>
      </c>
      <c r="P145" s="2" t="e">
        <f t="shared" si="499"/>
        <v>#REF!</v>
      </c>
      <c r="Q145" s="2" t="e">
        <f t="shared" si="499"/>
        <v>#REF!</v>
      </c>
      <c r="R145" s="2" t="e">
        <f t="shared" si="499"/>
        <v>#REF!</v>
      </c>
      <c r="S145" s="2" t="e">
        <f t="shared" si="499"/>
        <v>#REF!</v>
      </c>
      <c r="T145" s="2" t="e">
        <f t="shared" si="499"/>
        <v>#REF!</v>
      </c>
      <c r="U145" s="2" t="e">
        <f t="shared" si="499"/>
        <v>#REF!</v>
      </c>
      <c r="V145" s="343" t="e">
        <f t="shared" ref="V145:AA145" si="500">V144/V$5</f>
        <v>#REF!</v>
      </c>
      <c r="W145" s="2" t="e">
        <f t="shared" si="500"/>
        <v>#REF!</v>
      </c>
      <c r="X145" s="2" t="e">
        <f t="shared" si="500"/>
        <v>#REF!</v>
      </c>
      <c r="Y145" s="2" t="e">
        <f t="shared" si="500"/>
        <v>#REF!</v>
      </c>
      <c r="Z145" s="2" t="e">
        <f t="shared" si="500"/>
        <v>#REF!</v>
      </c>
      <c r="AA145" s="2" t="e">
        <f t="shared" si="500"/>
        <v>#REF!</v>
      </c>
      <c r="AB145" s="2" t="e">
        <f t="shared" si="499"/>
        <v>#REF!</v>
      </c>
      <c r="AC145" s="343" t="e">
        <f t="shared" ref="AC145:AH145" si="501">AC144/AC$5</f>
        <v>#REF!</v>
      </c>
      <c r="AD145" s="2" t="e">
        <f t="shared" si="501"/>
        <v>#REF!</v>
      </c>
      <c r="AE145" s="2" t="e">
        <f t="shared" si="501"/>
        <v>#REF!</v>
      </c>
      <c r="AF145" s="2" t="e">
        <f t="shared" si="501"/>
        <v>#REF!</v>
      </c>
      <c r="AG145" s="2" t="e">
        <f t="shared" si="501"/>
        <v>#REF!</v>
      </c>
      <c r="AH145" s="2" t="e">
        <f t="shared" si="501"/>
        <v>#REF!</v>
      </c>
      <c r="AI145" s="2" t="e">
        <f t="shared" si="499"/>
        <v>#REF!</v>
      </c>
      <c r="AJ145" s="343" t="e">
        <f t="shared" ref="AJ145:AO145" si="502">AJ144/AJ$5</f>
        <v>#REF!</v>
      </c>
      <c r="AK145" s="2" t="e">
        <f t="shared" si="502"/>
        <v>#REF!</v>
      </c>
      <c r="AL145" s="2" t="e">
        <f t="shared" si="502"/>
        <v>#REF!</v>
      </c>
      <c r="AM145" s="2" t="e">
        <f t="shared" si="502"/>
        <v>#REF!</v>
      </c>
      <c r="AN145" s="2" t="e">
        <f t="shared" si="502"/>
        <v>#REF!</v>
      </c>
      <c r="AO145" s="2" t="e">
        <f t="shared" si="502"/>
        <v>#REF!</v>
      </c>
      <c r="AP145" s="2" t="e">
        <f t="shared" si="499"/>
        <v>#REF!</v>
      </c>
      <c r="AQ145" s="343" t="e">
        <f t="shared" ref="AQ145:AV145" si="503">AQ144/AQ$5</f>
        <v>#REF!</v>
      </c>
      <c r="AR145" s="2" t="e">
        <f t="shared" si="503"/>
        <v>#REF!</v>
      </c>
      <c r="AS145" s="2" t="e">
        <f t="shared" si="503"/>
        <v>#REF!</v>
      </c>
      <c r="AT145" s="2" t="e">
        <f t="shared" si="503"/>
        <v>#REF!</v>
      </c>
      <c r="AU145" s="2" t="e">
        <f t="shared" si="503"/>
        <v>#REF!</v>
      </c>
      <c r="AV145" s="2" t="e">
        <f t="shared" si="503"/>
        <v>#REF!</v>
      </c>
      <c r="AW145" s="2" t="e">
        <f t="shared" si="499"/>
        <v>#REF!</v>
      </c>
      <c r="AX145" s="343" t="e">
        <f t="shared" ref="AX145:BD145" si="504">AX144/AX$5</f>
        <v>#REF!</v>
      </c>
      <c r="AY145" s="2" t="e">
        <f t="shared" si="504"/>
        <v>#REF!</v>
      </c>
      <c r="AZ145" s="2" t="e">
        <f t="shared" si="504"/>
        <v>#REF!</v>
      </c>
      <c r="BA145" s="2" t="e">
        <f t="shared" si="504"/>
        <v>#REF!</v>
      </c>
      <c r="BB145" s="2" t="e">
        <f t="shared" si="504"/>
        <v>#REF!</v>
      </c>
      <c r="BC145" s="2" t="e">
        <f t="shared" si="504"/>
        <v>#REF!</v>
      </c>
      <c r="BD145" s="231" t="e">
        <f t="shared" si="504"/>
        <v>#REF!</v>
      </c>
      <c r="BE145" s="343" t="e">
        <f t="shared" ref="BE145:BK145" si="505">BE144/BE$5</f>
        <v>#REF!</v>
      </c>
      <c r="BF145" s="2" t="e">
        <f t="shared" si="505"/>
        <v>#REF!</v>
      </c>
      <c r="BG145" s="2" t="e">
        <f t="shared" si="505"/>
        <v>#REF!</v>
      </c>
      <c r="BH145" s="2" t="e">
        <f t="shared" si="505"/>
        <v>#REF!</v>
      </c>
      <c r="BI145" s="2" t="e">
        <f t="shared" si="505"/>
        <v>#REF!</v>
      </c>
      <c r="BJ145" s="2" t="e">
        <f t="shared" si="505"/>
        <v>#REF!</v>
      </c>
      <c r="BK145" s="231" t="e">
        <f t="shared" si="505"/>
        <v>#REF!</v>
      </c>
      <c r="BL145" s="108" t="e">
        <f>BK145</f>
        <v>#REF!</v>
      </c>
      <c r="BM145" s="108" t="e">
        <f t="shared" ref="BM145:BO147" si="506">BL145</f>
        <v>#REF!</v>
      </c>
      <c r="BN145" s="108" t="e">
        <f t="shared" si="506"/>
        <v>#REF!</v>
      </c>
      <c r="BO145" s="108" t="e">
        <f t="shared" si="506"/>
        <v>#REF!</v>
      </c>
      <c r="BP145" s="108" t="e">
        <f>BO145</f>
        <v>#REF!</v>
      </c>
      <c r="BQ145" s="108" t="e">
        <f>BP145</f>
        <v>#REF!</v>
      </c>
      <c r="BR145" s="108" t="e">
        <f>BQ145</f>
        <v>#REF!</v>
      </c>
      <c r="BS145" s="124"/>
      <c r="BT145" s="128"/>
      <c r="BU145" s="124"/>
      <c r="BV145" s="124"/>
    </row>
    <row r="146" spans="1:91" ht="14.25" customHeight="1">
      <c r="A146" s="169"/>
      <c r="B146" s="1" t="s">
        <v>272</v>
      </c>
      <c r="C146" s="117"/>
      <c r="D146" s="146" t="e">
        <f t="shared" ref="D146:P146" si="507">SUM(D149:D157)</f>
        <v>#REF!</v>
      </c>
      <c r="E146" s="146" t="e">
        <f t="shared" si="507"/>
        <v>#REF!</v>
      </c>
      <c r="F146" s="146" t="e">
        <f t="shared" si="507"/>
        <v>#REF!</v>
      </c>
      <c r="G146" s="146" t="e">
        <f t="shared" si="507"/>
        <v>#REF!</v>
      </c>
      <c r="H146" s="146" t="e">
        <f t="shared" si="507"/>
        <v>#REF!</v>
      </c>
      <c r="I146" s="146" t="e">
        <f t="shared" si="507"/>
        <v>#REF!</v>
      </c>
      <c r="J146" s="146" t="e">
        <f t="shared" si="507"/>
        <v>#REF!</v>
      </c>
      <c r="K146" s="146" t="e">
        <f t="shared" si="507"/>
        <v>#REF!</v>
      </c>
      <c r="L146" s="146" t="e">
        <f t="shared" si="507"/>
        <v>#REF!</v>
      </c>
      <c r="M146" s="146" t="e">
        <f t="shared" si="507"/>
        <v>#REF!</v>
      </c>
      <c r="N146" s="146" t="e">
        <f t="shared" si="507"/>
        <v>#REF!</v>
      </c>
      <c r="O146" s="146" t="e">
        <f t="shared" si="507"/>
        <v>#REF!</v>
      </c>
      <c r="P146" s="146" t="e">
        <f t="shared" si="507"/>
        <v>#REF!</v>
      </c>
      <c r="Q146" s="146" t="e">
        <f t="shared" ref="Q146:AX146" si="508">SUM(Q149:Q157)</f>
        <v>#REF!</v>
      </c>
      <c r="R146" s="146" t="e">
        <f t="shared" si="508"/>
        <v>#REF!</v>
      </c>
      <c r="S146" s="146" t="e">
        <f t="shared" si="508"/>
        <v>#REF!</v>
      </c>
      <c r="T146" s="146" t="e">
        <f t="shared" si="508"/>
        <v>#REF!</v>
      </c>
      <c r="U146" s="146" t="e">
        <f t="shared" si="508"/>
        <v>#REF!</v>
      </c>
      <c r="V146" s="320" t="e">
        <f t="shared" ref="V146:AA146" si="509">SUM(V149:V157)</f>
        <v>#REF!</v>
      </c>
      <c r="W146" s="146" t="e">
        <f t="shared" si="509"/>
        <v>#REF!</v>
      </c>
      <c r="X146" s="146" t="e">
        <f t="shared" si="509"/>
        <v>#REF!</v>
      </c>
      <c r="Y146" s="146" t="e">
        <f t="shared" si="509"/>
        <v>#REF!</v>
      </c>
      <c r="Z146" s="146" t="e">
        <f t="shared" si="509"/>
        <v>#REF!</v>
      </c>
      <c r="AA146" s="146" t="e">
        <f t="shared" si="509"/>
        <v>#REF!</v>
      </c>
      <c r="AB146" s="146" t="e">
        <f t="shared" si="508"/>
        <v>#REF!</v>
      </c>
      <c r="AC146" s="320" t="e">
        <f t="shared" ref="AC146:AH146" si="510">SUM(AC149:AC157)</f>
        <v>#REF!</v>
      </c>
      <c r="AD146" s="146" t="e">
        <f t="shared" si="510"/>
        <v>#REF!</v>
      </c>
      <c r="AE146" s="146" t="e">
        <f t="shared" si="510"/>
        <v>#REF!</v>
      </c>
      <c r="AF146" s="146" t="e">
        <f t="shared" si="510"/>
        <v>#REF!</v>
      </c>
      <c r="AG146" s="146" t="e">
        <f t="shared" si="510"/>
        <v>#REF!</v>
      </c>
      <c r="AH146" s="146" t="e">
        <f t="shared" si="510"/>
        <v>#REF!</v>
      </c>
      <c r="AI146" s="146" t="e">
        <f t="shared" si="508"/>
        <v>#REF!</v>
      </c>
      <c r="AJ146" s="320" t="e">
        <f t="shared" ref="AJ146:AO146" si="511">SUM(AJ149:AJ157)</f>
        <v>#REF!</v>
      </c>
      <c r="AK146" s="146" t="e">
        <f t="shared" si="511"/>
        <v>#REF!</v>
      </c>
      <c r="AL146" s="146" t="e">
        <f t="shared" si="511"/>
        <v>#REF!</v>
      </c>
      <c r="AM146" s="146" t="e">
        <f t="shared" si="511"/>
        <v>#REF!</v>
      </c>
      <c r="AN146" s="146" t="e">
        <f t="shared" si="511"/>
        <v>#REF!</v>
      </c>
      <c r="AO146" s="146" t="e">
        <f t="shared" si="511"/>
        <v>#REF!</v>
      </c>
      <c r="AP146" s="146" t="e">
        <f t="shared" si="508"/>
        <v>#REF!</v>
      </c>
      <c r="AQ146" s="320" t="e">
        <f t="shared" ref="AQ146:AV146" si="512">SUM(AQ149:AQ157)</f>
        <v>#REF!</v>
      </c>
      <c r="AR146" s="146" t="e">
        <f t="shared" si="512"/>
        <v>#REF!</v>
      </c>
      <c r="AS146" s="146" t="e">
        <f t="shared" si="512"/>
        <v>#REF!</v>
      </c>
      <c r="AT146" s="146" t="e">
        <f t="shared" si="512"/>
        <v>#REF!</v>
      </c>
      <c r="AU146" s="146" t="e">
        <f t="shared" si="512"/>
        <v>#REF!</v>
      </c>
      <c r="AV146" s="146" t="e">
        <f t="shared" si="512"/>
        <v>#REF!</v>
      </c>
      <c r="AW146" s="146" t="e">
        <f t="shared" si="508"/>
        <v>#REF!</v>
      </c>
      <c r="AX146" s="320" t="e">
        <f t="shared" si="508"/>
        <v>#REF!</v>
      </c>
      <c r="AY146" s="146" t="e">
        <f t="shared" ref="AY146:AZ146" si="513">SUM(AY149:AY157)</f>
        <v>#REF!</v>
      </c>
      <c r="AZ146" s="146" t="e">
        <f t="shared" si="513"/>
        <v>#REF!</v>
      </c>
      <c r="BA146" s="146" t="e">
        <f t="shared" ref="BA146:BC146" si="514">SUM(BA149:BA157)</f>
        <v>#REF!</v>
      </c>
      <c r="BB146" s="146" t="e">
        <f t="shared" si="514"/>
        <v>#REF!</v>
      </c>
      <c r="BC146" s="146" t="e">
        <f t="shared" si="514"/>
        <v>#REF!</v>
      </c>
      <c r="BD146" s="364" t="e">
        <f t="shared" ref="BD146:BJ146" si="515">SUM(BD149:BD157)</f>
        <v>#REF!</v>
      </c>
      <c r="BE146" s="320" t="e">
        <f t="shared" si="515"/>
        <v>#REF!</v>
      </c>
      <c r="BF146" s="146" t="e">
        <f t="shared" si="515"/>
        <v>#REF!</v>
      </c>
      <c r="BG146" s="146" t="e">
        <f t="shared" si="515"/>
        <v>#REF!</v>
      </c>
      <c r="BH146" s="146" t="e">
        <f t="shared" si="515"/>
        <v>#REF!</v>
      </c>
      <c r="BI146" s="146" t="e">
        <f t="shared" si="515"/>
        <v>#REF!</v>
      </c>
      <c r="BJ146" s="146" t="e">
        <f t="shared" si="515"/>
        <v>#REF!</v>
      </c>
      <c r="BK146" s="364" t="e">
        <f t="shared" ref="BK146" si="516">SUM(BK149:BK157)</f>
        <v>#REF!</v>
      </c>
      <c r="BL146" s="150" t="e">
        <f t="shared" ref="BL146:BR146" si="517">BL147*BL$5</f>
        <v>#REF!</v>
      </c>
      <c r="BM146" s="150" t="e">
        <f t="shared" si="517"/>
        <v>#REF!</v>
      </c>
      <c r="BN146" s="150" t="e">
        <f t="shared" si="517"/>
        <v>#REF!</v>
      </c>
      <c r="BO146" s="150" t="e">
        <f t="shared" si="517"/>
        <v>#REF!</v>
      </c>
      <c r="BP146" s="150" t="e">
        <f t="shared" si="517"/>
        <v>#REF!</v>
      </c>
      <c r="BQ146" s="150" t="e">
        <f t="shared" si="517"/>
        <v>#REF!</v>
      </c>
      <c r="BR146" s="150" t="e">
        <f t="shared" si="517"/>
        <v>#REF!</v>
      </c>
      <c r="BS146" s="124"/>
      <c r="BT146" s="128"/>
      <c r="BU146" s="124"/>
      <c r="BV146" s="124"/>
    </row>
    <row r="147" spans="1:91" ht="14.25" customHeight="1">
      <c r="A147" s="169"/>
      <c r="B147" s="1" t="s">
        <v>281</v>
      </c>
      <c r="C147" s="117"/>
      <c r="D147" s="2" t="e">
        <f t="shared" ref="D147:AX147" si="518">D146/D$5</f>
        <v>#REF!</v>
      </c>
      <c r="E147" s="2" t="e">
        <f t="shared" si="518"/>
        <v>#REF!</v>
      </c>
      <c r="F147" s="2" t="e">
        <f t="shared" si="518"/>
        <v>#REF!</v>
      </c>
      <c r="G147" s="2" t="e">
        <f t="shared" si="518"/>
        <v>#REF!</v>
      </c>
      <c r="H147" s="2" t="e">
        <f t="shared" si="518"/>
        <v>#REF!</v>
      </c>
      <c r="I147" s="2" t="e">
        <f t="shared" si="518"/>
        <v>#REF!</v>
      </c>
      <c r="J147" s="2" t="e">
        <f t="shared" si="518"/>
        <v>#REF!</v>
      </c>
      <c r="K147" s="2" t="e">
        <f t="shared" si="518"/>
        <v>#REF!</v>
      </c>
      <c r="L147" s="2" t="e">
        <f t="shared" si="518"/>
        <v>#REF!</v>
      </c>
      <c r="M147" s="2" t="e">
        <f t="shared" si="518"/>
        <v>#REF!</v>
      </c>
      <c r="N147" s="2" t="e">
        <f t="shared" si="518"/>
        <v>#REF!</v>
      </c>
      <c r="O147" s="2" t="e">
        <f t="shared" si="518"/>
        <v>#REF!</v>
      </c>
      <c r="P147" s="2" t="e">
        <f t="shared" si="518"/>
        <v>#REF!</v>
      </c>
      <c r="Q147" s="2" t="e">
        <f t="shared" si="518"/>
        <v>#REF!</v>
      </c>
      <c r="R147" s="2" t="e">
        <f t="shared" si="518"/>
        <v>#REF!</v>
      </c>
      <c r="S147" s="2" t="e">
        <f t="shared" si="518"/>
        <v>#REF!</v>
      </c>
      <c r="T147" s="2" t="e">
        <f t="shared" si="518"/>
        <v>#REF!</v>
      </c>
      <c r="U147" s="2" t="e">
        <f t="shared" si="518"/>
        <v>#REF!</v>
      </c>
      <c r="V147" s="343" t="e">
        <f t="shared" ref="V147:AA147" si="519">V146/V$5</f>
        <v>#REF!</v>
      </c>
      <c r="W147" s="2" t="e">
        <f t="shared" si="519"/>
        <v>#REF!</v>
      </c>
      <c r="X147" s="2" t="e">
        <f t="shared" si="519"/>
        <v>#REF!</v>
      </c>
      <c r="Y147" s="2" t="e">
        <f t="shared" si="519"/>
        <v>#REF!</v>
      </c>
      <c r="Z147" s="2" t="e">
        <f t="shared" si="519"/>
        <v>#REF!</v>
      </c>
      <c r="AA147" s="2" t="e">
        <f t="shared" si="519"/>
        <v>#REF!</v>
      </c>
      <c r="AB147" s="2" t="e">
        <f t="shared" si="518"/>
        <v>#REF!</v>
      </c>
      <c r="AC147" s="343" t="e">
        <f t="shared" ref="AC147:AH147" si="520">AC146/AC$5</f>
        <v>#REF!</v>
      </c>
      <c r="AD147" s="2" t="e">
        <f t="shared" si="520"/>
        <v>#REF!</v>
      </c>
      <c r="AE147" s="2" t="e">
        <f t="shared" si="520"/>
        <v>#REF!</v>
      </c>
      <c r="AF147" s="2" t="e">
        <f t="shared" si="520"/>
        <v>#REF!</v>
      </c>
      <c r="AG147" s="2" t="e">
        <f t="shared" si="520"/>
        <v>#REF!</v>
      </c>
      <c r="AH147" s="2" t="e">
        <f t="shared" si="520"/>
        <v>#REF!</v>
      </c>
      <c r="AI147" s="2" t="e">
        <f t="shared" si="518"/>
        <v>#REF!</v>
      </c>
      <c r="AJ147" s="343" t="e">
        <f t="shared" ref="AJ147:AO147" si="521">AJ146/AJ$5</f>
        <v>#REF!</v>
      </c>
      <c r="AK147" s="2" t="e">
        <f t="shared" si="521"/>
        <v>#REF!</v>
      </c>
      <c r="AL147" s="2" t="e">
        <f t="shared" si="521"/>
        <v>#REF!</v>
      </c>
      <c r="AM147" s="2" t="e">
        <f t="shared" si="521"/>
        <v>#REF!</v>
      </c>
      <c r="AN147" s="2" t="e">
        <f t="shared" si="521"/>
        <v>#REF!</v>
      </c>
      <c r="AO147" s="2" t="e">
        <f t="shared" si="521"/>
        <v>#REF!</v>
      </c>
      <c r="AP147" s="2" t="e">
        <f t="shared" si="518"/>
        <v>#REF!</v>
      </c>
      <c r="AQ147" s="343" t="e">
        <f t="shared" ref="AQ147:AV147" si="522">AQ146/AQ$5</f>
        <v>#REF!</v>
      </c>
      <c r="AR147" s="2" t="e">
        <f t="shared" si="522"/>
        <v>#REF!</v>
      </c>
      <c r="AS147" s="2" t="e">
        <f t="shared" si="522"/>
        <v>#REF!</v>
      </c>
      <c r="AT147" s="2" t="e">
        <f t="shared" si="522"/>
        <v>#REF!</v>
      </c>
      <c r="AU147" s="2" t="e">
        <f t="shared" si="522"/>
        <v>#REF!</v>
      </c>
      <c r="AV147" s="2" t="e">
        <f t="shared" si="522"/>
        <v>#REF!</v>
      </c>
      <c r="AW147" s="2" t="e">
        <f t="shared" si="518"/>
        <v>#REF!</v>
      </c>
      <c r="AX147" s="343" t="e">
        <f t="shared" si="518"/>
        <v>#REF!</v>
      </c>
      <c r="AY147" s="2" t="e">
        <f t="shared" ref="AY147:AZ147" si="523">AY146/AY$5</f>
        <v>#REF!</v>
      </c>
      <c r="AZ147" s="2" t="e">
        <f t="shared" si="523"/>
        <v>#REF!</v>
      </c>
      <c r="BA147" s="2" t="e">
        <f t="shared" ref="BA147:BC147" si="524">BA146/BA$5</f>
        <v>#REF!</v>
      </c>
      <c r="BB147" s="2" t="e">
        <f t="shared" si="524"/>
        <v>#REF!</v>
      </c>
      <c r="BC147" s="2" t="e">
        <f t="shared" si="524"/>
        <v>#REF!</v>
      </c>
      <c r="BD147" s="231" t="e">
        <f t="shared" ref="BD147:BJ147" si="525">BD146/BD$5</f>
        <v>#REF!</v>
      </c>
      <c r="BE147" s="343" t="e">
        <f t="shared" si="525"/>
        <v>#REF!</v>
      </c>
      <c r="BF147" s="2" t="e">
        <f t="shared" si="525"/>
        <v>#REF!</v>
      </c>
      <c r="BG147" s="2" t="e">
        <f t="shared" si="525"/>
        <v>#REF!</v>
      </c>
      <c r="BH147" s="2" t="e">
        <f t="shared" si="525"/>
        <v>#REF!</v>
      </c>
      <c r="BI147" s="2" t="e">
        <f t="shared" si="525"/>
        <v>#REF!</v>
      </c>
      <c r="BJ147" s="2" t="e">
        <f t="shared" si="525"/>
        <v>#REF!</v>
      </c>
      <c r="BK147" s="231" t="e">
        <f t="shared" ref="BK147" si="526">BK146/BK$5</f>
        <v>#REF!</v>
      </c>
      <c r="BL147" s="108" t="e">
        <f>BK147</f>
        <v>#REF!</v>
      </c>
      <c r="BM147" s="108" t="e">
        <f t="shared" si="506"/>
        <v>#REF!</v>
      </c>
      <c r="BN147" s="108" t="e">
        <f t="shared" si="506"/>
        <v>#REF!</v>
      </c>
      <c r="BO147" s="108" t="e">
        <f t="shared" si="506"/>
        <v>#REF!</v>
      </c>
      <c r="BP147" s="108" t="e">
        <f>BO147</f>
        <v>#REF!</v>
      </c>
      <c r="BQ147" s="108" t="e">
        <f>BP147</f>
        <v>#REF!</v>
      </c>
      <c r="BR147" s="108" t="e">
        <f>BQ147</f>
        <v>#REF!</v>
      </c>
      <c r="BS147" s="124"/>
      <c r="BT147" s="128"/>
      <c r="BU147" s="124"/>
      <c r="BV147" s="124"/>
    </row>
    <row r="148" spans="1:91">
      <c r="A148" s="111" t="s">
        <v>231</v>
      </c>
      <c r="B148" s="238" t="str">
        <f>TRIM(A148)</f>
        <v>应收票据</v>
      </c>
      <c r="D148" s="152" t="e">
        <f>INDEX(#REF!, MATCH($A148,#REF!, 0), MATCH(D$4,#REF!, 0))</f>
        <v>#REF!</v>
      </c>
      <c r="E148" s="152" t="e">
        <f>INDEX(#REF!, MATCH($A148,#REF!, 0), MATCH(E$4,#REF!, 0))</f>
        <v>#REF!</v>
      </c>
      <c r="F148" s="152" t="e">
        <f>INDEX(#REF!, MATCH($A148,#REF!, 0), MATCH(F$4,#REF!, 0))</f>
        <v>#REF!</v>
      </c>
      <c r="G148" s="152" t="e">
        <f>INDEX(#REF!, MATCH($A148,#REF!, 0), MATCH(G$4,#REF!, 0))</f>
        <v>#REF!</v>
      </c>
      <c r="H148" s="152" t="e">
        <f>INDEX(#REF!, MATCH($A148,#REF!, 0), MATCH(H$4,#REF!, 0))</f>
        <v>#REF!</v>
      </c>
      <c r="I148" s="152" t="e">
        <f>INDEX(#REF!, MATCH($A148,#REF!, 0), MATCH(I$4,#REF!, 0))</f>
        <v>#REF!</v>
      </c>
      <c r="J148" s="152" t="e">
        <f>INDEX(#REF!, MATCH($A148,#REF!, 0), MATCH(J$4,#REF!, 0))</f>
        <v>#REF!</v>
      </c>
      <c r="K148" s="152" t="e">
        <f>INDEX(#REF!, MATCH($A148,#REF!, 0), MATCH(K$4,#REF!, 0))</f>
        <v>#REF!</v>
      </c>
      <c r="L148" s="152" t="e">
        <f>INDEX(#REF!, MATCH($A148,#REF!, 0), MATCH(L$4,#REF!, 0))</f>
        <v>#REF!</v>
      </c>
      <c r="M148" s="152" t="e">
        <f>INDEX(#REF!, MATCH($A148,#REF!, 0), MATCH(M$4,#REF!, 0))</f>
        <v>#REF!</v>
      </c>
      <c r="N148" s="152" t="e">
        <f>INDEX(#REF!, MATCH($A148,#REF!, 0), MATCH(N$4,#REF!, 0))</f>
        <v>#REF!</v>
      </c>
      <c r="O148" s="152" t="e">
        <f>INDEX(#REF!, MATCH($A148,#REF!, 0), MATCH(O$4,#REF!, 0))</f>
        <v>#REF!</v>
      </c>
      <c r="P148" s="152" t="e">
        <f>INDEX(#REF!, MATCH($A148,#REF!, 0), MATCH(P$4,#REF!, 0))</f>
        <v>#REF!</v>
      </c>
      <c r="Q148" s="152" t="e">
        <f>INDEX(#REF!, MATCH($A148,#REF!, 0), MATCH(Q$4,#REF!, 0))</f>
        <v>#REF!</v>
      </c>
      <c r="R148" s="152" t="e">
        <f>INDEX(#REF!, MATCH($A148,#REF!, 0), MATCH(R$4,#REF!, 0))</f>
        <v>#REF!</v>
      </c>
      <c r="S148" s="152" t="e">
        <f>INDEX(#REF!, MATCH($A148,#REF!, 0), MATCH(S$4,#REF!, 0))</f>
        <v>#REF!</v>
      </c>
      <c r="T148" s="152" t="e">
        <f>INDEX(#REF!, MATCH($A148,#REF!, 0), MATCH(T$4,#REF!, 0))</f>
        <v>#REF!</v>
      </c>
      <c r="U148" s="152" t="e">
        <f>INDEX(#REF!, MATCH($A148,#REF!, 0), MATCH(U$4,#REF!, 0))</f>
        <v>#REF!</v>
      </c>
      <c r="V148" s="344" t="e">
        <f>INDEX(#REF!, MATCH($A148,#REF!, 0), MATCH(V$4,#REF!, 0))</f>
        <v>#REF!</v>
      </c>
      <c r="W148" s="153" t="e">
        <f>INDEX(#REF!, MATCH($A148,#REF!, 0), MATCH(W$4,#REF!, 0))</f>
        <v>#REF!</v>
      </c>
      <c r="X148" s="153" t="e">
        <f>INDEX(#REF!, MATCH($A148,#REF!, 0), MATCH(X$4,#REF!, 0))</f>
        <v>#REF!</v>
      </c>
      <c r="Y148" s="153" t="e">
        <f>INDEX(#REF!, MATCH($A148,#REF!, 0), MATCH(Y$4,#REF!, 0))</f>
        <v>#REF!</v>
      </c>
      <c r="Z148" s="153" t="e">
        <f>INDEX(#REF!, MATCH($A148,#REF!, 0), MATCH(Z$4,#REF!, 0))</f>
        <v>#REF!</v>
      </c>
      <c r="AA148" s="153" t="e">
        <f>INDEX(#REF!, MATCH($A148,#REF!, 0), MATCH(AA$4,#REF!, 0))</f>
        <v>#REF!</v>
      </c>
      <c r="AB148" s="152" t="e">
        <f>INDEX(#REF!, MATCH($A148,#REF!, 0), MATCH(AB$4,#REF!, 0))</f>
        <v>#REF!</v>
      </c>
      <c r="AC148" s="344" t="e">
        <f>INDEX(#REF!, MATCH($A148,#REF!, 0), MATCH(AC$4,#REF!, 0))</f>
        <v>#REF!</v>
      </c>
      <c r="AD148" s="153" t="e">
        <f>INDEX(#REF!, MATCH($A148,#REF!, 0), MATCH(AD$4,#REF!, 0))</f>
        <v>#REF!</v>
      </c>
      <c r="AE148" s="153" t="e">
        <f>INDEX(#REF!, MATCH($A148,#REF!, 0), MATCH(AE$4,#REF!, 0))</f>
        <v>#REF!</v>
      </c>
      <c r="AF148" s="153" t="e">
        <f>INDEX(#REF!, MATCH($A148,#REF!, 0), MATCH(AF$4,#REF!, 0))</f>
        <v>#REF!</v>
      </c>
      <c r="AG148" s="153" t="e">
        <f>INDEX(#REF!, MATCH($A148,#REF!, 0), MATCH(AG$4,#REF!, 0))</f>
        <v>#REF!</v>
      </c>
      <c r="AH148" s="153" t="e">
        <f>INDEX(#REF!, MATCH($A148,#REF!, 0), MATCH(AH$4,#REF!, 0))</f>
        <v>#REF!</v>
      </c>
      <c r="AI148" s="152" t="e">
        <f>INDEX(#REF!, MATCH($A148,#REF!, 0), MATCH(AI$4,#REF!, 0))</f>
        <v>#REF!</v>
      </c>
      <c r="AJ148" s="344" t="e">
        <f>INDEX(#REF!, MATCH($A148,#REF!, 0), MATCH(AJ$4,#REF!, 0))</f>
        <v>#REF!</v>
      </c>
      <c r="AK148" s="153" t="e">
        <f>INDEX(#REF!, MATCH($A148,#REF!, 0), MATCH(AK$4,#REF!, 0))</f>
        <v>#REF!</v>
      </c>
      <c r="AL148" s="153" t="e">
        <f>INDEX(#REF!, MATCH($A148,#REF!, 0), MATCH(AL$4,#REF!, 0))</f>
        <v>#REF!</v>
      </c>
      <c r="AM148" s="153" t="e">
        <f>INDEX(#REF!, MATCH($A148,#REF!, 0), MATCH(AM$4,#REF!, 0))</f>
        <v>#REF!</v>
      </c>
      <c r="AN148" s="153" t="e">
        <f>INDEX(#REF!, MATCH($A148,#REF!, 0), MATCH(AN$4,#REF!, 0))</f>
        <v>#REF!</v>
      </c>
      <c r="AO148" s="153" t="e">
        <f>INDEX(#REF!, MATCH($A148,#REF!, 0), MATCH(AO$4,#REF!, 0))</f>
        <v>#REF!</v>
      </c>
      <c r="AP148" s="153" t="e">
        <f>INDEX(#REF!, MATCH($A148,#REF!, 0), MATCH(AP$4,#REF!, 0))</f>
        <v>#REF!</v>
      </c>
      <c r="AQ148" s="344" t="e">
        <f>INDEX(#REF!, MATCH($A148,#REF!, 0), MATCH(AQ$4,#REF!, 0))</f>
        <v>#REF!</v>
      </c>
      <c r="AR148" s="153" t="e">
        <f>INDEX(#REF!, MATCH($A148,#REF!, 0), MATCH(AR$4,#REF!, 0))</f>
        <v>#REF!</v>
      </c>
      <c r="AS148" s="153" t="e">
        <f>INDEX(#REF!, MATCH($A148,#REF!, 0), MATCH(AS$4,#REF!, 0))</f>
        <v>#REF!</v>
      </c>
      <c r="AT148" s="153" t="e">
        <f>INDEX(#REF!, MATCH($A148,#REF!, 0), MATCH(AT$4,#REF!, 0))</f>
        <v>#REF!</v>
      </c>
      <c r="AU148" s="153" t="e">
        <f>INDEX(#REF!, MATCH($A148,#REF!, 0), MATCH(AU$4,#REF!, 0))</f>
        <v>#REF!</v>
      </c>
      <c r="AV148" s="153" t="e">
        <f>INDEX(#REF!, MATCH($A148,#REF!, 0), MATCH(AV$4,#REF!, 0))</f>
        <v>#REF!</v>
      </c>
      <c r="AW148" s="153" t="e">
        <f>INDEX(#REF!, MATCH($A148,#REF!, 0), MATCH(AW$4,#REF!, 0))</f>
        <v>#REF!</v>
      </c>
      <c r="AX148" s="344" t="e">
        <f>INDEX(#REF!, MATCH($A148,#REF!, 0), MATCH(AX$4,#REF!, 0))</f>
        <v>#REF!</v>
      </c>
      <c r="AY148" s="153" t="e">
        <f>INDEX(#REF!, MATCH($A148,#REF!, 0), MATCH(AY$4,#REF!, 0))</f>
        <v>#REF!</v>
      </c>
      <c r="AZ148" s="153" t="e">
        <f>INDEX(#REF!, MATCH($A148,#REF!, 0), MATCH(AZ$4,#REF!, 0))</f>
        <v>#REF!</v>
      </c>
      <c r="BA148" s="153" t="e">
        <f>INDEX(#REF!, MATCH($A148,#REF!, 0), MATCH(BA$4,#REF!, 0))</f>
        <v>#REF!</v>
      </c>
      <c r="BB148" s="153" t="e">
        <f>INDEX(#REF!, MATCH($A148,#REF!, 0), MATCH(BB$4,#REF!, 0))</f>
        <v>#REF!</v>
      </c>
      <c r="BC148" s="153" t="e">
        <f>INDEX(#REF!, MATCH($A148,#REF!, 0), MATCH(BC$4,#REF!, 0))</f>
        <v>#REF!</v>
      </c>
      <c r="BD148" s="386" t="e">
        <f>INDEX(#REF!, MATCH($A148,#REF!, 0), MATCH(BD$4,#REF!, 0))</f>
        <v>#REF!</v>
      </c>
      <c r="BE148" s="344" t="e">
        <f>INDEX(#REF!, MATCH($A148,#REF!, 0), MATCH(BE$4,#REF!, 0))</f>
        <v>#REF!</v>
      </c>
      <c r="BF148" s="153" t="e">
        <f>INDEX(#REF!, MATCH($A148,#REF!, 0), MATCH(BF$4,#REF!, 0))</f>
        <v>#REF!</v>
      </c>
      <c r="BG148" s="153" t="e">
        <f>INDEX(#REF!, MATCH($A148,#REF!, 0), MATCH(BG$4,#REF!, 0))</f>
        <v>#REF!</v>
      </c>
      <c r="BH148" s="153" t="e">
        <f>INDEX(#REF!, MATCH($A148,#REF!, 0), MATCH(BH$4,#REF!, 0))</f>
        <v>#REF!</v>
      </c>
      <c r="BI148" s="153" t="e">
        <f>INDEX(#REF!, MATCH($A148,#REF!, 0), MATCH(BI$4,#REF!, 0))</f>
        <v>#REF!</v>
      </c>
      <c r="BJ148" s="153" t="e">
        <f>INDEX(#REF!, MATCH($A148,#REF!, 0), MATCH(BJ$4,#REF!, 0))</f>
        <v>#REF!</v>
      </c>
      <c r="BK148" s="386" t="e">
        <f>INDEX(#REF!, MATCH($A148,#REF!, 0), MATCH(BK$4,#REF!, 0))</f>
        <v>#REF!</v>
      </c>
    </row>
    <row r="149" spans="1:91">
      <c r="A149" s="111" t="s">
        <v>232</v>
      </c>
      <c r="B149" s="238" t="str">
        <f t="shared" ref="B149:B157" si="527">TRIM(A149)</f>
        <v>应收账款</v>
      </c>
      <c r="D149" s="152" t="e">
        <f>INDEX(#REF!, MATCH($A149,#REF!, 0), MATCH(D$4,#REF!, 0))</f>
        <v>#REF!</v>
      </c>
      <c r="E149" s="152" t="e">
        <f>INDEX(#REF!, MATCH($A149,#REF!, 0), MATCH(E$4,#REF!, 0))</f>
        <v>#REF!</v>
      </c>
      <c r="F149" s="152" t="e">
        <f>INDEX(#REF!, MATCH($A149,#REF!, 0), MATCH(F$4,#REF!, 0))</f>
        <v>#REF!</v>
      </c>
      <c r="G149" s="152" t="e">
        <f>INDEX(#REF!, MATCH($A149,#REF!, 0), MATCH(G$4,#REF!, 0))</f>
        <v>#REF!</v>
      </c>
      <c r="H149" s="152" t="e">
        <f>INDEX(#REF!, MATCH($A149,#REF!, 0), MATCH(H$4,#REF!, 0))</f>
        <v>#REF!</v>
      </c>
      <c r="I149" s="152" t="e">
        <f>INDEX(#REF!, MATCH($A149,#REF!, 0), MATCH(I$4,#REF!, 0))</f>
        <v>#REF!</v>
      </c>
      <c r="J149" s="152" t="e">
        <f>INDEX(#REF!, MATCH($A149,#REF!, 0), MATCH(J$4,#REF!, 0))</f>
        <v>#REF!</v>
      </c>
      <c r="K149" s="152" t="e">
        <f>INDEX(#REF!, MATCH($A149,#REF!, 0), MATCH(K$4,#REF!, 0))</f>
        <v>#REF!</v>
      </c>
      <c r="L149" s="152" t="e">
        <f>INDEX(#REF!, MATCH($A149,#REF!, 0), MATCH(L$4,#REF!, 0))</f>
        <v>#REF!</v>
      </c>
      <c r="M149" s="152" t="e">
        <f>INDEX(#REF!, MATCH($A149,#REF!, 0), MATCH(M$4,#REF!, 0))</f>
        <v>#REF!</v>
      </c>
      <c r="N149" s="152" t="e">
        <f>INDEX(#REF!, MATCH($A149,#REF!, 0), MATCH(N$4,#REF!, 0))</f>
        <v>#REF!</v>
      </c>
      <c r="O149" s="152" t="e">
        <f>INDEX(#REF!, MATCH($A149,#REF!, 0), MATCH(O$4,#REF!, 0))</f>
        <v>#REF!</v>
      </c>
      <c r="P149" s="152" t="e">
        <f>INDEX(#REF!, MATCH($A149,#REF!, 0), MATCH(P$4,#REF!, 0))</f>
        <v>#REF!</v>
      </c>
      <c r="Q149" s="152" t="e">
        <f>INDEX(#REF!, MATCH($A149,#REF!, 0), MATCH(Q$4,#REF!, 0))</f>
        <v>#REF!</v>
      </c>
      <c r="R149" s="152" t="e">
        <f>INDEX(#REF!, MATCH($A149,#REF!, 0), MATCH(R$4,#REF!, 0))</f>
        <v>#REF!</v>
      </c>
      <c r="S149" s="152" t="e">
        <f>INDEX(#REF!, MATCH($A149,#REF!, 0), MATCH(S$4,#REF!, 0))</f>
        <v>#REF!</v>
      </c>
      <c r="T149" s="152" t="e">
        <f>INDEX(#REF!, MATCH($A149,#REF!, 0), MATCH(T$4,#REF!, 0))</f>
        <v>#REF!</v>
      </c>
      <c r="U149" s="152" t="e">
        <f>INDEX(#REF!, MATCH($A149,#REF!, 0), MATCH(U$4,#REF!, 0))</f>
        <v>#REF!</v>
      </c>
      <c r="V149" s="344" t="e">
        <f>INDEX(#REF!, MATCH($A149,#REF!, 0), MATCH(V$4,#REF!, 0))</f>
        <v>#REF!</v>
      </c>
      <c r="W149" s="153" t="e">
        <f>INDEX(#REF!, MATCH($A149,#REF!, 0), MATCH(W$4,#REF!, 0))</f>
        <v>#REF!</v>
      </c>
      <c r="X149" s="153" t="e">
        <f>INDEX(#REF!, MATCH($A149,#REF!, 0), MATCH(X$4,#REF!, 0))</f>
        <v>#REF!</v>
      </c>
      <c r="Y149" s="153" t="e">
        <f>INDEX(#REF!, MATCH($A149,#REF!, 0), MATCH(Y$4,#REF!, 0))</f>
        <v>#REF!</v>
      </c>
      <c r="Z149" s="153" t="e">
        <f>INDEX(#REF!, MATCH($A149,#REF!, 0), MATCH(Z$4,#REF!, 0))</f>
        <v>#REF!</v>
      </c>
      <c r="AA149" s="153" t="e">
        <f>INDEX(#REF!, MATCH($A149,#REF!, 0), MATCH(AA$4,#REF!, 0))</f>
        <v>#REF!</v>
      </c>
      <c r="AB149" s="152" t="e">
        <f>INDEX(#REF!, MATCH($A149,#REF!, 0), MATCH(AB$4,#REF!, 0))</f>
        <v>#REF!</v>
      </c>
      <c r="AC149" s="344" t="e">
        <f>INDEX(#REF!, MATCH($A149,#REF!, 0), MATCH(AC$4,#REF!, 0))</f>
        <v>#REF!</v>
      </c>
      <c r="AD149" s="153" t="e">
        <f>INDEX(#REF!, MATCH($A149,#REF!, 0), MATCH(AD$4,#REF!, 0))</f>
        <v>#REF!</v>
      </c>
      <c r="AE149" s="153" t="e">
        <f>INDEX(#REF!, MATCH($A149,#REF!, 0), MATCH(AE$4,#REF!, 0))</f>
        <v>#REF!</v>
      </c>
      <c r="AF149" s="153" t="e">
        <f>INDEX(#REF!, MATCH($A149,#REF!, 0), MATCH(AF$4,#REF!, 0))</f>
        <v>#REF!</v>
      </c>
      <c r="AG149" s="153" t="e">
        <f>INDEX(#REF!, MATCH($A149,#REF!, 0), MATCH(AG$4,#REF!, 0))</f>
        <v>#REF!</v>
      </c>
      <c r="AH149" s="153" t="e">
        <f>INDEX(#REF!, MATCH($A149,#REF!, 0), MATCH(AH$4,#REF!, 0))</f>
        <v>#REF!</v>
      </c>
      <c r="AI149" s="152" t="e">
        <f>INDEX(#REF!, MATCH($A149,#REF!, 0), MATCH(AI$4,#REF!, 0))</f>
        <v>#REF!</v>
      </c>
      <c r="AJ149" s="344" t="e">
        <f>INDEX(#REF!, MATCH($A149,#REF!, 0), MATCH(AJ$4,#REF!, 0))</f>
        <v>#REF!</v>
      </c>
      <c r="AK149" s="153" t="e">
        <f>INDEX(#REF!, MATCH($A149,#REF!, 0), MATCH(AK$4,#REF!, 0))</f>
        <v>#REF!</v>
      </c>
      <c r="AL149" s="153" t="e">
        <f>INDEX(#REF!, MATCH($A149,#REF!, 0), MATCH(AL$4,#REF!, 0))</f>
        <v>#REF!</v>
      </c>
      <c r="AM149" s="153" t="e">
        <f>INDEX(#REF!, MATCH($A149,#REF!, 0), MATCH(AM$4,#REF!, 0))</f>
        <v>#REF!</v>
      </c>
      <c r="AN149" s="153" t="e">
        <f>INDEX(#REF!, MATCH($A149,#REF!, 0), MATCH(AN$4,#REF!, 0))</f>
        <v>#REF!</v>
      </c>
      <c r="AO149" s="153" t="e">
        <f>INDEX(#REF!, MATCH($A149,#REF!, 0), MATCH(AO$4,#REF!, 0))</f>
        <v>#REF!</v>
      </c>
      <c r="AP149" s="153" t="e">
        <f>INDEX(#REF!, MATCH($A149,#REF!, 0), MATCH(AP$4,#REF!, 0))</f>
        <v>#REF!</v>
      </c>
      <c r="AQ149" s="344" t="e">
        <f>INDEX(#REF!, MATCH($A149,#REF!, 0), MATCH(AQ$4,#REF!, 0))</f>
        <v>#REF!</v>
      </c>
      <c r="AR149" s="153" t="e">
        <f>INDEX(#REF!, MATCH($A149,#REF!, 0), MATCH(AR$4,#REF!, 0))</f>
        <v>#REF!</v>
      </c>
      <c r="AS149" s="153" t="e">
        <f>INDEX(#REF!, MATCH($A149,#REF!, 0), MATCH(AS$4,#REF!, 0))</f>
        <v>#REF!</v>
      </c>
      <c r="AT149" s="153" t="e">
        <f>INDEX(#REF!, MATCH($A149,#REF!, 0), MATCH(AT$4,#REF!, 0))</f>
        <v>#REF!</v>
      </c>
      <c r="AU149" s="153" t="e">
        <f>INDEX(#REF!, MATCH($A149,#REF!, 0), MATCH(AU$4,#REF!, 0))</f>
        <v>#REF!</v>
      </c>
      <c r="AV149" s="153" t="e">
        <f>INDEX(#REF!, MATCH($A149,#REF!, 0), MATCH(AV$4,#REF!, 0))</f>
        <v>#REF!</v>
      </c>
      <c r="AW149" s="153" t="e">
        <f>INDEX(#REF!, MATCH($A149,#REF!, 0), MATCH(AW$4,#REF!, 0))</f>
        <v>#REF!</v>
      </c>
      <c r="AX149" s="344" t="e">
        <f>INDEX(#REF!, MATCH($A149,#REF!, 0), MATCH(AX$4,#REF!, 0))</f>
        <v>#REF!</v>
      </c>
      <c r="AY149" s="153" t="e">
        <f>INDEX(#REF!, MATCH($A149,#REF!, 0), MATCH(AY$4,#REF!, 0))</f>
        <v>#REF!</v>
      </c>
      <c r="AZ149" s="153" t="e">
        <f>INDEX(#REF!, MATCH($A149,#REF!, 0), MATCH(AZ$4,#REF!, 0))</f>
        <v>#REF!</v>
      </c>
      <c r="BA149" s="153" t="e">
        <f>INDEX(#REF!, MATCH($A149,#REF!, 0), MATCH(BA$4,#REF!, 0))</f>
        <v>#REF!</v>
      </c>
      <c r="BB149" s="153" t="e">
        <f>INDEX(#REF!, MATCH($A149,#REF!, 0), MATCH(BB$4,#REF!, 0))</f>
        <v>#REF!</v>
      </c>
      <c r="BC149" s="153" t="e">
        <f>INDEX(#REF!, MATCH($A149,#REF!, 0), MATCH(BC$4,#REF!, 0))</f>
        <v>#REF!</v>
      </c>
      <c r="BD149" s="386" t="e">
        <f>INDEX(#REF!, MATCH($A149,#REF!, 0), MATCH(BD$4,#REF!, 0))</f>
        <v>#REF!</v>
      </c>
      <c r="BE149" s="344" t="e">
        <f>INDEX(#REF!, MATCH($A149,#REF!, 0), MATCH(BE$4,#REF!, 0))</f>
        <v>#REF!</v>
      </c>
      <c r="BF149" s="153" t="e">
        <f>INDEX(#REF!, MATCH($A149,#REF!, 0), MATCH(BF$4,#REF!, 0))</f>
        <v>#REF!</v>
      </c>
      <c r="BG149" s="153" t="e">
        <f>INDEX(#REF!, MATCH($A149,#REF!, 0), MATCH(BG$4,#REF!, 0))</f>
        <v>#REF!</v>
      </c>
      <c r="BH149" s="153" t="e">
        <f>INDEX(#REF!, MATCH($A149,#REF!, 0), MATCH(BH$4,#REF!, 0))</f>
        <v>#REF!</v>
      </c>
      <c r="BI149" s="153" t="e">
        <f>INDEX(#REF!, MATCH($A149,#REF!, 0), MATCH(BI$4,#REF!, 0))</f>
        <v>#REF!</v>
      </c>
      <c r="BJ149" s="153" t="e">
        <f>INDEX(#REF!, MATCH($A149,#REF!, 0), MATCH(BJ$4,#REF!, 0))</f>
        <v>#REF!</v>
      </c>
      <c r="BK149" s="386" t="e">
        <f>INDEX(#REF!, MATCH($A149,#REF!, 0), MATCH(BK$4,#REF!, 0))</f>
        <v>#REF!</v>
      </c>
    </row>
    <row r="150" spans="1:91" ht="12.4" customHeight="1">
      <c r="A150" s="111" t="s">
        <v>173</v>
      </c>
      <c r="B150" s="238" t="str">
        <f t="shared" si="527"/>
        <v>预付款项</v>
      </c>
      <c r="D150" s="152" t="e">
        <f>INDEX(#REF!, MATCH($A150,#REF!, 0), MATCH(D$4,#REF!, 0))</f>
        <v>#REF!</v>
      </c>
      <c r="E150" s="152" t="e">
        <f>INDEX(#REF!, MATCH($A150,#REF!, 0), MATCH(E$4,#REF!, 0))</f>
        <v>#REF!</v>
      </c>
      <c r="F150" s="152" t="e">
        <f>INDEX(#REF!, MATCH($A150,#REF!, 0), MATCH(F$4,#REF!, 0))</f>
        <v>#REF!</v>
      </c>
      <c r="G150" s="152" t="e">
        <f>INDEX(#REF!, MATCH($A150,#REF!, 0), MATCH(G$4,#REF!, 0))</f>
        <v>#REF!</v>
      </c>
      <c r="H150" s="152" t="e">
        <f>INDEX(#REF!, MATCH($A150,#REF!, 0), MATCH(H$4,#REF!, 0))</f>
        <v>#REF!</v>
      </c>
      <c r="I150" s="152" t="e">
        <f>INDEX(#REF!, MATCH($A150,#REF!, 0), MATCH(I$4,#REF!, 0))</f>
        <v>#REF!</v>
      </c>
      <c r="J150" s="152" t="e">
        <f>INDEX(#REF!, MATCH($A150,#REF!, 0), MATCH(J$4,#REF!, 0))</f>
        <v>#REF!</v>
      </c>
      <c r="K150" s="152" t="e">
        <f>INDEX(#REF!, MATCH($A150,#REF!, 0), MATCH(K$4,#REF!, 0))</f>
        <v>#REF!</v>
      </c>
      <c r="L150" s="152" t="e">
        <f>INDEX(#REF!, MATCH($A150,#REF!, 0), MATCH(L$4,#REF!, 0))</f>
        <v>#REF!</v>
      </c>
      <c r="M150" s="152" t="e">
        <f>INDEX(#REF!, MATCH($A150,#REF!, 0), MATCH(M$4,#REF!, 0))</f>
        <v>#REF!</v>
      </c>
      <c r="N150" s="152" t="e">
        <f>INDEX(#REF!, MATCH($A150,#REF!, 0), MATCH(N$4,#REF!, 0))</f>
        <v>#REF!</v>
      </c>
      <c r="O150" s="152" t="e">
        <f>INDEX(#REF!, MATCH($A150,#REF!, 0), MATCH(O$4,#REF!, 0))</f>
        <v>#REF!</v>
      </c>
      <c r="P150" s="152" t="e">
        <f>INDEX(#REF!, MATCH($A150,#REF!, 0), MATCH(P$4,#REF!, 0))</f>
        <v>#REF!</v>
      </c>
      <c r="Q150" s="152" t="e">
        <f>INDEX(#REF!, MATCH($A150,#REF!, 0), MATCH(Q$4,#REF!, 0))</f>
        <v>#REF!</v>
      </c>
      <c r="R150" s="152" t="e">
        <f>INDEX(#REF!, MATCH($A150,#REF!, 0), MATCH(R$4,#REF!, 0))</f>
        <v>#REF!</v>
      </c>
      <c r="S150" s="152" t="e">
        <f>INDEX(#REF!, MATCH($A150,#REF!, 0), MATCH(S$4,#REF!, 0))</f>
        <v>#REF!</v>
      </c>
      <c r="T150" s="152" t="e">
        <f>INDEX(#REF!, MATCH($A150,#REF!, 0), MATCH(T$4,#REF!, 0))</f>
        <v>#REF!</v>
      </c>
      <c r="U150" s="152" t="e">
        <f>INDEX(#REF!, MATCH($A150,#REF!, 0), MATCH(U$4,#REF!, 0))</f>
        <v>#REF!</v>
      </c>
      <c r="V150" s="344" t="e">
        <f>INDEX(#REF!, MATCH($A150,#REF!, 0), MATCH(V$4,#REF!, 0))</f>
        <v>#REF!</v>
      </c>
      <c r="W150" s="153" t="e">
        <f>INDEX(#REF!, MATCH($A150,#REF!, 0), MATCH(W$4,#REF!, 0))</f>
        <v>#REF!</v>
      </c>
      <c r="X150" s="153" t="e">
        <f>INDEX(#REF!, MATCH($A150,#REF!, 0), MATCH(X$4,#REF!, 0))</f>
        <v>#REF!</v>
      </c>
      <c r="Y150" s="153" t="e">
        <f>INDEX(#REF!, MATCH($A150,#REF!, 0), MATCH(Y$4,#REF!, 0))</f>
        <v>#REF!</v>
      </c>
      <c r="Z150" s="153" t="e">
        <f>INDEX(#REF!, MATCH($A150,#REF!, 0), MATCH(Z$4,#REF!, 0))</f>
        <v>#REF!</v>
      </c>
      <c r="AA150" s="153" t="e">
        <f>INDEX(#REF!, MATCH($A150,#REF!, 0), MATCH(AA$4,#REF!, 0))</f>
        <v>#REF!</v>
      </c>
      <c r="AB150" s="152" t="e">
        <f>INDEX(#REF!, MATCH($A150,#REF!, 0), MATCH(AB$4,#REF!, 0))</f>
        <v>#REF!</v>
      </c>
      <c r="AC150" s="344" t="e">
        <f>INDEX(#REF!, MATCH($A150,#REF!, 0), MATCH(AC$4,#REF!, 0))</f>
        <v>#REF!</v>
      </c>
      <c r="AD150" s="153" t="e">
        <f>INDEX(#REF!, MATCH($A150,#REF!, 0), MATCH(AD$4,#REF!, 0))</f>
        <v>#REF!</v>
      </c>
      <c r="AE150" s="153" t="e">
        <f>INDEX(#REF!, MATCH($A150,#REF!, 0), MATCH(AE$4,#REF!, 0))</f>
        <v>#REF!</v>
      </c>
      <c r="AF150" s="153" t="e">
        <f>INDEX(#REF!, MATCH($A150,#REF!, 0), MATCH(AF$4,#REF!, 0))</f>
        <v>#REF!</v>
      </c>
      <c r="AG150" s="153" t="e">
        <f>INDEX(#REF!, MATCH($A150,#REF!, 0), MATCH(AG$4,#REF!, 0))</f>
        <v>#REF!</v>
      </c>
      <c r="AH150" s="153" t="e">
        <f>INDEX(#REF!, MATCH($A150,#REF!, 0), MATCH(AH$4,#REF!, 0))</f>
        <v>#REF!</v>
      </c>
      <c r="AI150" s="152" t="e">
        <f>INDEX(#REF!, MATCH($A150,#REF!, 0), MATCH(AI$4,#REF!, 0))</f>
        <v>#REF!</v>
      </c>
      <c r="AJ150" s="344" t="e">
        <f>INDEX(#REF!, MATCH($A150,#REF!, 0), MATCH(AJ$4,#REF!, 0))</f>
        <v>#REF!</v>
      </c>
      <c r="AK150" s="153" t="e">
        <f>INDEX(#REF!, MATCH($A150,#REF!, 0), MATCH(AK$4,#REF!, 0))</f>
        <v>#REF!</v>
      </c>
      <c r="AL150" s="153" t="e">
        <f>INDEX(#REF!, MATCH($A150,#REF!, 0), MATCH(AL$4,#REF!, 0))</f>
        <v>#REF!</v>
      </c>
      <c r="AM150" s="153" t="e">
        <f>INDEX(#REF!, MATCH($A150,#REF!, 0), MATCH(AM$4,#REF!, 0))</f>
        <v>#REF!</v>
      </c>
      <c r="AN150" s="153" t="e">
        <f>INDEX(#REF!, MATCH($A150,#REF!, 0), MATCH(AN$4,#REF!, 0))</f>
        <v>#REF!</v>
      </c>
      <c r="AO150" s="153" t="e">
        <f>INDEX(#REF!, MATCH($A150,#REF!, 0), MATCH(AO$4,#REF!, 0))</f>
        <v>#REF!</v>
      </c>
      <c r="AP150" s="153" t="e">
        <f>INDEX(#REF!, MATCH($A150,#REF!, 0), MATCH(AP$4,#REF!, 0))</f>
        <v>#REF!</v>
      </c>
      <c r="AQ150" s="344" t="e">
        <f>INDEX(#REF!, MATCH($A150,#REF!, 0), MATCH(AQ$4,#REF!, 0))</f>
        <v>#REF!</v>
      </c>
      <c r="AR150" s="153" t="e">
        <f>INDEX(#REF!, MATCH($A150,#REF!, 0), MATCH(AR$4,#REF!, 0))</f>
        <v>#REF!</v>
      </c>
      <c r="AS150" s="153" t="e">
        <f>INDEX(#REF!, MATCH($A150,#REF!, 0), MATCH(AS$4,#REF!, 0))</f>
        <v>#REF!</v>
      </c>
      <c r="AT150" s="153" t="e">
        <f>INDEX(#REF!, MATCH($A150,#REF!, 0), MATCH(AT$4,#REF!, 0))</f>
        <v>#REF!</v>
      </c>
      <c r="AU150" s="153" t="e">
        <f>INDEX(#REF!, MATCH($A150,#REF!, 0), MATCH(AU$4,#REF!, 0))</f>
        <v>#REF!</v>
      </c>
      <c r="AV150" s="153" t="e">
        <f>INDEX(#REF!, MATCH($A150,#REF!, 0), MATCH(AV$4,#REF!, 0))</f>
        <v>#REF!</v>
      </c>
      <c r="AW150" s="153" t="e">
        <f>INDEX(#REF!, MATCH($A150,#REF!, 0), MATCH(AW$4,#REF!, 0))</f>
        <v>#REF!</v>
      </c>
      <c r="AX150" s="344" t="e">
        <f>INDEX(#REF!, MATCH($A150,#REF!, 0), MATCH(AX$4,#REF!, 0))</f>
        <v>#REF!</v>
      </c>
      <c r="AY150" s="153" t="e">
        <f>INDEX(#REF!, MATCH($A150,#REF!, 0), MATCH(AY$4,#REF!, 0))</f>
        <v>#REF!</v>
      </c>
      <c r="AZ150" s="153" t="e">
        <f>INDEX(#REF!, MATCH($A150,#REF!, 0), MATCH(AZ$4,#REF!, 0))</f>
        <v>#REF!</v>
      </c>
      <c r="BA150" s="153" t="e">
        <f>INDEX(#REF!, MATCH($A150,#REF!, 0), MATCH(BA$4,#REF!, 0))</f>
        <v>#REF!</v>
      </c>
      <c r="BB150" s="153" t="e">
        <f>INDEX(#REF!, MATCH($A150,#REF!, 0), MATCH(BB$4,#REF!, 0))</f>
        <v>#REF!</v>
      </c>
      <c r="BC150" s="153" t="e">
        <f>INDEX(#REF!, MATCH($A150,#REF!, 0), MATCH(BC$4,#REF!, 0))</f>
        <v>#REF!</v>
      </c>
      <c r="BD150" s="386" t="e">
        <f>INDEX(#REF!, MATCH($A150,#REF!, 0), MATCH(BD$4,#REF!, 0))</f>
        <v>#REF!</v>
      </c>
      <c r="BE150" s="344" t="e">
        <f>INDEX(#REF!, MATCH($A150,#REF!, 0), MATCH(BE$4,#REF!, 0))</f>
        <v>#REF!</v>
      </c>
      <c r="BF150" s="153" t="e">
        <f>INDEX(#REF!, MATCH($A150,#REF!, 0), MATCH(BF$4,#REF!, 0))</f>
        <v>#REF!</v>
      </c>
      <c r="BG150" s="153" t="e">
        <f>INDEX(#REF!, MATCH($A150,#REF!, 0), MATCH(BG$4,#REF!, 0))</f>
        <v>#REF!</v>
      </c>
      <c r="BH150" s="153" t="e">
        <f>INDEX(#REF!, MATCH($A150,#REF!, 0), MATCH(BH$4,#REF!, 0))</f>
        <v>#REF!</v>
      </c>
      <c r="BI150" s="153" t="e">
        <f>INDEX(#REF!, MATCH($A150,#REF!, 0), MATCH(BI$4,#REF!, 0))</f>
        <v>#REF!</v>
      </c>
      <c r="BJ150" s="153" t="e">
        <f>INDEX(#REF!, MATCH($A150,#REF!, 0), MATCH(BJ$4,#REF!, 0))</f>
        <v>#REF!</v>
      </c>
      <c r="BK150" s="386" t="e">
        <f>INDEX(#REF!, MATCH($A150,#REF!, 0), MATCH(BK$4,#REF!, 0))</f>
        <v>#REF!</v>
      </c>
    </row>
    <row r="151" spans="1:91">
      <c r="A151" s="111" t="s">
        <v>233</v>
      </c>
      <c r="B151" s="238" t="str">
        <f t="shared" si="527"/>
        <v>应收保费</v>
      </c>
      <c r="D151" s="152" t="e">
        <f>INDEX(#REF!, MATCH($A151,#REF!, 0), MATCH(D$4,#REF!, 0))</f>
        <v>#REF!</v>
      </c>
      <c r="E151" s="152" t="e">
        <f>INDEX(#REF!, MATCH($A151,#REF!, 0), MATCH(E$4,#REF!, 0))</f>
        <v>#REF!</v>
      </c>
      <c r="F151" s="152" t="e">
        <f>INDEX(#REF!, MATCH($A151,#REF!, 0), MATCH(F$4,#REF!, 0))</f>
        <v>#REF!</v>
      </c>
      <c r="G151" s="152" t="e">
        <f>INDEX(#REF!, MATCH($A151,#REF!, 0), MATCH(G$4,#REF!, 0))</f>
        <v>#REF!</v>
      </c>
      <c r="H151" s="152" t="e">
        <f>INDEX(#REF!, MATCH($A151,#REF!, 0), MATCH(H$4,#REF!, 0))</f>
        <v>#REF!</v>
      </c>
      <c r="I151" s="152" t="e">
        <f>INDEX(#REF!, MATCH($A151,#REF!, 0), MATCH(I$4,#REF!, 0))</f>
        <v>#REF!</v>
      </c>
      <c r="J151" s="152" t="e">
        <f>INDEX(#REF!, MATCH($A151,#REF!, 0), MATCH(J$4,#REF!, 0))</f>
        <v>#REF!</v>
      </c>
      <c r="K151" s="152" t="e">
        <f>INDEX(#REF!, MATCH($A151,#REF!, 0), MATCH(K$4,#REF!, 0))</f>
        <v>#REF!</v>
      </c>
      <c r="L151" s="152" t="e">
        <f>INDEX(#REF!, MATCH($A151,#REF!, 0), MATCH(L$4,#REF!, 0))</f>
        <v>#REF!</v>
      </c>
      <c r="M151" s="152" t="e">
        <f>INDEX(#REF!, MATCH($A151,#REF!, 0), MATCH(M$4,#REF!, 0))</f>
        <v>#REF!</v>
      </c>
      <c r="N151" s="152" t="e">
        <f>INDEX(#REF!, MATCH($A151,#REF!, 0), MATCH(N$4,#REF!, 0))</f>
        <v>#REF!</v>
      </c>
      <c r="O151" s="152" t="e">
        <f>INDEX(#REF!, MATCH($A151,#REF!, 0), MATCH(O$4,#REF!, 0))</f>
        <v>#REF!</v>
      </c>
      <c r="P151" s="152" t="e">
        <f>INDEX(#REF!, MATCH($A151,#REF!, 0), MATCH(P$4,#REF!, 0))</f>
        <v>#REF!</v>
      </c>
      <c r="Q151" s="152" t="e">
        <f>INDEX(#REF!, MATCH($A151,#REF!, 0), MATCH(Q$4,#REF!, 0))</f>
        <v>#REF!</v>
      </c>
      <c r="R151" s="152" t="e">
        <f>INDEX(#REF!, MATCH($A151,#REF!, 0), MATCH(R$4,#REF!, 0))</f>
        <v>#REF!</v>
      </c>
      <c r="S151" s="152" t="e">
        <f>INDEX(#REF!, MATCH($A151,#REF!, 0), MATCH(S$4,#REF!, 0))</f>
        <v>#REF!</v>
      </c>
      <c r="T151" s="152" t="e">
        <f>INDEX(#REF!, MATCH($A151,#REF!, 0), MATCH(T$4,#REF!, 0))</f>
        <v>#REF!</v>
      </c>
      <c r="U151" s="152" t="e">
        <f>INDEX(#REF!, MATCH($A151,#REF!, 0), MATCH(U$4,#REF!, 0))</f>
        <v>#REF!</v>
      </c>
      <c r="V151" s="344" t="e">
        <f>INDEX(#REF!, MATCH($A151,#REF!, 0), MATCH(V$4,#REF!, 0))</f>
        <v>#REF!</v>
      </c>
      <c r="W151" s="153" t="e">
        <f>INDEX(#REF!, MATCH($A151,#REF!, 0), MATCH(W$4,#REF!, 0))</f>
        <v>#REF!</v>
      </c>
      <c r="X151" s="153" t="e">
        <f>INDEX(#REF!, MATCH($A151,#REF!, 0), MATCH(X$4,#REF!, 0))</f>
        <v>#REF!</v>
      </c>
      <c r="Y151" s="153" t="e">
        <f>INDEX(#REF!, MATCH($A151,#REF!, 0), MATCH(Y$4,#REF!, 0))</f>
        <v>#REF!</v>
      </c>
      <c r="Z151" s="153" t="e">
        <f>INDEX(#REF!, MATCH($A151,#REF!, 0), MATCH(Z$4,#REF!, 0))</f>
        <v>#REF!</v>
      </c>
      <c r="AA151" s="153" t="e">
        <f>INDEX(#REF!, MATCH($A151,#REF!, 0), MATCH(AA$4,#REF!, 0))</f>
        <v>#REF!</v>
      </c>
      <c r="AB151" s="152" t="e">
        <f>INDEX(#REF!, MATCH($A151,#REF!, 0), MATCH(AB$4,#REF!, 0))</f>
        <v>#REF!</v>
      </c>
      <c r="AC151" s="344" t="e">
        <f>INDEX(#REF!, MATCH($A151,#REF!, 0), MATCH(AC$4,#REF!, 0))</f>
        <v>#REF!</v>
      </c>
      <c r="AD151" s="153" t="e">
        <f>INDEX(#REF!, MATCH($A151,#REF!, 0), MATCH(AD$4,#REF!, 0))</f>
        <v>#REF!</v>
      </c>
      <c r="AE151" s="153" t="e">
        <f>INDEX(#REF!, MATCH($A151,#REF!, 0), MATCH(AE$4,#REF!, 0))</f>
        <v>#REF!</v>
      </c>
      <c r="AF151" s="153" t="e">
        <f>INDEX(#REF!, MATCH($A151,#REF!, 0), MATCH(AF$4,#REF!, 0))</f>
        <v>#REF!</v>
      </c>
      <c r="AG151" s="153" t="e">
        <f>INDEX(#REF!, MATCH($A151,#REF!, 0), MATCH(AG$4,#REF!, 0))</f>
        <v>#REF!</v>
      </c>
      <c r="AH151" s="153" t="e">
        <f>INDEX(#REF!, MATCH($A151,#REF!, 0), MATCH(AH$4,#REF!, 0))</f>
        <v>#REF!</v>
      </c>
      <c r="AI151" s="152" t="e">
        <f>INDEX(#REF!, MATCH($A151,#REF!, 0), MATCH(AI$4,#REF!, 0))</f>
        <v>#REF!</v>
      </c>
      <c r="AJ151" s="344" t="e">
        <f>INDEX(#REF!, MATCH($A151,#REF!, 0), MATCH(AJ$4,#REF!, 0))</f>
        <v>#REF!</v>
      </c>
      <c r="AK151" s="153" t="e">
        <f>INDEX(#REF!, MATCH($A151,#REF!, 0), MATCH(AK$4,#REF!, 0))</f>
        <v>#REF!</v>
      </c>
      <c r="AL151" s="153" t="e">
        <f>INDEX(#REF!, MATCH($A151,#REF!, 0), MATCH(AL$4,#REF!, 0))</f>
        <v>#REF!</v>
      </c>
      <c r="AM151" s="153" t="e">
        <f>INDEX(#REF!, MATCH($A151,#REF!, 0), MATCH(AM$4,#REF!, 0))</f>
        <v>#REF!</v>
      </c>
      <c r="AN151" s="153" t="e">
        <f>INDEX(#REF!, MATCH($A151,#REF!, 0), MATCH(AN$4,#REF!, 0))</f>
        <v>#REF!</v>
      </c>
      <c r="AO151" s="153" t="e">
        <f>INDEX(#REF!, MATCH($A151,#REF!, 0), MATCH(AO$4,#REF!, 0))</f>
        <v>#REF!</v>
      </c>
      <c r="AP151" s="153" t="e">
        <f>INDEX(#REF!, MATCH($A151,#REF!, 0), MATCH(AP$4,#REF!, 0))</f>
        <v>#REF!</v>
      </c>
      <c r="AQ151" s="344" t="e">
        <f>INDEX(#REF!, MATCH($A151,#REF!, 0), MATCH(AQ$4,#REF!, 0))</f>
        <v>#REF!</v>
      </c>
      <c r="AR151" s="153" t="e">
        <f>INDEX(#REF!, MATCH($A151,#REF!, 0), MATCH(AR$4,#REF!, 0))</f>
        <v>#REF!</v>
      </c>
      <c r="AS151" s="153" t="e">
        <f>INDEX(#REF!, MATCH($A151,#REF!, 0), MATCH(AS$4,#REF!, 0))</f>
        <v>#REF!</v>
      </c>
      <c r="AT151" s="153" t="e">
        <f>INDEX(#REF!, MATCH($A151,#REF!, 0), MATCH(AT$4,#REF!, 0))</f>
        <v>#REF!</v>
      </c>
      <c r="AU151" s="153" t="e">
        <f>INDEX(#REF!, MATCH($A151,#REF!, 0), MATCH(AU$4,#REF!, 0))</f>
        <v>#REF!</v>
      </c>
      <c r="AV151" s="153" t="e">
        <f>INDEX(#REF!, MATCH($A151,#REF!, 0), MATCH(AV$4,#REF!, 0))</f>
        <v>#REF!</v>
      </c>
      <c r="AW151" s="153" t="e">
        <f>INDEX(#REF!, MATCH($A151,#REF!, 0), MATCH(AW$4,#REF!, 0))</f>
        <v>#REF!</v>
      </c>
      <c r="AX151" s="344" t="e">
        <f>INDEX(#REF!, MATCH($A151,#REF!, 0), MATCH(AX$4,#REF!, 0))</f>
        <v>#REF!</v>
      </c>
      <c r="AY151" s="153" t="e">
        <f>INDEX(#REF!, MATCH($A151,#REF!, 0), MATCH(AY$4,#REF!, 0))</f>
        <v>#REF!</v>
      </c>
      <c r="AZ151" s="153" t="e">
        <f>INDEX(#REF!, MATCH($A151,#REF!, 0), MATCH(AZ$4,#REF!, 0))</f>
        <v>#REF!</v>
      </c>
      <c r="BA151" s="153" t="e">
        <f>INDEX(#REF!, MATCH($A151,#REF!, 0), MATCH(BA$4,#REF!, 0))</f>
        <v>#REF!</v>
      </c>
      <c r="BB151" s="153" t="e">
        <f>INDEX(#REF!, MATCH($A151,#REF!, 0), MATCH(BB$4,#REF!, 0))</f>
        <v>#REF!</v>
      </c>
      <c r="BC151" s="153" t="e">
        <f>INDEX(#REF!, MATCH($A151,#REF!, 0), MATCH(BC$4,#REF!, 0))</f>
        <v>#REF!</v>
      </c>
      <c r="BD151" s="386" t="e">
        <f>INDEX(#REF!, MATCH($A151,#REF!, 0), MATCH(BD$4,#REF!, 0))</f>
        <v>#REF!</v>
      </c>
      <c r="BE151" s="344" t="e">
        <f>INDEX(#REF!, MATCH($A151,#REF!, 0), MATCH(BE$4,#REF!, 0))</f>
        <v>#REF!</v>
      </c>
      <c r="BF151" s="153" t="e">
        <f>INDEX(#REF!, MATCH($A151,#REF!, 0), MATCH(BF$4,#REF!, 0))</f>
        <v>#REF!</v>
      </c>
      <c r="BG151" s="153" t="e">
        <f>INDEX(#REF!, MATCH($A151,#REF!, 0), MATCH(BG$4,#REF!, 0))</f>
        <v>#REF!</v>
      </c>
      <c r="BH151" s="153" t="e">
        <f>INDEX(#REF!, MATCH($A151,#REF!, 0), MATCH(BH$4,#REF!, 0))</f>
        <v>#REF!</v>
      </c>
      <c r="BI151" s="153" t="e">
        <f>INDEX(#REF!, MATCH($A151,#REF!, 0), MATCH(BI$4,#REF!, 0))</f>
        <v>#REF!</v>
      </c>
      <c r="BJ151" s="153" t="e">
        <f>INDEX(#REF!, MATCH($A151,#REF!, 0), MATCH(BJ$4,#REF!, 0))</f>
        <v>#REF!</v>
      </c>
      <c r="BK151" s="386" t="e">
        <f>INDEX(#REF!, MATCH($A151,#REF!, 0), MATCH(BK$4,#REF!, 0))</f>
        <v>#REF!</v>
      </c>
    </row>
    <row r="152" spans="1:91">
      <c r="A152" s="111" t="s">
        <v>234</v>
      </c>
      <c r="B152" s="238" t="str">
        <f t="shared" si="527"/>
        <v>应收分保账款</v>
      </c>
      <c r="D152" s="152" t="e">
        <f>INDEX(#REF!, MATCH($A152,#REF!, 0), MATCH(D$4,#REF!, 0))</f>
        <v>#REF!</v>
      </c>
      <c r="E152" s="152" t="e">
        <f>INDEX(#REF!, MATCH($A152,#REF!, 0), MATCH(E$4,#REF!, 0))</f>
        <v>#REF!</v>
      </c>
      <c r="F152" s="152" t="e">
        <f>INDEX(#REF!, MATCH($A152,#REF!, 0), MATCH(F$4,#REF!, 0))</f>
        <v>#REF!</v>
      </c>
      <c r="G152" s="152" t="e">
        <f>INDEX(#REF!, MATCH($A152,#REF!, 0), MATCH(G$4,#REF!, 0))</f>
        <v>#REF!</v>
      </c>
      <c r="H152" s="152" t="e">
        <f>INDEX(#REF!, MATCH($A152,#REF!, 0), MATCH(H$4,#REF!, 0))</f>
        <v>#REF!</v>
      </c>
      <c r="I152" s="152" t="e">
        <f>INDEX(#REF!, MATCH($A152,#REF!, 0), MATCH(I$4,#REF!, 0))</f>
        <v>#REF!</v>
      </c>
      <c r="J152" s="152" t="e">
        <f>INDEX(#REF!, MATCH($A152,#REF!, 0), MATCH(J$4,#REF!, 0))</f>
        <v>#REF!</v>
      </c>
      <c r="K152" s="152" t="e">
        <f>INDEX(#REF!, MATCH($A152,#REF!, 0), MATCH(K$4,#REF!, 0))</f>
        <v>#REF!</v>
      </c>
      <c r="L152" s="152" t="e">
        <f>INDEX(#REF!, MATCH($A152,#REF!, 0), MATCH(L$4,#REF!, 0))</f>
        <v>#REF!</v>
      </c>
      <c r="M152" s="152" t="e">
        <f>INDEX(#REF!, MATCH($A152,#REF!, 0), MATCH(M$4,#REF!, 0))</f>
        <v>#REF!</v>
      </c>
      <c r="N152" s="152" t="e">
        <f>INDEX(#REF!, MATCH($A152,#REF!, 0), MATCH(N$4,#REF!, 0))</f>
        <v>#REF!</v>
      </c>
      <c r="O152" s="152" t="e">
        <f>INDEX(#REF!, MATCH($A152,#REF!, 0), MATCH(O$4,#REF!, 0))</f>
        <v>#REF!</v>
      </c>
      <c r="P152" s="152" t="e">
        <f>INDEX(#REF!, MATCH($A152,#REF!, 0), MATCH(P$4,#REF!, 0))</f>
        <v>#REF!</v>
      </c>
      <c r="Q152" s="152" t="e">
        <f>INDEX(#REF!, MATCH($A152,#REF!, 0), MATCH(Q$4,#REF!, 0))</f>
        <v>#REF!</v>
      </c>
      <c r="R152" s="152" t="e">
        <f>INDEX(#REF!, MATCH($A152,#REF!, 0), MATCH(R$4,#REF!, 0))</f>
        <v>#REF!</v>
      </c>
      <c r="S152" s="152" t="e">
        <f>INDEX(#REF!, MATCH($A152,#REF!, 0), MATCH(S$4,#REF!, 0))</f>
        <v>#REF!</v>
      </c>
      <c r="T152" s="152" t="e">
        <f>INDEX(#REF!, MATCH($A152,#REF!, 0), MATCH(T$4,#REF!, 0))</f>
        <v>#REF!</v>
      </c>
      <c r="U152" s="152" t="e">
        <f>INDEX(#REF!, MATCH($A152,#REF!, 0), MATCH(U$4,#REF!, 0))</f>
        <v>#REF!</v>
      </c>
      <c r="V152" s="344" t="e">
        <f>INDEX(#REF!, MATCH($A152,#REF!, 0), MATCH(V$4,#REF!, 0))</f>
        <v>#REF!</v>
      </c>
      <c r="W152" s="153" t="e">
        <f>INDEX(#REF!, MATCH($A152,#REF!, 0), MATCH(W$4,#REF!, 0))</f>
        <v>#REF!</v>
      </c>
      <c r="X152" s="153" t="e">
        <f>INDEX(#REF!, MATCH($A152,#REF!, 0), MATCH(X$4,#REF!, 0))</f>
        <v>#REF!</v>
      </c>
      <c r="Y152" s="153" t="e">
        <f>INDEX(#REF!, MATCH($A152,#REF!, 0), MATCH(Y$4,#REF!, 0))</f>
        <v>#REF!</v>
      </c>
      <c r="Z152" s="153" t="e">
        <f>INDEX(#REF!, MATCH($A152,#REF!, 0), MATCH(Z$4,#REF!, 0))</f>
        <v>#REF!</v>
      </c>
      <c r="AA152" s="153" t="e">
        <f>INDEX(#REF!, MATCH($A152,#REF!, 0), MATCH(AA$4,#REF!, 0))</f>
        <v>#REF!</v>
      </c>
      <c r="AB152" s="152" t="e">
        <f>INDEX(#REF!, MATCH($A152,#REF!, 0), MATCH(AB$4,#REF!, 0))</f>
        <v>#REF!</v>
      </c>
      <c r="AC152" s="344" t="e">
        <f>INDEX(#REF!, MATCH($A152,#REF!, 0), MATCH(AC$4,#REF!, 0))</f>
        <v>#REF!</v>
      </c>
      <c r="AD152" s="153" t="e">
        <f>INDEX(#REF!, MATCH($A152,#REF!, 0), MATCH(AD$4,#REF!, 0))</f>
        <v>#REF!</v>
      </c>
      <c r="AE152" s="153" t="e">
        <f>INDEX(#REF!, MATCH($A152,#REF!, 0), MATCH(AE$4,#REF!, 0))</f>
        <v>#REF!</v>
      </c>
      <c r="AF152" s="153" t="e">
        <f>INDEX(#REF!, MATCH($A152,#REF!, 0), MATCH(AF$4,#REF!, 0))</f>
        <v>#REF!</v>
      </c>
      <c r="AG152" s="153" t="e">
        <f>INDEX(#REF!, MATCH($A152,#REF!, 0), MATCH(AG$4,#REF!, 0))</f>
        <v>#REF!</v>
      </c>
      <c r="AH152" s="153" t="e">
        <f>INDEX(#REF!, MATCH($A152,#REF!, 0), MATCH(AH$4,#REF!, 0))</f>
        <v>#REF!</v>
      </c>
      <c r="AI152" s="152" t="e">
        <f>INDEX(#REF!, MATCH($A152,#REF!, 0), MATCH(AI$4,#REF!, 0))</f>
        <v>#REF!</v>
      </c>
      <c r="AJ152" s="344" t="e">
        <f>INDEX(#REF!, MATCH($A152,#REF!, 0), MATCH(AJ$4,#REF!, 0))</f>
        <v>#REF!</v>
      </c>
      <c r="AK152" s="153" t="e">
        <f>INDEX(#REF!, MATCH($A152,#REF!, 0), MATCH(AK$4,#REF!, 0))</f>
        <v>#REF!</v>
      </c>
      <c r="AL152" s="153" t="e">
        <f>INDEX(#REF!, MATCH($A152,#REF!, 0), MATCH(AL$4,#REF!, 0))</f>
        <v>#REF!</v>
      </c>
      <c r="AM152" s="153" t="e">
        <f>INDEX(#REF!, MATCH($A152,#REF!, 0), MATCH(AM$4,#REF!, 0))</f>
        <v>#REF!</v>
      </c>
      <c r="AN152" s="153" t="e">
        <f>INDEX(#REF!, MATCH($A152,#REF!, 0), MATCH(AN$4,#REF!, 0))</f>
        <v>#REF!</v>
      </c>
      <c r="AO152" s="153" t="e">
        <f>INDEX(#REF!, MATCH($A152,#REF!, 0), MATCH(AO$4,#REF!, 0))</f>
        <v>#REF!</v>
      </c>
      <c r="AP152" s="153" t="e">
        <f>INDEX(#REF!, MATCH($A152,#REF!, 0), MATCH(AP$4,#REF!, 0))</f>
        <v>#REF!</v>
      </c>
      <c r="AQ152" s="344" t="e">
        <f>INDEX(#REF!, MATCH($A152,#REF!, 0), MATCH(AQ$4,#REF!, 0))</f>
        <v>#REF!</v>
      </c>
      <c r="AR152" s="153" t="e">
        <f>INDEX(#REF!, MATCH($A152,#REF!, 0), MATCH(AR$4,#REF!, 0))</f>
        <v>#REF!</v>
      </c>
      <c r="AS152" s="153" t="e">
        <f>INDEX(#REF!, MATCH($A152,#REF!, 0), MATCH(AS$4,#REF!, 0))</f>
        <v>#REF!</v>
      </c>
      <c r="AT152" s="153" t="e">
        <f>INDEX(#REF!, MATCH($A152,#REF!, 0), MATCH(AT$4,#REF!, 0))</f>
        <v>#REF!</v>
      </c>
      <c r="AU152" s="153" t="e">
        <f>INDEX(#REF!, MATCH($A152,#REF!, 0), MATCH(AU$4,#REF!, 0))</f>
        <v>#REF!</v>
      </c>
      <c r="AV152" s="153" t="e">
        <f>INDEX(#REF!, MATCH($A152,#REF!, 0), MATCH(AV$4,#REF!, 0))</f>
        <v>#REF!</v>
      </c>
      <c r="AW152" s="153" t="e">
        <f>INDEX(#REF!, MATCH($A152,#REF!, 0), MATCH(AW$4,#REF!, 0))</f>
        <v>#REF!</v>
      </c>
      <c r="AX152" s="344" t="e">
        <f>INDEX(#REF!, MATCH($A152,#REF!, 0), MATCH(AX$4,#REF!, 0))</f>
        <v>#REF!</v>
      </c>
      <c r="AY152" s="153" t="e">
        <f>INDEX(#REF!, MATCH($A152,#REF!, 0), MATCH(AY$4,#REF!, 0))</f>
        <v>#REF!</v>
      </c>
      <c r="AZ152" s="153" t="e">
        <f>INDEX(#REF!, MATCH($A152,#REF!, 0), MATCH(AZ$4,#REF!, 0))</f>
        <v>#REF!</v>
      </c>
      <c r="BA152" s="153" t="e">
        <f>INDEX(#REF!, MATCH($A152,#REF!, 0), MATCH(BA$4,#REF!, 0))</f>
        <v>#REF!</v>
      </c>
      <c r="BB152" s="153" t="e">
        <f>INDEX(#REF!, MATCH($A152,#REF!, 0), MATCH(BB$4,#REF!, 0))</f>
        <v>#REF!</v>
      </c>
      <c r="BC152" s="153" t="e">
        <f>INDEX(#REF!, MATCH($A152,#REF!, 0), MATCH(BC$4,#REF!, 0))</f>
        <v>#REF!</v>
      </c>
      <c r="BD152" s="386" t="e">
        <f>INDEX(#REF!, MATCH($A152,#REF!, 0), MATCH(BD$4,#REF!, 0))</f>
        <v>#REF!</v>
      </c>
      <c r="BE152" s="344" t="e">
        <f>INDEX(#REF!, MATCH($A152,#REF!, 0), MATCH(BE$4,#REF!, 0))</f>
        <v>#REF!</v>
      </c>
      <c r="BF152" s="153" t="e">
        <f>INDEX(#REF!, MATCH($A152,#REF!, 0), MATCH(BF$4,#REF!, 0))</f>
        <v>#REF!</v>
      </c>
      <c r="BG152" s="153" t="e">
        <f>INDEX(#REF!, MATCH($A152,#REF!, 0), MATCH(BG$4,#REF!, 0))</f>
        <v>#REF!</v>
      </c>
      <c r="BH152" s="153" t="e">
        <f>INDEX(#REF!, MATCH($A152,#REF!, 0), MATCH(BH$4,#REF!, 0))</f>
        <v>#REF!</v>
      </c>
      <c r="BI152" s="153" t="e">
        <f>INDEX(#REF!, MATCH($A152,#REF!, 0), MATCH(BI$4,#REF!, 0))</f>
        <v>#REF!</v>
      </c>
      <c r="BJ152" s="153" t="e">
        <f>INDEX(#REF!, MATCH($A152,#REF!, 0), MATCH(BJ$4,#REF!, 0))</f>
        <v>#REF!</v>
      </c>
      <c r="BK152" s="386" t="e">
        <f>INDEX(#REF!, MATCH($A152,#REF!, 0), MATCH(BK$4,#REF!, 0))</f>
        <v>#REF!</v>
      </c>
    </row>
    <row r="153" spans="1:91">
      <c r="A153" s="111" t="s">
        <v>235</v>
      </c>
      <c r="B153" s="238" t="str">
        <f t="shared" si="527"/>
        <v>应收分保合同准备金</v>
      </c>
      <c r="D153" s="152" t="e">
        <f>INDEX(#REF!, MATCH($A153,#REF!, 0), MATCH(D$4,#REF!, 0))</f>
        <v>#REF!</v>
      </c>
      <c r="E153" s="152" t="e">
        <f>INDEX(#REF!, MATCH($A153,#REF!, 0), MATCH(E$4,#REF!, 0))</f>
        <v>#REF!</v>
      </c>
      <c r="F153" s="152" t="e">
        <f>INDEX(#REF!, MATCH($A153,#REF!, 0), MATCH(F$4,#REF!, 0))</f>
        <v>#REF!</v>
      </c>
      <c r="G153" s="152" t="e">
        <f>INDEX(#REF!, MATCH($A153,#REF!, 0), MATCH(G$4,#REF!, 0))</f>
        <v>#REF!</v>
      </c>
      <c r="H153" s="152" t="e">
        <f>INDEX(#REF!, MATCH($A153,#REF!, 0), MATCH(H$4,#REF!, 0))</f>
        <v>#REF!</v>
      </c>
      <c r="I153" s="152" t="e">
        <f>INDEX(#REF!, MATCH($A153,#REF!, 0), MATCH(I$4,#REF!, 0))</f>
        <v>#REF!</v>
      </c>
      <c r="J153" s="152" t="e">
        <f>INDEX(#REF!, MATCH($A153,#REF!, 0), MATCH(J$4,#REF!, 0))</f>
        <v>#REF!</v>
      </c>
      <c r="K153" s="152" t="e">
        <f>INDEX(#REF!, MATCH($A153,#REF!, 0), MATCH(K$4,#REF!, 0))</f>
        <v>#REF!</v>
      </c>
      <c r="L153" s="152" t="e">
        <f>INDEX(#REF!, MATCH($A153,#REF!, 0), MATCH(L$4,#REF!, 0))</f>
        <v>#REF!</v>
      </c>
      <c r="M153" s="152" t="e">
        <f>INDEX(#REF!, MATCH($A153,#REF!, 0), MATCH(M$4,#REF!, 0))</f>
        <v>#REF!</v>
      </c>
      <c r="N153" s="152" t="e">
        <f>INDEX(#REF!, MATCH($A153,#REF!, 0), MATCH(N$4,#REF!, 0))</f>
        <v>#REF!</v>
      </c>
      <c r="O153" s="152" t="e">
        <f>INDEX(#REF!, MATCH($A153,#REF!, 0), MATCH(O$4,#REF!, 0))</f>
        <v>#REF!</v>
      </c>
      <c r="P153" s="152" t="e">
        <f>INDEX(#REF!, MATCH($A153,#REF!, 0), MATCH(P$4,#REF!, 0))</f>
        <v>#REF!</v>
      </c>
      <c r="Q153" s="152" t="e">
        <f>INDEX(#REF!, MATCH($A153,#REF!, 0), MATCH(Q$4,#REF!, 0))</f>
        <v>#REF!</v>
      </c>
      <c r="R153" s="152" t="e">
        <f>INDEX(#REF!, MATCH($A153,#REF!, 0), MATCH(R$4,#REF!, 0))</f>
        <v>#REF!</v>
      </c>
      <c r="S153" s="152" t="e">
        <f>INDEX(#REF!, MATCH($A153,#REF!, 0), MATCH(S$4,#REF!, 0))</f>
        <v>#REF!</v>
      </c>
      <c r="T153" s="152" t="e">
        <f>INDEX(#REF!, MATCH($A153,#REF!, 0), MATCH(T$4,#REF!, 0))</f>
        <v>#REF!</v>
      </c>
      <c r="U153" s="152" t="e">
        <f>INDEX(#REF!, MATCH($A153,#REF!, 0), MATCH(U$4,#REF!, 0))</f>
        <v>#REF!</v>
      </c>
      <c r="V153" s="344" t="e">
        <f>INDEX(#REF!, MATCH($A153,#REF!, 0), MATCH(V$4,#REF!, 0))</f>
        <v>#REF!</v>
      </c>
      <c r="W153" s="153" t="e">
        <f>INDEX(#REF!, MATCH($A153,#REF!, 0), MATCH(W$4,#REF!, 0))</f>
        <v>#REF!</v>
      </c>
      <c r="X153" s="153" t="e">
        <f>INDEX(#REF!, MATCH($A153,#REF!, 0), MATCH(X$4,#REF!, 0))</f>
        <v>#REF!</v>
      </c>
      <c r="Y153" s="153" t="e">
        <f>INDEX(#REF!, MATCH($A153,#REF!, 0), MATCH(Y$4,#REF!, 0))</f>
        <v>#REF!</v>
      </c>
      <c r="Z153" s="153" t="e">
        <f>INDEX(#REF!, MATCH($A153,#REF!, 0), MATCH(Z$4,#REF!, 0))</f>
        <v>#REF!</v>
      </c>
      <c r="AA153" s="153" t="e">
        <f>INDEX(#REF!, MATCH($A153,#REF!, 0), MATCH(AA$4,#REF!, 0))</f>
        <v>#REF!</v>
      </c>
      <c r="AB153" s="152" t="e">
        <f>INDEX(#REF!, MATCH($A153,#REF!, 0), MATCH(AB$4,#REF!, 0))</f>
        <v>#REF!</v>
      </c>
      <c r="AC153" s="344" t="e">
        <f>INDEX(#REF!, MATCH($A153,#REF!, 0), MATCH(AC$4,#REF!, 0))</f>
        <v>#REF!</v>
      </c>
      <c r="AD153" s="153" t="e">
        <f>INDEX(#REF!, MATCH($A153,#REF!, 0), MATCH(AD$4,#REF!, 0))</f>
        <v>#REF!</v>
      </c>
      <c r="AE153" s="153" t="e">
        <f>INDEX(#REF!, MATCH($A153,#REF!, 0), MATCH(AE$4,#REF!, 0))</f>
        <v>#REF!</v>
      </c>
      <c r="AF153" s="153" t="e">
        <f>INDEX(#REF!, MATCH($A153,#REF!, 0), MATCH(AF$4,#REF!, 0))</f>
        <v>#REF!</v>
      </c>
      <c r="AG153" s="153" t="e">
        <f>INDEX(#REF!, MATCH($A153,#REF!, 0), MATCH(AG$4,#REF!, 0))</f>
        <v>#REF!</v>
      </c>
      <c r="AH153" s="153" t="e">
        <f>INDEX(#REF!, MATCH($A153,#REF!, 0), MATCH(AH$4,#REF!, 0))</f>
        <v>#REF!</v>
      </c>
      <c r="AI153" s="152" t="e">
        <f>INDEX(#REF!, MATCH($A153,#REF!, 0), MATCH(AI$4,#REF!, 0))</f>
        <v>#REF!</v>
      </c>
      <c r="AJ153" s="344" t="e">
        <f>INDEX(#REF!, MATCH($A153,#REF!, 0), MATCH(AJ$4,#REF!, 0))</f>
        <v>#REF!</v>
      </c>
      <c r="AK153" s="153" t="e">
        <f>INDEX(#REF!, MATCH($A153,#REF!, 0), MATCH(AK$4,#REF!, 0))</f>
        <v>#REF!</v>
      </c>
      <c r="AL153" s="153" t="e">
        <f>INDEX(#REF!, MATCH($A153,#REF!, 0), MATCH(AL$4,#REF!, 0))</f>
        <v>#REF!</v>
      </c>
      <c r="AM153" s="153" t="e">
        <f>INDEX(#REF!, MATCH($A153,#REF!, 0), MATCH(AM$4,#REF!, 0))</f>
        <v>#REF!</v>
      </c>
      <c r="AN153" s="153" t="e">
        <f>INDEX(#REF!, MATCH($A153,#REF!, 0), MATCH(AN$4,#REF!, 0))</f>
        <v>#REF!</v>
      </c>
      <c r="AO153" s="153" t="e">
        <f>INDEX(#REF!, MATCH($A153,#REF!, 0), MATCH(AO$4,#REF!, 0))</f>
        <v>#REF!</v>
      </c>
      <c r="AP153" s="153" t="e">
        <f>INDEX(#REF!, MATCH($A153,#REF!, 0), MATCH(AP$4,#REF!, 0))</f>
        <v>#REF!</v>
      </c>
      <c r="AQ153" s="344" t="e">
        <f>INDEX(#REF!, MATCH($A153,#REF!, 0), MATCH(AQ$4,#REF!, 0))</f>
        <v>#REF!</v>
      </c>
      <c r="AR153" s="153" t="e">
        <f>INDEX(#REF!, MATCH($A153,#REF!, 0), MATCH(AR$4,#REF!, 0))</f>
        <v>#REF!</v>
      </c>
      <c r="AS153" s="153" t="e">
        <f>INDEX(#REF!, MATCH($A153,#REF!, 0), MATCH(AS$4,#REF!, 0))</f>
        <v>#REF!</v>
      </c>
      <c r="AT153" s="153" t="e">
        <f>INDEX(#REF!, MATCH($A153,#REF!, 0), MATCH(AT$4,#REF!, 0))</f>
        <v>#REF!</v>
      </c>
      <c r="AU153" s="153" t="e">
        <f>INDEX(#REF!, MATCH($A153,#REF!, 0), MATCH(AU$4,#REF!, 0))</f>
        <v>#REF!</v>
      </c>
      <c r="AV153" s="153" t="e">
        <f>INDEX(#REF!, MATCH($A153,#REF!, 0), MATCH(AV$4,#REF!, 0))</f>
        <v>#REF!</v>
      </c>
      <c r="AW153" s="153" t="e">
        <f>INDEX(#REF!, MATCH($A153,#REF!, 0), MATCH(AW$4,#REF!, 0))</f>
        <v>#REF!</v>
      </c>
      <c r="AX153" s="344" t="e">
        <f>INDEX(#REF!, MATCH($A153,#REF!, 0), MATCH(AX$4,#REF!, 0))</f>
        <v>#REF!</v>
      </c>
      <c r="AY153" s="153" t="e">
        <f>INDEX(#REF!, MATCH($A153,#REF!, 0), MATCH(AY$4,#REF!, 0))</f>
        <v>#REF!</v>
      </c>
      <c r="AZ153" s="153" t="e">
        <f>INDEX(#REF!, MATCH($A153,#REF!, 0), MATCH(AZ$4,#REF!, 0))</f>
        <v>#REF!</v>
      </c>
      <c r="BA153" s="153" t="e">
        <f>INDEX(#REF!, MATCH($A153,#REF!, 0), MATCH(BA$4,#REF!, 0))</f>
        <v>#REF!</v>
      </c>
      <c r="BB153" s="153" t="e">
        <f>INDEX(#REF!, MATCH($A153,#REF!, 0), MATCH(BB$4,#REF!, 0))</f>
        <v>#REF!</v>
      </c>
      <c r="BC153" s="153" t="e">
        <f>INDEX(#REF!, MATCH($A153,#REF!, 0), MATCH(BC$4,#REF!, 0))</f>
        <v>#REF!</v>
      </c>
      <c r="BD153" s="386" t="e">
        <f>INDEX(#REF!, MATCH($A153,#REF!, 0), MATCH(BD$4,#REF!, 0))</f>
        <v>#REF!</v>
      </c>
      <c r="BE153" s="344" t="e">
        <f>INDEX(#REF!, MATCH($A153,#REF!, 0), MATCH(BE$4,#REF!, 0))</f>
        <v>#REF!</v>
      </c>
      <c r="BF153" s="153" t="e">
        <f>INDEX(#REF!, MATCH($A153,#REF!, 0), MATCH(BF$4,#REF!, 0))</f>
        <v>#REF!</v>
      </c>
      <c r="BG153" s="153" t="e">
        <f>INDEX(#REF!, MATCH($A153,#REF!, 0), MATCH(BG$4,#REF!, 0))</f>
        <v>#REF!</v>
      </c>
      <c r="BH153" s="153" t="e">
        <f>INDEX(#REF!, MATCH($A153,#REF!, 0), MATCH(BH$4,#REF!, 0))</f>
        <v>#REF!</v>
      </c>
      <c r="BI153" s="153" t="e">
        <f>INDEX(#REF!, MATCH($A153,#REF!, 0), MATCH(BI$4,#REF!, 0))</f>
        <v>#REF!</v>
      </c>
      <c r="BJ153" s="153" t="e">
        <f>INDEX(#REF!, MATCH($A153,#REF!, 0), MATCH(BJ$4,#REF!, 0))</f>
        <v>#REF!</v>
      </c>
      <c r="BK153" s="386" t="e">
        <f>INDEX(#REF!, MATCH($A153,#REF!, 0), MATCH(BK$4,#REF!, 0))</f>
        <v>#REF!</v>
      </c>
    </row>
    <row r="154" spans="1:91">
      <c r="A154" s="111" t="s">
        <v>333</v>
      </c>
      <c r="B154" s="238" t="str">
        <f t="shared" si="527"/>
        <v>应收利息</v>
      </c>
      <c r="D154" s="152" t="e">
        <f>INDEX(#REF!, MATCH($A154,#REF!, 0), MATCH(D$4,#REF!, 0))</f>
        <v>#REF!</v>
      </c>
      <c r="E154" s="152" t="e">
        <f>INDEX(#REF!, MATCH($A154,#REF!, 0), MATCH(E$4,#REF!, 0))</f>
        <v>#REF!</v>
      </c>
      <c r="F154" s="152" t="e">
        <f>INDEX(#REF!, MATCH($A154,#REF!, 0), MATCH(F$4,#REF!, 0))</f>
        <v>#REF!</v>
      </c>
      <c r="G154" s="152" t="e">
        <f>INDEX(#REF!, MATCH($A154,#REF!, 0), MATCH(G$4,#REF!, 0))</f>
        <v>#REF!</v>
      </c>
      <c r="H154" s="152" t="e">
        <f>INDEX(#REF!, MATCH($A154,#REF!, 0), MATCH(H$4,#REF!, 0))</f>
        <v>#REF!</v>
      </c>
      <c r="I154" s="152" t="e">
        <f>INDEX(#REF!, MATCH($A154,#REF!, 0), MATCH(I$4,#REF!, 0))</f>
        <v>#REF!</v>
      </c>
      <c r="J154" s="152" t="e">
        <f>INDEX(#REF!, MATCH($A154,#REF!, 0), MATCH(J$4,#REF!, 0))</f>
        <v>#REF!</v>
      </c>
      <c r="K154" s="152" t="e">
        <f>INDEX(#REF!, MATCH($A154,#REF!, 0), MATCH(K$4,#REF!, 0))</f>
        <v>#REF!</v>
      </c>
      <c r="L154" s="152" t="e">
        <f>INDEX(#REF!, MATCH($A154,#REF!, 0), MATCH(L$4,#REF!, 0))</f>
        <v>#REF!</v>
      </c>
      <c r="M154" s="152" t="e">
        <f>INDEX(#REF!, MATCH($A154,#REF!, 0), MATCH(M$4,#REF!, 0))</f>
        <v>#REF!</v>
      </c>
      <c r="N154" s="152" t="e">
        <f>INDEX(#REF!, MATCH($A154,#REF!, 0), MATCH(N$4,#REF!, 0))</f>
        <v>#REF!</v>
      </c>
      <c r="O154" s="152" t="e">
        <f>INDEX(#REF!, MATCH($A154,#REF!, 0), MATCH(O$4,#REF!, 0))</f>
        <v>#REF!</v>
      </c>
      <c r="P154" s="152" t="e">
        <f>INDEX(#REF!, MATCH($A154,#REF!, 0), MATCH(P$4,#REF!, 0))</f>
        <v>#REF!</v>
      </c>
      <c r="Q154" s="152" t="e">
        <f>INDEX(#REF!, MATCH($A154,#REF!, 0), MATCH(Q$4,#REF!, 0))</f>
        <v>#REF!</v>
      </c>
      <c r="R154" s="152" t="e">
        <f>INDEX(#REF!, MATCH($A154,#REF!, 0), MATCH(R$4,#REF!, 0))</f>
        <v>#REF!</v>
      </c>
      <c r="S154" s="152" t="e">
        <f>INDEX(#REF!, MATCH($A154,#REF!, 0), MATCH(S$4,#REF!, 0))</f>
        <v>#REF!</v>
      </c>
      <c r="T154" s="152" t="e">
        <f>INDEX(#REF!, MATCH($A154,#REF!, 0), MATCH(T$4,#REF!, 0))</f>
        <v>#REF!</v>
      </c>
      <c r="U154" s="152" t="e">
        <f>INDEX(#REF!, MATCH($A154,#REF!, 0), MATCH(U$4,#REF!, 0))</f>
        <v>#REF!</v>
      </c>
      <c r="V154" s="344" t="e">
        <f>INDEX(#REF!, MATCH($A154,#REF!, 0), MATCH(V$4,#REF!, 0))</f>
        <v>#REF!</v>
      </c>
      <c r="W154" s="153" t="e">
        <f>INDEX(#REF!, MATCH($A154,#REF!, 0), MATCH(W$4,#REF!, 0))</f>
        <v>#REF!</v>
      </c>
      <c r="X154" s="153" t="e">
        <f>INDEX(#REF!, MATCH($A154,#REF!, 0), MATCH(X$4,#REF!, 0))</f>
        <v>#REF!</v>
      </c>
      <c r="Y154" s="153" t="e">
        <f>INDEX(#REF!, MATCH($A154,#REF!, 0), MATCH(Y$4,#REF!, 0))</f>
        <v>#REF!</v>
      </c>
      <c r="Z154" s="153" t="e">
        <f>INDEX(#REF!, MATCH($A154,#REF!, 0), MATCH(Z$4,#REF!, 0))</f>
        <v>#REF!</v>
      </c>
      <c r="AA154" s="153" t="e">
        <f>INDEX(#REF!, MATCH($A154,#REF!, 0), MATCH(AA$4,#REF!, 0))</f>
        <v>#REF!</v>
      </c>
      <c r="AB154" s="152" t="e">
        <f>INDEX(#REF!, MATCH($A154,#REF!, 0), MATCH(AB$4,#REF!, 0))</f>
        <v>#REF!</v>
      </c>
      <c r="AC154" s="344" t="e">
        <f>INDEX(#REF!, MATCH($A154,#REF!, 0), MATCH(AC$4,#REF!, 0))</f>
        <v>#REF!</v>
      </c>
      <c r="AD154" s="153" t="e">
        <f>INDEX(#REF!, MATCH($A154,#REF!, 0), MATCH(AD$4,#REF!, 0))</f>
        <v>#REF!</v>
      </c>
      <c r="AE154" s="153" t="e">
        <f>INDEX(#REF!, MATCH($A154,#REF!, 0), MATCH(AE$4,#REF!, 0))</f>
        <v>#REF!</v>
      </c>
      <c r="AF154" s="153" t="e">
        <f>INDEX(#REF!, MATCH($A154,#REF!, 0), MATCH(AF$4,#REF!, 0))</f>
        <v>#REF!</v>
      </c>
      <c r="AG154" s="153" t="e">
        <f>INDEX(#REF!, MATCH($A154,#REF!, 0), MATCH(AG$4,#REF!, 0))</f>
        <v>#REF!</v>
      </c>
      <c r="AH154" s="153" t="e">
        <f>INDEX(#REF!, MATCH($A154,#REF!, 0), MATCH(AH$4,#REF!, 0))</f>
        <v>#REF!</v>
      </c>
      <c r="AI154" s="152" t="e">
        <f>INDEX(#REF!, MATCH($A154,#REF!, 0), MATCH(AI$4,#REF!, 0))</f>
        <v>#REF!</v>
      </c>
      <c r="AJ154" s="344" t="e">
        <f>INDEX(#REF!, MATCH($A154,#REF!, 0), MATCH(AJ$4,#REF!, 0))</f>
        <v>#REF!</v>
      </c>
      <c r="AK154" s="153" t="e">
        <f>INDEX(#REF!, MATCH($A154,#REF!, 0), MATCH(AK$4,#REF!, 0))</f>
        <v>#REF!</v>
      </c>
      <c r="AL154" s="153" t="e">
        <f>INDEX(#REF!, MATCH($A154,#REF!, 0), MATCH(AL$4,#REF!, 0))</f>
        <v>#REF!</v>
      </c>
      <c r="AM154" s="153" t="e">
        <f>INDEX(#REF!, MATCH($A154,#REF!, 0), MATCH(AM$4,#REF!, 0))</f>
        <v>#REF!</v>
      </c>
      <c r="AN154" s="153" t="e">
        <f>INDEX(#REF!, MATCH($A154,#REF!, 0), MATCH(AN$4,#REF!, 0))</f>
        <v>#REF!</v>
      </c>
      <c r="AO154" s="153" t="e">
        <f>INDEX(#REF!, MATCH($A154,#REF!, 0), MATCH(AO$4,#REF!, 0))</f>
        <v>#REF!</v>
      </c>
      <c r="AP154" s="153" t="e">
        <f>INDEX(#REF!, MATCH($A154,#REF!, 0), MATCH(AP$4,#REF!, 0))</f>
        <v>#REF!</v>
      </c>
      <c r="AQ154" s="344" t="e">
        <f>INDEX(#REF!, MATCH($A154,#REF!, 0), MATCH(AQ$4,#REF!, 0))</f>
        <v>#REF!</v>
      </c>
      <c r="AR154" s="153" t="e">
        <f>INDEX(#REF!, MATCH($A154,#REF!, 0), MATCH(AR$4,#REF!, 0))</f>
        <v>#REF!</v>
      </c>
      <c r="AS154" s="153" t="e">
        <f>INDEX(#REF!, MATCH($A154,#REF!, 0), MATCH(AS$4,#REF!, 0))</f>
        <v>#REF!</v>
      </c>
      <c r="AT154" s="153" t="e">
        <f>INDEX(#REF!, MATCH($A154,#REF!, 0), MATCH(AT$4,#REF!, 0))</f>
        <v>#REF!</v>
      </c>
      <c r="AU154" s="153" t="e">
        <f>INDEX(#REF!, MATCH($A154,#REF!, 0), MATCH(AU$4,#REF!, 0))</f>
        <v>#REF!</v>
      </c>
      <c r="AV154" s="153" t="e">
        <f>INDEX(#REF!, MATCH($A154,#REF!, 0), MATCH(AV$4,#REF!, 0))</f>
        <v>#REF!</v>
      </c>
      <c r="AW154" s="153" t="e">
        <f>INDEX(#REF!, MATCH($A154,#REF!, 0), MATCH(AW$4,#REF!, 0))</f>
        <v>#REF!</v>
      </c>
      <c r="AX154" s="344" t="e">
        <f>INDEX(#REF!, MATCH($A154,#REF!, 0), MATCH(AX$4,#REF!, 0))</f>
        <v>#REF!</v>
      </c>
      <c r="AY154" s="153" t="e">
        <f>INDEX(#REF!, MATCH($A154,#REF!, 0), MATCH(AY$4,#REF!, 0))</f>
        <v>#REF!</v>
      </c>
      <c r="AZ154" s="153" t="e">
        <f>INDEX(#REF!, MATCH($A154,#REF!, 0), MATCH(AZ$4,#REF!, 0))</f>
        <v>#REF!</v>
      </c>
      <c r="BA154" s="153" t="e">
        <f>INDEX(#REF!, MATCH($A154,#REF!, 0), MATCH(BA$4,#REF!, 0))</f>
        <v>#REF!</v>
      </c>
      <c r="BB154" s="153" t="e">
        <f>INDEX(#REF!, MATCH($A154,#REF!, 0), MATCH(BB$4,#REF!, 0))</f>
        <v>#REF!</v>
      </c>
      <c r="BC154" s="153" t="e">
        <f>INDEX(#REF!, MATCH($A154,#REF!, 0), MATCH(BC$4,#REF!, 0))</f>
        <v>#REF!</v>
      </c>
      <c r="BD154" s="386" t="e">
        <f>INDEX(#REF!, MATCH($A154,#REF!, 0), MATCH(BD$4,#REF!, 0))</f>
        <v>#REF!</v>
      </c>
      <c r="BE154" s="344" t="e">
        <f>INDEX(#REF!, MATCH($A154,#REF!, 0), MATCH(BE$4,#REF!, 0))</f>
        <v>#REF!</v>
      </c>
      <c r="BF154" s="153" t="e">
        <f>INDEX(#REF!, MATCH($A154,#REF!, 0), MATCH(BF$4,#REF!, 0))</f>
        <v>#REF!</v>
      </c>
      <c r="BG154" s="153" t="e">
        <f>INDEX(#REF!, MATCH($A154,#REF!, 0), MATCH(BG$4,#REF!, 0))</f>
        <v>#REF!</v>
      </c>
      <c r="BH154" s="153" t="e">
        <f>INDEX(#REF!, MATCH($A154,#REF!, 0), MATCH(BH$4,#REF!, 0))</f>
        <v>#REF!</v>
      </c>
      <c r="BI154" s="153" t="e">
        <f>INDEX(#REF!, MATCH($A154,#REF!, 0), MATCH(BI$4,#REF!, 0))</f>
        <v>#REF!</v>
      </c>
      <c r="BJ154" s="153" t="e">
        <f>INDEX(#REF!, MATCH($A154,#REF!, 0), MATCH(BJ$4,#REF!, 0))</f>
        <v>#REF!</v>
      </c>
      <c r="BK154" s="386" t="e">
        <f>INDEX(#REF!, MATCH($A154,#REF!, 0), MATCH(BK$4,#REF!, 0))</f>
        <v>#REF!</v>
      </c>
    </row>
    <row r="155" spans="1:91">
      <c r="A155" s="111" t="s">
        <v>334</v>
      </c>
      <c r="B155" s="238" t="str">
        <f t="shared" si="527"/>
        <v>其他应收款</v>
      </c>
      <c r="D155" s="152" t="e">
        <f>INDEX(#REF!, MATCH($A155,#REF!, 0), MATCH(D$4,#REF!, 0))</f>
        <v>#REF!</v>
      </c>
      <c r="E155" s="152" t="e">
        <f>INDEX(#REF!, MATCH($A155,#REF!, 0), MATCH(E$4,#REF!, 0))</f>
        <v>#REF!</v>
      </c>
      <c r="F155" s="152" t="e">
        <f>INDEX(#REF!, MATCH($A155,#REF!, 0), MATCH(F$4,#REF!, 0))</f>
        <v>#REF!</v>
      </c>
      <c r="G155" s="152" t="e">
        <f>INDEX(#REF!, MATCH($A155,#REF!, 0), MATCH(G$4,#REF!, 0))</f>
        <v>#REF!</v>
      </c>
      <c r="H155" s="152" t="e">
        <f>INDEX(#REF!, MATCH($A155,#REF!, 0), MATCH(H$4,#REF!, 0))</f>
        <v>#REF!</v>
      </c>
      <c r="I155" s="152" t="e">
        <f>INDEX(#REF!, MATCH($A155,#REF!, 0), MATCH(I$4,#REF!, 0))</f>
        <v>#REF!</v>
      </c>
      <c r="J155" s="152" t="e">
        <f>INDEX(#REF!, MATCH($A155,#REF!, 0), MATCH(J$4,#REF!, 0))</f>
        <v>#REF!</v>
      </c>
      <c r="K155" s="152" t="e">
        <f>INDEX(#REF!, MATCH($A155,#REF!, 0), MATCH(K$4,#REF!, 0))</f>
        <v>#REF!</v>
      </c>
      <c r="L155" s="152" t="e">
        <f>INDEX(#REF!, MATCH($A155,#REF!, 0), MATCH(L$4,#REF!, 0))</f>
        <v>#REF!</v>
      </c>
      <c r="M155" s="152" t="e">
        <f>INDEX(#REF!, MATCH($A155,#REF!, 0), MATCH(M$4,#REF!, 0))</f>
        <v>#REF!</v>
      </c>
      <c r="N155" s="152" t="e">
        <f>INDEX(#REF!, MATCH($A155,#REF!, 0), MATCH(N$4,#REF!, 0))</f>
        <v>#REF!</v>
      </c>
      <c r="O155" s="152" t="e">
        <f>INDEX(#REF!, MATCH($A155,#REF!, 0), MATCH(O$4,#REF!, 0))</f>
        <v>#REF!</v>
      </c>
      <c r="P155" s="152" t="e">
        <f>INDEX(#REF!, MATCH($A155,#REF!, 0), MATCH(P$4,#REF!, 0))</f>
        <v>#REF!</v>
      </c>
      <c r="Q155" s="152" t="e">
        <f>INDEX(#REF!, MATCH($A155,#REF!, 0), MATCH(Q$4,#REF!, 0))</f>
        <v>#REF!</v>
      </c>
      <c r="R155" s="152" t="e">
        <f>INDEX(#REF!, MATCH($A155,#REF!, 0), MATCH(R$4,#REF!, 0))</f>
        <v>#REF!</v>
      </c>
      <c r="S155" s="152" t="e">
        <f>INDEX(#REF!, MATCH($A155,#REF!, 0), MATCH(S$4,#REF!, 0))</f>
        <v>#REF!</v>
      </c>
      <c r="T155" s="152" t="e">
        <f>INDEX(#REF!, MATCH($A155,#REF!, 0), MATCH(T$4,#REF!, 0))</f>
        <v>#REF!</v>
      </c>
      <c r="U155" s="152" t="e">
        <f>INDEX(#REF!, MATCH($A155,#REF!, 0), MATCH(U$4,#REF!, 0))</f>
        <v>#REF!</v>
      </c>
      <c r="V155" s="344" t="e">
        <f>INDEX(#REF!, MATCH($A155,#REF!, 0), MATCH(V$4,#REF!, 0))</f>
        <v>#REF!</v>
      </c>
      <c r="W155" s="153" t="e">
        <f>INDEX(#REF!, MATCH($A155,#REF!, 0), MATCH(W$4,#REF!, 0))</f>
        <v>#REF!</v>
      </c>
      <c r="X155" s="153" t="e">
        <f>INDEX(#REF!, MATCH($A155,#REF!, 0), MATCH(X$4,#REF!, 0))</f>
        <v>#REF!</v>
      </c>
      <c r="Y155" s="153" t="e">
        <f>INDEX(#REF!, MATCH($A155,#REF!, 0), MATCH(Y$4,#REF!, 0))</f>
        <v>#REF!</v>
      </c>
      <c r="Z155" s="153" t="e">
        <f>INDEX(#REF!, MATCH($A155,#REF!, 0), MATCH(Z$4,#REF!, 0))</f>
        <v>#REF!</v>
      </c>
      <c r="AA155" s="153" t="e">
        <f>INDEX(#REF!, MATCH($A155,#REF!, 0), MATCH(AA$4,#REF!, 0))</f>
        <v>#REF!</v>
      </c>
      <c r="AB155" s="152" t="e">
        <f>INDEX(#REF!, MATCH($A155,#REF!, 0), MATCH(AB$4,#REF!, 0))</f>
        <v>#REF!</v>
      </c>
      <c r="AC155" s="344" t="e">
        <f>INDEX(#REF!, MATCH($A155,#REF!, 0), MATCH(AC$4,#REF!, 0))</f>
        <v>#REF!</v>
      </c>
      <c r="AD155" s="153" t="e">
        <f>INDEX(#REF!, MATCH($A155,#REF!, 0), MATCH(AD$4,#REF!, 0))</f>
        <v>#REF!</v>
      </c>
      <c r="AE155" s="153" t="e">
        <f>INDEX(#REF!, MATCH($A155,#REF!, 0), MATCH(AE$4,#REF!, 0))</f>
        <v>#REF!</v>
      </c>
      <c r="AF155" s="153" t="e">
        <f>INDEX(#REF!, MATCH($A155,#REF!, 0), MATCH(AF$4,#REF!, 0))</f>
        <v>#REF!</v>
      </c>
      <c r="AG155" s="153" t="e">
        <f>INDEX(#REF!, MATCH($A155,#REF!, 0), MATCH(AG$4,#REF!, 0))</f>
        <v>#REF!</v>
      </c>
      <c r="AH155" s="153" t="e">
        <f>INDEX(#REF!, MATCH($A155,#REF!, 0), MATCH(AH$4,#REF!, 0))</f>
        <v>#REF!</v>
      </c>
      <c r="AI155" s="152" t="e">
        <f>INDEX(#REF!, MATCH($A155,#REF!, 0), MATCH(AI$4,#REF!, 0))</f>
        <v>#REF!</v>
      </c>
      <c r="AJ155" s="344" t="e">
        <f>INDEX(#REF!, MATCH($A155,#REF!, 0), MATCH(AJ$4,#REF!, 0))</f>
        <v>#REF!</v>
      </c>
      <c r="AK155" s="153" t="e">
        <f>INDEX(#REF!, MATCH($A155,#REF!, 0), MATCH(AK$4,#REF!, 0))</f>
        <v>#REF!</v>
      </c>
      <c r="AL155" s="153" t="e">
        <f>INDEX(#REF!, MATCH($A155,#REF!, 0), MATCH(AL$4,#REF!, 0))</f>
        <v>#REF!</v>
      </c>
      <c r="AM155" s="153" t="e">
        <f>INDEX(#REF!, MATCH($A155,#REF!, 0), MATCH(AM$4,#REF!, 0))</f>
        <v>#REF!</v>
      </c>
      <c r="AN155" s="153" t="e">
        <f>INDEX(#REF!, MATCH($A155,#REF!, 0), MATCH(AN$4,#REF!, 0))</f>
        <v>#REF!</v>
      </c>
      <c r="AO155" s="153" t="e">
        <f>INDEX(#REF!, MATCH($A155,#REF!, 0), MATCH(AO$4,#REF!, 0))</f>
        <v>#REF!</v>
      </c>
      <c r="AP155" s="153" t="e">
        <f>INDEX(#REF!, MATCH($A155,#REF!, 0), MATCH(AP$4,#REF!, 0))</f>
        <v>#REF!</v>
      </c>
      <c r="AQ155" s="344" t="e">
        <f>INDEX(#REF!, MATCH($A155,#REF!, 0), MATCH(AQ$4,#REF!, 0))</f>
        <v>#REF!</v>
      </c>
      <c r="AR155" s="153" t="e">
        <f>INDEX(#REF!, MATCH($A155,#REF!, 0), MATCH(AR$4,#REF!, 0))</f>
        <v>#REF!</v>
      </c>
      <c r="AS155" s="153" t="e">
        <f>INDEX(#REF!, MATCH($A155,#REF!, 0), MATCH(AS$4,#REF!, 0))</f>
        <v>#REF!</v>
      </c>
      <c r="AT155" s="153" t="e">
        <f>INDEX(#REF!, MATCH($A155,#REF!, 0), MATCH(AT$4,#REF!, 0))</f>
        <v>#REF!</v>
      </c>
      <c r="AU155" s="153" t="e">
        <f>INDEX(#REF!, MATCH($A155,#REF!, 0), MATCH(AU$4,#REF!, 0))</f>
        <v>#REF!</v>
      </c>
      <c r="AV155" s="153" t="e">
        <f>INDEX(#REF!, MATCH($A155,#REF!, 0), MATCH(AV$4,#REF!, 0))</f>
        <v>#REF!</v>
      </c>
      <c r="AW155" s="153" t="e">
        <f>INDEX(#REF!, MATCH($A155,#REF!, 0), MATCH(AW$4,#REF!, 0))</f>
        <v>#REF!</v>
      </c>
      <c r="AX155" s="344" t="e">
        <f>INDEX(#REF!, MATCH($A155,#REF!, 0), MATCH(AX$4,#REF!, 0))</f>
        <v>#REF!</v>
      </c>
      <c r="AY155" s="153" t="e">
        <f>INDEX(#REF!, MATCH($A155,#REF!, 0), MATCH(AY$4,#REF!, 0))</f>
        <v>#REF!</v>
      </c>
      <c r="AZ155" s="153" t="e">
        <f>INDEX(#REF!, MATCH($A155,#REF!, 0), MATCH(AZ$4,#REF!, 0))</f>
        <v>#REF!</v>
      </c>
      <c r="BA155" s="153" t="e">
        <f>INDEX(#REF!, MATCH($A155,#REF!, 0), MATCH(BA$4,#REF!, 0))</f>
        <v>#REF!</v>
      </c>
      <c r="BB155" s="153" t="e">
        <f>INDEX(#REF!, MATCH($A155,#REF!, 0), MATCH(BB$4,#REF!, 0))</f>
        <v>#REF!</v>
      </c>
      <c r="BC155" s="153" t="e">
        <f>INDEX(#REF!, MATCH($A155,#REF!, 0), MATCH(BC$4,#REF!, 0))</f>
        <v>#REF!</v>
      </c>
      <c r="BD155" s="386" t="e">
        <f>INDEX(#REF!, MATCH($A155,#REF!, 0), MATCH(BD$4,#REF!, 0))</f>
        <v>#REF!</v>
      </c>
      <c r="BE155" s="344" t="e">
        <f>INDEX(#REF!, MATCH($A155,#REF!, 0), MATCH(BE$4,#REF!, 0))</f>
        <v>#REF!</v>
      </c>
      <c r="BF155" s="153" t="e">
        <f>INDEX(#REF!, MATCH($A155,#REF!, 0), MATCH(BF$4,#REF!, 0))</f>
        <v>#REF!</v>
      </c>
      <c r="BG155" s="153" t="e">
        <f>INDEX(#REF!, MATCH($A155,#REF!, 0), MATCH(BG$4,#REF!, 0))</f>
        <v>#REF!</v>
      </c>
      <c r="BH155" s="153" t="e">
        <f>INDEX(#REF!, MATCH($A155,#REF!, 0), MATCH(BH$4,#REF!, 0))</f>
        <v>#REF!</v>
      </c>
      <c r="BI155" s="153" t="e">
        <f>INDEX(#REF!, MATCH($A155,#REF!, 0), MATCH(BI$4,#REF!, 0))</f>
        <v>#REF!</v>
      </c>
      <c r="BJ155" s="153" t="e">
        <f>INDEX(#REF!, MATCH($A155,#REF!, 0), MATCH(BJ$4,#REF!, 0))</f>
        <v>#REF!</v>
      </c>
      <c r="BK155" s="386" t="e">
        <f>INDEX(#REF!, MATCH($A155,#REF!, 0), MATCH(BK$4,#REF!, 0))</f>
        <v>#REF!</v>
      </c>
    </row>
    <row r="156" spans="1:91">
      <c r="A156" s="111" t="s">
        <v>335</v>
      </c>
      <c r="B156" s="238" t="str">
        <f t="shared" si="527"/>
        <v>应收股利</v>
      </c>
      <c r="D156" s="152" t="e">
        <f>INDEX(#REF!, MATCH($A156,#REF!, 0), MATCH(D$4,#REF!, 0))</f>
        <v>#REF!</v>
      </c>
      <c r="E156" s="152" t="e">
        <f>INDEX(#REF!, MATCH($A156,#REF!, 0), MATCH(E$4,#REF!, 0))</f>
        <v>#REF!</v>
      </c>
      <c r="F156" s="152" t="e">
        <f>INDEX(#REF!, MATCH($A156,#REF!, 0), MATCH(F$4,#REF!, 0))</f>
        <v>#REF!</v>
      </c>
      <c r="G156" s="152" t="e">
        <f>INDEX(#REF!, MATCH($A156,#REF!, 0), MATCH(G$4,#REF!, 0))</f>
        <v>#REF!</v>
      </c>
      <c r="H156" s="152" t="e">
        <f>INDEX(#REF!, MATCH($A156,#REF!, 0), MATCH(H$4,#REF!, 0))</f>
        <v>#REF!</v>
      </c>
      <c r="I156" s="152" t="e">
        <f>INDEX(#REF!, MATCH($A156,#REF!, 0), MATCH(I$4,#REF!, 0))</f>
        <v>#REF!</v>
      </c>
      <c r="J156" s="152" t="e">
        <f>INDEX(#REF!, MATCH($A156,#REF!, 0), MATCH(J$4,#REF!, 0))</f>
        <v>#REF!</v>
      </c>
      <c r="K156" s="152" t="e">
        <f>INDEX(#REF!, MATCH($A156,#REF!, 0), MATCH(K$4,#REF!, 0))</f>
        <v>#REF!</v>
      </c>
      <c r="L156" s="152" t="e">
        <f>INDEX(#REF!, MATCH($A156,#REF!, 0), MATCH(L$4,#REF!, 0))</f>
        <v>#REF!</v>
      </c>
      <c r="M156" s="152" t="e">
        <f>INDEX(#REF!, MATCH($A156,#REF!, 0), MATCH(M$4,#REF!, 0))</f>
        <v>#REF!</v>
      </c>
      <c r="N156" s="152" t="e">
        <f>INDEX(#REF!, MATCH($A156,#REF!, 0), MATCH(N$4,#REF!, 0))</f>
        <v>#REF!</v>
      </c>
      <c r="O156" s="152" t="e">
        <f>INDEX(#REF!, MATCH($A156,#REF!, 0), MATCH(O$4,#REF!, 0))</f>
        <v>#REF!</v>
      </c>
      <c r="P156" s="152" t="e">
        <f>INDEX(#REF!, MATCH($A156,#REF!, 0), MATCH(P$4,#REF!, 0))</f>
        <v>#REF!</v>
      </c>
      <c r="Q156" s="152" t="e">
        <f>INDEX(#REF!, MATCH($A156,#REF!, 0), MATCH(Q$4,#REF!, 0))</f>
        <v>#REF!</v>
      </c>
      <c r="R156" s="152" t="e">
        <f>INDEX(#REF!, MATCH($A156,#REF!, 0), MATCH(R$4,#REF!, 0))</f>
        <v>#REF!</v>
      </c>
      <c r="S156" s="152" t="e">
        <f>INDEX(#REF!, MATCH($A156,#REF!, 0), MATCH(S$4,#REF!, 0))</f>
        <v>#REF!</v>
      </c>
      <c r="T156" s="152" t="e">
        <f>INDEX(#REF!, MATCH($A156,#REF!, 0), MATCH(T$4,#REF!, 0))</f>
        <v>#REF!</v>
      </c>
      <c r="U156" s="152" t="e">
        <f>INDEX(#REF!, MATCH($A156,#REF!, 0), MATCH(U$4,#REF!, 0))</f>
        <v>#REF!</v>
      </c>
      <c r="V156" s="344" t="e">
        <f>INDEX(#REF!, MATCH($A156,#REF!, 0), MATCH(V$4,#REF!, 0))</f>
        <v>#REF!</v>
      </c>
      <c r="W156" s="153" t="e">
        <f>INDEX(#REF!, MATCH($A156,#REF!, 0), MATCH(W$4,#REF!, 0))</f>
        <v>#REF!</v>
      </c>
      <c r="X156" s="153" t="e">
        <f>INDEX(#REF!, MATCH($A156,#REF!, 0), MATCH(X$4,#REF!, 0))</f>
        <v>#REF!</v>
      </c>
      <c r="Y156" s="153" t="e">
        <f>INDEX(#REF!, MATCH($A156,#REF!, 0), MATCH(Y$4,#REF!, 0))</f>
        <v>#REF!</v>
      </c>
      <c r="Z156" s="153" t="e">
        <f>INDEX(#REF!, MATCH($A156,#REF!, 0), MATCH(Z$4,#REF!, 0))</f>
        <v>#REF!</v>
      </c>
      <c r="AA156" s="153" t="e">
        <f>INDEX(#REF!, MATCH($A156,#REF!, 0), MATCH(AA$4,#REF!, 0))</f>
        <v>#REF!</v>
      </c>
      <c r="AB156" s="152" t="e">
        <f>INDEX(#REF!, MATCH($A156,#REF!, 0), MATCH(AB$4,#REF!, 0))</f>
        <v>#REF!</v>
      </c>
      <c r="AC156" s="344" t="e">
        <f>INDEX(#REF!, MATCH($A156,#REF!, 0), MATCH(AC$4,#REF!, 0))</f>
        <v>#REF!</v>
      </c>
      <c r="AD156" s="153" t="e">
        <f>INDEX(#REF!, MATCH($A156,#REF!, 0), MATCH(AD$4,#REF!, 0))</f>
        <v>#REF!</v>
      </c>
      <c r="AE156" s="153" t="e">
        <f>INDEX(#REF!, MATCH($A156,#REF!, 0), MATCH(AE$4,#REF!, 0))</f>
        <v>#REF!</v>
      </c>
      <c r="AF156" s="153" t="e">
        <f>INDEX(#REF!, MATCH($A156,#REF!, 0), MATCH(AF$4,#REF!, 0))</f>
        <v>#REF!</v>
      </c>
      <c r="AG156" s="153" t="e">
        <f>INDEX(#REF!, MATCH($A156,#REF!, 0), MATCH(AG$4,#REF!, 0))</f>
        <v>#REF!</v>
      </c>
      <c r="AH156" s="153" t="e">
        <f>INDEX(#REF!, MATCH($A156,#REF!, 0), MATCH(AH$4,#REF!, 0))</f>
        <v>#REF!</v>
      </c>
      <c r="AI156" s="152" t="e">
        <f>INDEX(#REF!, MATCH($A156,#REF!, 0), MATCH(AI$4,#REF!, 0))</f>
        <v>#REF!</v>
      </c>
      <c r="AJ156" s="344" t="e">
        <f>INDEX(#REF!, MATCH($A156,#REF!, 0), MATCH(AJ$4,#REF!, 0))</f>
        <v>#REF!</v>
      </c>
      <c r="AK156" s="153" t="e">
        <f>INDEX(#REF!, MATCH($A156,#REF!, 0), MATCH(AK$4,#REF!, 0))</f>
        <v>#REF!</v>
      </c>
      <c r="AL156" s="153" t="e">
        <f>INDEX(#REF!, MATCH($A156,#REF!, 0), MATCH(AL$4,#REF!, 0))</f>
        <v>#REF!</v>
      </c>
      <c r="AM156" s="153" t="e">
        <f>INDEX(#REF!, MATCH($A156,#REF!, 0), MATCH(AM$4,#REF!, 0))</f>
        <v>#REF!</v>
      </c>
      <c r="AN156" s="153" t="e">
        <f>INDEX(#REF!, MATCH($A156,#REF!, 0), MATCH(AN$4,#REF!, 0))</f>
        <v>#REF!</v>
      </c>
      <c r="AO156" s="153" t="e">
        <f>INDEX(#REF!, MATCH($A156,#REF!, 0), MATCH(AO$4,#REF!, 0))</f>
        <v>#REF!</v>
      </c>
      <c r="AP156" s="153" t="e">
        <f>INDEX(#REF!, MATCH($A156,#REF!, 0), MATCH(AP$4,#REF!, 0))</f>
        <v>#REF!</v>
      </c>
      <c r="AQ156" s="344" t="e">
        <f>INDEX(#REF!, MATCH($A156,#REF!, 0), MATCH(AQ$4,#REF!, 0))</f>
        <v>#REF!</v>
      </c>
      <c r="AR156" s="153" t="e">
        <f>INDEX(#REF!, MATCH($A156,#REF!, 0), MATCH(AR$4,#REF!, 0))</f>
        <v>#REF!</v>
      </c>
      <c r="AS156" s="153" t="e">
        <f>INDEX(#REF!, MATCH($A156,#REF!, 0), MATCH(AS$4,#REF!, 0))</f>
        <v>#REF!</v>
      </c>
      <c r="AT156" s="153" t="e">
        <f>INDEX(#REF!, MATCH($A156,#REF!, 0), MATCH(AT$4,#REF!, 0))</f>
        <v>#REF!</v>
      </c>
      <c r="AU156" s="153" t="e">
        <f>INDEX(#REF!, MATCH($A156,#REF!, 0), MATCH(AU$4,#REF!, 0))</f>
        <v>#REF!</v>
      </c>
      <c r="AV156" s="153" t="e">
        <f>INDEX(#REF!, MATCH($A156,#REF!, 0), MATCH(AV$4,#REF!, 0))</f>
        <v>#REF!</v>
      </c>
      <c r="AW156" s="153" t="e">
        <f>INDEX(#REF!, MATCH($A156,#REF!, 0), MATCH(AW$4,#REF!, 0))</f>
        <v>#REF!</v>
      </c>
      <c r="AX156" s="344" t="e">
        <f>INDEX(#REF!, MATCH($A156,#REF!, 0), MATCH(AX$4,#REF!, 0))</f>
        <v>#REF!</v>
      </c>
      <c r="AY156" s="153" t="e">
        <f>INDEX(#REF!, MATCH($A156,#REF!, 0), MATCH(AY$4,#REF!, 0))</f>
        <v>#REF!</v>
      </c>
      <c r="AZ156" s="153" t="e">
        <f>INDEX(#REF!, MATCH($A156,#REF!, 0), MATCH(AZ$4,#REF!, 0))</f>
        <v>#REF!</v>
      </c>
      <c r="BA156" s="153" t="e">
        <f>INDEX(#REF!, MATCH($A156,#REF!, 0), MATCH(BA$4,#REF!, 0))</f>
        <v>#REF!</v>
      </c>
      <c r="BB156" s="153" t="e">
        <f>INDEX(#REF!, MATCH($A156,#REF!, 0), MATCH(BB$4,#REF!, 0))</f>
        <v>#REF!</v>
      </c>
      <c r="BC156" s="153" t="e">
        <f>INDEX(#REF!, MATCH($A156,#REF!, 0), MATCH(BC$4,#REF!, 0))</f>
        <v>#REF!</v>
      </c>
      <c r="BD156" s="386" t="e">
        <f>INDEX(#REF!, MATCH($A156,#REF!, 0), MATCH(BD$4,#REF!, 0))</f>
        <v>#REF!</v>
      </c>
      <c r="BE156" s="344" t="e">
        <f>INDEX(#REF!, MATCH($A156,#REF!, 0), MATCH(BE$4,#REF!, 0))</f>
        <v>#REF!</v>
      </c>
      <c r="BF156" s="153" t="e">
        <f>INDEX(#REF!, MATCH($A156,#REF!, 0), MATCH(BF$4,#REF!, 0))</f>
        <v>#REF!</v>
      </c>
      <c r="BG156" s="153" t="e">
        <f>INDEX(#REF!, MATCH($A156,#REF!, 0), MATCH(BG$4,#REF!, 0))</f>
        <v>#REF!</v>
      </c>
      <c r="BH156" s="153" t="e">
        <f>INDEX(#REF!, MATCH($A156,#REF!, 0), MATCH(BH$4,#REF!, 0))</f>
        <v>#REF!</v>
      </c>
      <c r="BI156" s="153" t="e">
        <f>INDEX(#REF!, MATCH($A156,#REF!, 0), MATCH(BI$4,#REF!, 0))</f>
        <v>#REF!</v>
      </c>
      <c r="BJ156" s="153" t="e">
        <f>INDEX(#REF!, MATCH($A156,#REF!, 0), MATCH(BJ$4,#REF!, 0))</f>
        <v>#REF!</v>
      </c>
      <c r="BK156" s="386" t="e">
        <f>INDEX(#REF!, MATCH($A156,#REF!, 0), MATCH(BK$4,#REF!, 0))</f>
        <v>#REF!</v>
      </c>
    </row>
    <row r="157" spans="1:91">
      <c r="A157" s="195" t="s">
        <v>264</v>
      </c>
      <c r="B157" s="238" t="str">
        <f t="shared" si="527"/>
        <v>合同资产</v>
      </c>
      <c r="D157" s="152" t="e">
        <f>INDEX(#REF!, MATCH($A157,#REF!, 0), MATCH(D$4,#REF!, 0))</f>
        <v>#REF!</v>
      </c>
      <c r="E157" s="152" t="e">
        <f>INDEX(#REF!, MATCH($A157,#REF!, 0), MATCH(E$4,#REF!, 0))</f>
        <v>#REF!</v>
      </c>
      <c r="F157" s="152" t="e">
        <f>INDEX(#REF!, MATCH($A157,#REF!, 0), MATCH(F$4,#REF!, 0))</f>
        <v>#REF!</v>
      </c>
      <c r="G157" s="152" t="e">
        <f>INDEX(#REF!, MATCH($A157,#REF!, 0), MATCH(G$4,#REF!, 0))</f>
        <v>#REF!</v>
      </c>
      <c r="H157" s="152" t="e">
        <f>INDEX(#REF!, MATCH($A157,#REF!, 0), MATCH(H$4,#REF!, 0))</f>
        <v>#REF!</v>
      </c>
      <c r="I157" s="152" t="e">
        <f>INDEX(#REF!, MATCH($A157,#REF!, 0), MATCH(I$4,#REF!, 0))</f>
        <v>#REF!</v>
      </c>
      <c r="J157" s="152" t="e">
        <f>INDEX(#REF!, MATCH($A157,#REF!, 0), MATCH(J$4,#REF!, 0))</f>
        <v>#REF!</v>
      </c>
      <c r="K157" s="152" t="e">
        <f>INDEX(#REF!, MATCH($A157,#REF!, 0), MATCH(K$4,#REF!, 0))</f>
        <v>#REF!</v>
      </c>
      <c r="L157" s="152" t="e">
        <f>INDEX(#REF!, MATCH($A157,#REF!, 0), MATCH(L$4,#REF!, 0))</f>
        <v>#REF!</v>
      </c>
      <c r="M157" s="152" t="e">
        <f>INDEX(#REF!, MATCH($A157,#REF!, 0), MATCH(M$4,#REF!, 0))</f>
        <v>#REF!</v>
      </c>
      <c r="N157" s="152" t="e">
        <f>INDEX(#REF!, MATCH($A157,#REF!, 0), MATCH(N$4,#REF!, 0))</f>
        <v>#REF!</v>
      </c>
      <c r="O157" s="152" t="e">
        <f>INDEX(#REF!, MATCH($A157,#REF!, 0), MATCH(O$4,#REF!, 0))</f>
        <v>#REF!</v>
      </c>
      <c r="P157" s="152" t="e">
        <f>INDEX(#REF!, MATCH($A157,#REF!, 0), MATCH(P$4,#REF!, 0))</f>
        <v>#REF!</v>
      </c>
      <c r="Q157" s="152" t="e">
        <f>INDEX(#REF!, MATCH($A157,#REF!, 0), MATCH(Q$4,#REF!, 0))</f>
        <v>#REF!</v>
      </c>
      <c r="R157" s="152" t="e">
        <f>INDEX(#REF!, MATCH($A157,#REF!, 0), MATCH(R$4,#REF!, 0))</f>
        <v>#REF!</v>
      </c>
      <c r="S157" s="152" t="e">
        <f>INDEX(#REF!, MATCH($A157,#REF!, 0), MATCH(S$4,#REF!, 0))</f>
        <v>#REF!</v>
      </c>
      <c r="T157" s="152" t="e">
        <f>INDEX(#REF!, MATCH($A157,#REF!, 0), MATCH(T$4,#REF!, 0))</f>
        <v>#REF!</v>
      </c>
      <c r="U157" s="152" t="e">
        <f>INDEX(#REF!, MATCH($A157,#REF!, 0), MATCH(U$4,#REF!, 0))</f>
        <v>#REF!</v>
      </c>
      <c r="V157" s="344" t="e">
        <f>INDEX(#REF!, MATCH($A157,#REF!, 0), MATCH(V$4,#REF!, 0))</f>
        <v>#REF!</v>
      </c>
      <c r="W157" s="153" t="e">
        <f>INDEX(#REF!, MATCH($A157,#REF!, 0), MATCH(W$4,#REF!, 0))</f>
        <v>#REF!</v>
      </c>
      <c r="X157" s="153" t="e">
        <f>INDEX(#REF!, MATCH($A157,#REF!, 0), MATCH(X$4,#REF!, 0))</f>
        <v>#REF!</v>
      </c>
      <c r="Y157" s="153" t="e">
        <f>INDEX(#REF!, MATCH($A157,#REF!, 0), MATCH(Y$4,#REF!, 0))</f>
        <v>#REF!</v>
      </c>
      <c r="Z157" s="153" t="e">
        <f>INDEX(#REF!, MATCH($A157,#REF!, 0), MATCH(Z$4,#REF!, 0))</f>
        <v>#REF!</v>
      </c>
      <c r="AA157" s="153" t="e">
        <f>INDEX(#REF!, MATCH($A157,#REF!, 0), MATCH(AA$4,#REF!, 0))</f>
        <v>#REF!</v>
      </c>
      <c r="AB157" s="152" t="e">
        <f>INDEX(#REF!, MATCH($A157,#REF!, 0), MATCH(AB$4,#REF!, 0))</f>
        <v>#REF!</v>
      </c>
      <c r="AC157" s="344" t="e">
        <f>INDEX(#REF!, MATCH($A157,#REF!, 0), MATCH(AC$4,#REF!, 0))</f>
        <v>#REF!</v>
      </c>
      <c r="AD157" s="153" t="e">
        <f>INDEX(#REF!, MATCH($A157,#REF!, 0), MATCH(AD$4,#REF!, 0))</f>
        <v>#REF!</v>
      </c>
      <c r="AE157" s="153" t="e">
        <f>INDEX(#REF!, MATCH($A157,#REF!, 0), MATCH(AE$4,#REF!, 0))</f>
        <v>#REF!</v>
      </c>
      <c r="AF157" s="153" t="e">
        <f>INDEX(#REF!, MATCH($A157,#REF!, 0), MATCH(AF$4,#REF!, 0))</f>
        <v>#REF!</v>
      </c>
      <c r="AG157" s="153" t="e">
        <f>INDEX(#REF!, MATCH($A157,#REF!, 0), MATCH(AG$4,#REF!, 0))</f>
        <v>#REF!</v>
      </c>
      <c r="AH157" s="153" t="e">
        <f>INDEX(#REF!, MATCH($A157,#REF!, 0), MATCH(AH$4,#REF!, 0))</f>
        <v>#REF!</v>
      </c>
      <c r="AI157" s="152" t="e">
        <f>INDEX(#REF!, MATCH($A157,#REF!, 0), MATCH(AI$4,#REF!, 0))</f>
        <v>#REF!</v>
      </c>
      <c r="AJ157" s="344" t="e">
        <f>INDEX(#REF!, MATCH($A157,#REF!, 0), MATCH(AJ$4,#REF!, 0))</f>
        <v>#REF!</v>
      </c>
      <c r="AK157" s="153" t="e">
        <f>INDEX(#REF!, MATCH($A157,#REF!, 0), MATCH(AK$4,#REF!, 0))</f>
        <v>#REF!</v>
      </c>
      <c r="AL157" s="153" t="e">
        <f>INDEX(#REF!, MATCH($A157,#REF!, 0), MATCH(AL$4,#REF!, 0))</f>
        <v>#REF!</v>
      </c>
      <c r="AM157" s="153" t="e">
        <f>INDEX(#REF!, MATCH($A157,#REF!, 0), MATCH(AM$4,#REF!, 0))</f>
        <v>#REF!</v>
      </c>
      <c r="AN157" s="153" t="e">
        <f>INDEX(#REF!, MATCH($A157,#REF!, 0), MATCH(AN$4,#REF!, 0))</f>
        <v>#REF!</v>
      </c>
      <c r="AO157" s="153" t="e">
        <f>INDEX(#REF!, MATCH($A157,#REF!, 0), MATCH(AO$4,#REF!, 0))</f>
        <v>#REF!</v>
      </c>
      <c r="AP157" s="153" t="e">
        <f>INDEX(#REF!, MATCH($A157,#REF!, 0), MATCH(AP$4,#REF!, 0))</f>
        <v>#REF!</v>
      </c>
      <c r="AQ157" s="344" t="e">
        <f>INDEX(#REF!, MATCH($A157,#REF!, 0), MATCH(AQ$4,#REF!, 0))</f>
        <v>#REF!</v>
      </c>
      <c r="AR157" s="153" t="e">
        <f>INDEX(#REF!, MATCH($A157,#REF!, 0), MATCH(AR$4,#REF!, 0))</f>
        <v>#REF!</v>
      </c>
      <c r="AS157" s="153" t="e">
        <f>INDEX(#REF!, MATCH($A157,#REF!, 0), MATCH(AS$4,#REF!, 0))</f>
        <v>#REF!</v>
      </c>
      <c r="AT157" s="153" t="e">
        <f>INDEX(#REF!, MATCH($A157,#REF!, 0), MATCH(AT$4,#REF!, 0))</f>
        <v>#REF!</v>
      </c>
      <c r="AU157" s="153" t="e">
        <f>INDEX(#REF!, MATCH($A157,#REF!, 0), MATCH(AU$4,#REF!, 0))</f>
        <v>#REF!</v>
      </c>
      <c r="AV157" s="153" t="e">
        <f>INDEX(#REF!, MATCH($A157,#REF!, 0), MATCH(AV$4,#REF!, 0))</f>
        <v>#REF!</v>
      </c>
      <c r="AW157" s="153" t="e">
        <f>INDEX(#REF!, MATCH($A157,#REF!, 0), MATCH(AW$4,#REF!, 0))</f>
        <v>#REF!</v>
      </c>
      <c r="AX157" s="344" t="e">
        <f>INDEX(#REF!, MATCH($A157,#REF!, 0), MATCH(AX$4,#REF!, 0))</f>
        <v>#REF!</v>
      </c>
      <c r="AY157" s="153" t="e">
        <f>INDEX(#REF!, MATCH($A157,#REF!, 0), MATCH(AY$4,#REF!, 0))</f>
        <v>#REF!</v>
      </c>
      <c r="AZ157" s="153" t="e">
        <f>INDEX(#REF!, MATCH($A157,#REF!, 0), MATCH(AZ$4,#REF!, 0))</f>
        <v>#REF!</v>
      </c>
      <c r="BA157" s="153" t="e">
        <f>INDEX(#REF!, MATCH($A157,#REF!, 0), MATCH(BA$4,#REF!, 0))</f>
        <v>#REF!</v>
      </c>
      <c r="BB157" s="153" t="e">
        <f>INDEX(#REF!, MATCH($A157,#REF!, 0), MATCH(BB$4,#REF!, 0))</f>
        <v>#REF!</v>
      </c>
      <c r="BC157" s="153" t="e">
        <f>INDEX(#REF!, MATCH($A157,#REF!, 0), MATCH(BC$4,#REF!, 0))</f>
        <v>#REF!</v>
      </c>
      <c r="BD157" s="386" t="e">
        <f>INDEX(#REF!, MATCH($A157,#REF!, 0), MATCH(BD$4,#REF!, 0))</f>
        <v>#REF!</v>
      </c>
      <c r="BE157" s="344" t="e">
        <f>INDEX(#REF!, MATCH($A157,#REF!, 0), MATCH(BE$4,#REF!, 0))</f>
        <v>#REF!</v>
      </c>
      <c r="BF157" s="153" t="e">
        <f>INDEX(#REF!, MATCH($A157,#REF!, 0), MATCH(BF$4,#REF!, 0))</f>
        <v>#REF!</v>
      </c>
      <c r="BG157" s="153" t="e">
        <f>INDEX(#REF!, MATCH($A157,#REF!, 0), MATCH(BG$4,#REF!, 0))</f>
        <v>#REF!</v>
      </c>
      <c r="BH157" s="153" t="e">
        <f>INDEX(#REF!, MATCH($A157,#REF!, 0), MATCH(BH$4,#REF!, 0))</f>
        <v>#REF!</v>
      </c>
      <c r="BI157" s="153" t="e">
        <f>INDEX(#REF!, MATCH($A157,#REF!, 0), MATCH(BI$4,#REF!, 0))</f>
        <v>#REF!</v>
      </c>
      <c r="BJ157" s="153" t="e">
        <f>INDEX(#REF!, MATCH($A157,#REF!, 0), MATCH(BJ$4,#REF!, 0))</f>
        <v>#REF!</v>
      </c>
      <c r="BK157" s="386" t="e">
        <f>INDEX(#REF!, MATCH($A157,#REF!, 0), MATCH(BK$4,#REF!, 0))</f>
        <v>#REF!</v>
      </c>
    </row>
    <row r="158" spans="1:91">
      <c r="B158" s="237"/>
    </row>
    <row r="159" spans="1:91" s="244" customFormat="1" ht="14.1">
      <c r="A159" s="239" t="s">
        <v>179</v>
      </c>
      <c r="B159" s="240" t="s">
        <v>273</v>
      </c>
      <c r="C159" s="241"/>
      <c r="D159" s="242" t="e">
        <f>INDEX(#REF!, MATCH($A159,#REF!, 0), MATCH(D$4,#REF!, 0))</f>
        <v>#REF!</v>
      </c>
      <c r="E159" s="242" t="e">
        <f>INDEX(#REF!, MATCH($A159,#REF!, 0), MATCH(E$4,#REF!, 0))</f>
        <v>#REF!</v>
      </c>
      <c r="F159" s="242" t="e">
        <f>INDEX(#REF!, MATCH($A159,#REF!, 0), MATCH(F$4,#REF!, 0))</f>
        <v>#REF!</v>
      </c>
      <c r="G159" s="242" t="e">
        <f>INDEX(#REF!, MATCH($A159,#REF!, 0), MATCH(G$4,#REF!, 0))</f>
        <v>#REF!</v>
      </c>
      <c r="H159" s="242" t="e">
        <f>INDEX(#REF!, MATCH($A159,#REF!, 0), MATCH(H$4,#REF!, 0))</f>
        <v>#REF!</v>
      </c>
      <c r="I159" s="242" t="e">
        <f>INDEX(#REF!, MATCH($A159,#REF!, 0), MATCH(I$4,#REF!, 0))</f>
        <v>#REF!</v>
      </c>
      <c r="J159" s="242" t="e">
        <f>INDEX(#REF!, MATCH($A159,#REF!, 0), MATCH(J$4,#REF!, 0))</f>
        <v>#REF!</v>
      </c>
      <c r="K159" s="242" t="e">
        <f>INDEX(#REF!, MATCH($A159,#REF!, 0), MATCH(K$4,#REF!, 0))</f>
        <v>#REF!</v>
      </c>
      <c r="L159" s="242" t="e">
        <f>INDEX(#REF!, MATCH($A159,#REF!, 0), MATCH(L$4,#REF!, 0))</f>
        <v>#REF!</v>
      </c>
      <c r="M159" s="242" t="e">
        <f>INDEX(#REF!, MATCH($A159,#REF!, 0), MATCH(M$4,#REF!, 0))</f>
        <v>#REF!</v>
      </c>
      <c r="N159" s="242" t="e">
        <f>INDEX(#REF!, MATCH($A159,#REF!, 0), MATCH(N$4,#REF!, 0))</f>
        <v>#REF!</v>
      </c>
      <c r="O159" s="242" t="e">
        <f>INDEX(#REF!, MATCH($A159,#REF!, 0), MATCH(O$4,#REF!, 0))</f>
        <v>#REF!</v>
      </c>
      <c r="P159" s="242" t="e">
        <f>INDEX(#REF!, MATCH($A159,#REF!, 0), MATCH(P$4,#REF!, 0))</f>
        <v>#REF!</v>
      </c>
      <c r="Q159" s="242" t="e">
        <f>INDEX(#REF!, MATCH($A159,#REF!, 0), MATCH(Q$4,#REF!, 0))</f>
        <v>#REF!</v>
      </c>
      <c r="R159" s="242" t="e">
        <f>INDEX(#REF!, MATCH($A159,#REF!, 0), MATCH(R$4,#REF!, 0))</f>
        <v>#REF!</v>
      </c>
      <c r="S159" s="242" t="e">
        <f>INDEX(#REF!, MATCH($A159,#REF!, 0), MATCH(S$4,#REF!, 0))</f>
        <v>#REF!</v>
      </c>
      <c r="T159" s="242" t="e">
        <f>INDEX(#REF!, MATCH($A159,#REF!, 0), MATCH(T$4,#REF!, 0))</f>
        <v>#REF!</v>
      </c>
      <c r="U159" s="242" t="e">
        <f>INDEX(#REF!, MATCH($A159,#REF!, 0), MATCH(U$4,#REF!, 0))</f>
        <v>#REF!</v>
      </c>
      <c r="V159" s="321" t="e">
        <f>INDEX(#REF!, MATCH($A159,#REF!, 0), MATCH(V$4,#REF!, 0))</f>
        <v>#REF!</v>
      </c>
      <c r="W159" s="242" t="e">
        <f>INDEX(#REF!, MATCH($A159,#REF!, 0), MATCH(W$4,#REF!, 0))</f>
        <v>#REF!</v>
      </c>
      <c r="X159" s="242" t="e">
        <f>INDEX(#REF!, MATCH($A159,#REF!, 0), MATCH(X$4,#REF!, 0))</f>
        <v>#REF!</v>
      </c>
      <c r="Y159" s="242" t="e">
        <f>INDEX(#REF!, MATCH($A159,#REF!, 0), MATCH(Y$4,#REF!, 0))</f>
        <v>#REF!</v>
      </c>
      <c r="Z159" s="242" t="e">
        <f>INDEX(#REF!, MATCH($A159,#REF!, 0), MATCH(Z$4,#REF!, 0))</f>
        <v>#REF!</v>
      </c>
      <c r="AA159" s="242" t="e">
        <f>INDEX(#REF!, MATCH($A159,#REF!, 0), MATCH(AA$4,#REF!, 0))</f>
        <v>#REF!</v>
      </c>
      <c r="AB159" s="242" t="e">
        <f>INDEX(#REF!, MATCH($A159,#REF!, 0), MATCH(AB$4,#REF!, 0))</f>
        <v>#REF!</v>
      </c>
      <c r="AC159" s="321" t="e">
        <f>INDEX(#REF!, MATCH($A159,#REF!, 0), MATCH(AC$4,#REF!, 0))</f>
        <v>#REF!</v>
      </c>
      <c r="AD159" s="242" t="e">
        <f>INDEX(#REF!, MATCH($A159,#REF!, 0), MATCH(AD$4,#REF!, 0))</f>
        <v>#REF!</v>
      </c>
      <c r="AE159" s="242" t="e">
        <f>INDEX(#REF!, MATCH($A159,#REF!, 0), MATCH(AE$4,#REF!, 0))</f>
        <v>#REF!</v>
      </c>
      <c r="AF159" s="242" t="e">
        <f>INDEX(#REF!, MATCH($A159,#REF!, 0), MATCH(AF$4,#REF!, 0))</f>
        <v>#REF!</v>
      </c>
      <c r="AG159" s="242" t="e">
        <f>INDEX(#REF!, MATCH($A159,#REF!, 0), MATCH(AG$4,#REF!, 0))</f>
        <v>#REF!</v>
      </c>
      <c r="AH159" s="242" t="e">
        <f>INDEX(#REF!, MATCH($A159,#REF!, 0), MATCH(AH$4,#REF!, 0))</f>
        <v>#REF!</v>
      </c>
      <c r="AI159" s="242" t="e">
        <f>INDEX(#REF!, MATCH($A159,#REF!, 0), MATCH(AI$4,#REF!, 0))</f>
        <v>#REF!</v>
      </c>
      <c r="AJ159" s="321" t="e">
        <f>INDEX(#REF!, MATCH($A159,#REF!, 0), MATCH(AJ$4,#REF!, 0))</f>
        <v>#REF!</v>
      </c>
      <c r="AK159" s="242" t="e">
        <f>INDEX(#REF!, MATCH($A159,#REF!, 0), MATCH(AK$4,#REF!, 0))</f>
        <v>#REF!</v>
      </c>
      <c r="AL159" s="242" t="e">
        <f>INDEX(#REF!, MATCH($A159,#REF!, 0), MATCH(AL$4,#REF!, 0))</f>
        <v>#REF!</v>
      </c>
      <c r="AM159" s="242" t="e">
        <f>INDEX(#REF!, MATCH($A159,#REF!, 0), MATCH(AM$4,#REF!, 0))</f>
        <v>#REF!</v>
      </c>
      <c r="AN159" s="242" t="e">
        <f>INDEX(#REF!, MATCH($A159,#REF!, 0), MATCH(AN$4,#REF!, 0))</f>
        <v>#REF!</v>
      </c>
      <c r="AO159" s="242" t="e">
        <f>INDEX(#REF!, MATCH($A159,#REF!, 0), MATCH(AO$4,#REF!, 0))</f>
        <v>#REF!</v>
      </c>
      <c r="AP159" s="242" t="e">
        <f>INDEX(#REF!, MATCH($A159,#REF!, 0), MATCH(AP$4,#REF!, 0))</f>
        <v>#REF!</v>
      </c>
      <c r="AQ159" s="321" t="e">
        <f>INDEX(#REF!, MATCH($A159,#REF!, 0), MATCH(AQ$4,#REF!, 0))</f>
        <v>#REF!</v>
      </c>
      <c r="AR159" s="242" t="e">
        <f>INDEX(#REF!, MATCH($A159,#REF!, 0), MATCH(AR$4,#REF!, 0))</f>
        <v>#REF!</v>
      </c>
      <c r="AS159" s="242" t="e">
        <f>INDEX(#REF!, MATCH($A159,#REF!, 0), MATCH(AS$4,#REF!, 0))</f>
        <v>#REF!</v>
      </c>
      <c r="AT159" s="242" t="e">
        <f>INDEX(#REF!, MATCH($A159,#REF!, 0), MATCH(AT$4,#REF!, 0))</f>
        <v>#REF!</v>
      </c>
      <c r="AU159" s="242" t="e">
        <f>INDEX(#REF!, MATCH($A159,#REF!, 0), MATCH(AU$4,#REF!, 0))</f>
        <v>#REF!</v>
      </c>
      <c r="AV159" s="242" t="e">
        <f>INDEX(#REF!, MATCH($A159,#REF!, 0), MATCH(AV$4,#REF!, 0))</f>
        <v>#REF!</v>
      </c>
      <c r="AW159" s="242" t="e">
        <f>INDEX(#REF!, MATCH($A159,#REF!, 0), MATCH(AW$4,#REF!, 0))</f>
        <v>#REF!</v>
      </c>
      <c r="AX159" s="321" t="e">
        <f>INDEX(#REF!, MATCH($A159,#REF!, 0), MATCH(AX$4,#REF!, 0))</f>
        <v>#REF!</v>
      </c>
      <c r="AY159" s="242" t="e">
        <f>INDEX(#REF!, MATCH($A159,#REF!, 0), MATCH(AY$4,#REF!, 0))</f>
        <v>#REF!</v>
      </c>
      <c r="AZ159" s="242" t="e">
        <f>INDEX(#REF!, MATCH($A159,#REF!, 0), MATCH(AZ$4,#REF!, 0))</f>
        <v>#REF!</v>
      </c>
      <c r="BA159" s="242" t="e">
        <f>INDEX(#REF!, MATCH($A159,#REF!, 0), MATCH(BA$4,#REF!, 0))</f>
        <v>#REF!</v>
      </c>
      <c r="BB159" s="242" t="e">
        <f>INDEX(#REF!, MATCH($A159,#REF!, 0), MATCH(BB$4,#REF!, 0))</f>
        <v>#REF!</v>
      </c>
      <c r="BC159" s="242" t="e">
        <f>INDEX(#REF!, MATCH($A159,#REF!, 0), MATCH(BC$4,#REF!, 0))</f>
        <v>#REF!</v>
      </c>
      <c r="BD159" s="365" t="e">
        <f>INDEX(#REF!, MATCH($A159,#REF!, 0), MATCH(BD$4,#REF!, 0))</f>
        <v>#REF!</v>
      </c>
      <c r="BE159" s="321" t="e">
        <f>INDEX(#REF!, MATCH($A159,#REF!, 0), MATCH(BE$4,#REF!, 0))</f>
        <v>#REF!</v>
      </c>
      <c r="BF159" s="242" t="e">
        <f>INDEX(#REF!, MATCH($A159,#REF!, 0), MATCH(BF$4,#REF!, 0))</f>
        <v>#REF!</v>
      </c>
      <c r="BG159" s="242" t="e">
        <f>INDEX(#REF!, MATCH($A159,#REF!, 0), MATCH(BG$4,#REF!, 0))</f>
        <v>#REF!</v>
      </c>
      <c r="BH159" s="242" t="e">
        <f>INDEX(#REF!, MATCH($A159,#REF!, 0), MATCH(BH$4,#REF!, 0))</f>
        <v>#REF!</v>
      </c>
      <c r="BI159" s="242" t="e">
        <f>INDEX(#REF!, MATCH($A159,#REF!, 0), MATCH(BI$4,#REF!, 0))</f>
        <v>#REF!</v>
      </c>
      <c r="BJ159" s="242" t="e">
        <f>INDEX(#REF!, MATCH($A159,#REF!, 0), MATCH(BJ$4,#REF!, 0))</f>
        <v>#REF!</v>
      </c>
      <c r="BK159" s="365" t="e">
        <f>INDEX(#REF!, MATCH($A159,#REF!, 0), MATCH(BK$4,#REF!, 0))</f>
        <v>#REF!</v>
      </c>
      <c r="BL159" s="94" t="e">
        <f t="shared" ref="BL159:BR159" si="528">BL161+BL162+BL166+BL177+BL179</f>
        <v>#REF!</v>
      </c>
      <c r="BM159" s="94" t="e">
        <f t="shared" si="528"/>
        <v>#REF!</v>
      </c>
      <c r="BN159" s="94" t="e">
        <f t="shared" si="528"/>
        <v>#REF!</v>
      </c>
      <c r="BO159" s="94" t="e">
        <f t="shared" si="528"/>
        <v>#REF!</v>
      </c>
      <c r="BP159" s="94" t="e">
        <f t="shared" si="528"/>
        <v>#REF!</v>
      </c>
      <c r="BQ159" s="94" t="e">
        <f t="shared" si="528"/>
        <v>#REF!</v>
      </c>
      <c r="BR159" s="94" t="e">
        <f t="shared" si="528"/>
        <v>#REF!</v>
      </c>
      <c r="BS159" s="235"/>
      <c r="BT159" s="243"/>
      <c r="BU159" s="235"/>
      <c r="BV159" s="235"/>
      <c r="BW159" s="235"/>
      <c r="BX159" s="235"/>
      <c r="BY159" s="235"/>
      <c r="BZ159" s="235"/>
      <c r="CA159" s="235"/>
      <c r="CB159" s="235"/>
      <c r="CC159" s="235"/>
      <c r="CD159" s="235"/>
      <c r="CE159" s="235"/>
      <c r="CF159" s="235"/>
      <c r="CG159" s="235"/>
      <c r="CH159" s="235"/>
      <c r="CI159" s="235"/>
      <c r="CJ159" s="235"/>
      <c r="CK159" s="235"/>
      <c r="CL159" s="235"/>
      <c r="CM159" s="235"/>
    </row>
    <row r="160" spans="1:91">
      <c r="B160" s="83"/>
    </row>
    <row r="161" spans="1:72" ht="14.25" customHeight="1">
      <c r="A161" s="169" t="s">
        <v>177</v>
      </c>
      <c r="B161" s="117" t="s">
        <v>121</v>
      </c>
      <c r="C161" s="117"/>
      <c r="D161" s="146" t="e">
        <f>INDEX(#REF!, MATCH($A161,#REF!, 0), MATCH(D$4,#REF!, 0))</f>
        <v>#REF!</v>
      </c>
      <c r="E161" s="146" t="e">
        <f>INDEX(#REF!, MATCH($A161,#REF!, 0), MATCH(E$4,#REF!, 0))</f>
        <v>#REF!</v>
      </c>
      <c r="F161" s="146" t="e">
        <f>INDEX(#REF!, MATCH($A161,#REF!, 0), MATCH(F$4,#REF!, 0))</f>
        <v>#REF!</v>
      </c>
      <c r="G161" s="146" t="e">
        <f>INDEX(#REF!, MATCH($A161,#REF!, 0), MATCH(G$4,#REF!, 0))</f>
        <v>#REF!</v>
      </c>
      <c r="H161" s="146" t="e">
        <f>INDEX(#REF!, MATCH($A161,#REF!, 0), MATCH(H$4,#REF!, 0))</f>
        <v>#REF!</v>
      </c>
      <c r="I161" s="146" t="e">
        <f>INDEX(#REF!, MATCH($A161,#REF!, 0), MATCH(I$4,#REF!, 0))</f>
        <v>#REF!</v>
      </c>
      <c r="J161" s="146" t="e">
        <f>INDEX(#REF!, MATCH($A161,#REF!, 0), MATCH(J$4,#REF!, 0))</f>
        <v>#REF!</v>
      </c>
      <c r="K161" s="146" t="e">
        <f>INDEX(#REF!, MATCH($A161,#REF!, 0), MATCH(K$4,#REF!, 0))</f>
        <v>#REF!</v>
      </c>
      <c r="L161" s="146" t="e">
        <f>INDEX(#REF!, MATCH($A161,#REF!, 0), MATCH(L$4,#REF!, 0))</f>
        <v>#REF!</v>
      </c>
      <c r="M161" s="146" t="e">
        <f>INDEX(#REF!, MATCH($A161,#REF!, 0), MATCH(M$4,#REF!, 0))</f>
        <v>#REF!</v>
      </c>
      <c r="N161" s="146" t="e">
        <f>INDEX(#REF!, MATCH($A161,#REF!, 0), MATCH(N$4,#REF!, 0))</f>
        <v>#REF!</v>
      </c>
      <c r="O161" s="146" t="e">
        <f>INDEX(#REF!, MATCH($A161,#REF!, 0), MATCH(O$4,#REF!, 0))</f>
        <v>#REF!</v>
      </c>
      <c r="P161" s="146" t="e">
        <f>INDEX(#REF!, MATCH($A161,#REF!, 0), MATCH(P$4,#REF!, 0))</f>
        <v>#REF!</v>
      </c>
      <c r="Q161" s="146" t="e">
        <f>INDEX(#REF!, MATCH($A161,#REF!, 0), MATCH(Q$4,#REF!, 0))</f>
        <v>#REF!</v>
      </c>
      <c r="R161" s="146" t="e">
        <f>INDEX(#REF!, MATCH($A161,#REF!, 0), MATCH(R$4,#REF!, 0))</f>
        <v>#REF!</v>
      </c>
      <c r="S161" s="146" t="e">
        <f>INDEX(#REF!, MATCH($A161,#REF!, 0), MATCH(S$4,#REF!, 0))</f>
        <v>#REF!</v>
      </c>
      <c r="T161" s="146" t="e">
        <f>INDEX(#REF!, MATCH($A161,#REF!, 0), MATCH(T$4,#REF!, 0))</f>
        <v>#REF!</v>
      </c>
      <c r="U161" s="146" t="e">
        <f>INDEX(#REF!, MATCH($A161,#REF!, 0), MATCH(U$4,#REF!, 0))</f>
        <v>#REF!</v>
      </c>
      <c r="V161" s="320" t="e">
        <f>INDEX(#REF!, MATCH($A161,#REF!, 0), MATCH(V$4,#REF!, 0))</f>
        <v>#REF!</v>
      </c>
      <c r="W161" s="146" t="e">
        <f>INDEX(#REF!, MATCH($A161,#REF!, 0), MATCH(W$4,#REF!, 0))</f>
        <v>#REF!</v>
      </c>
      <c r="X161" s="146" t="e">
        <f>INDEX(#REF!, MATCH($A161,#REF!, 0), MATCH(X$4,#REF!, 0))</f>
        <v>#REF!</v>
      </c>
      <c r="Y161" s="146" t="e">
        <f>INDEX(#REF!, MATCH($A161,#REF!, 0), MATCH(Y$4,#REF!, 0))</f>
        <v>#REF!</v>
      </c>
      <c r="Z161" s="146" t="e">
        <f>INDEX(#REF!, MATCH($A161,#REF!, 0), MATCH(Z$4,#REF!, 0))</f>
        <v>#REF!</v>
      </c>
      <c r="AA161" s="146" t="e">
        <f>INDEX(#REF!, MATCH($A161,#REF!, 0), MATCH(AA$4,#REF!, 0))</f>
        <v>#REF!</v>
      </c>
      <c r="AB161" s="146" t="e">
        <f>INDEX(#REF!, MATCH($A161,#REF!, 0), MATCH(AB$4,#REF!, 0))</f>
        <v>#REF!</v>
      </c>
      <c r="AC161" s="320" t="e">
        <f>INDEX(#REF!, MATCH($A161,#REF!, 0), MATCH(AC$4,#REF!, 0))</f>
        <v>#REF!</v>
      </c>
      <c r="AD161" s="146" t="e">
        <f>INDEX(#REF!, MATCH($A161,#REF!, 0), MATCH(AD$4,#REF!, 0))</f>
        <v>#REF!</v>
      </c>
      <c r="AE161" s="146" t="e">
        <f>INDEX(#REF!, MATCH($A161,#REF!, 0), MATCH(AE$4,#REF!, 0))</f>
        <v>#REF!</v>
      </c>
      <c r="AF161" s="146" t="e">
        <f>INDEX(#REF!, MATCH($A161,#REF!, 0), MATCH(AF$4,#REF!, 0))</f>
        <v>#REF!</v>
      </c>
      <c r="AG161" s="146" t="e">
        <f>INDEX(#REF!, MATCH($A161,#REF!, 0), MATCH(AG$4,#REF!, 0))</f>
        <v>#REF!</v>
      </c>
      <c r="AH161" s="146" t="e">
        <f>INDEX(#REF!, MATCH($A161,#REF!, 0), MATCH(AH$4,#REF!, 0))</f>
        <v>#REF!</v>
      </c>
      <c r="AI161" s="146" t="e">
        <f>INDEX(#REF!, MATCH($A161,#REF!, 0), MATCH(AI$4,#REF!, 0))</f>
        <v>#REF!</v>
      </c>
      <c r="AJ161" s="320" t="e">
        <f>INDEX(#REF!, MATCH($A161,#REF!, 0), MATCH(AJ$4,#REF!, 0))</f>
        <v>#REF!</v>
      </c>
      <c r="AK161" s="146" t="e">
        <f>INDEX(#REF!, MATCH($A161,#REF!, 0), MATCH(AK$4,#REF!, 0))</f>
        <v>#REF!</v>
      </c>
      <c r="AL161" s="146" t="e">
        <f>INDEX(#REF!, MATCH($A161,#REF!, 0), MATCH(AL$4,#REF!, 0))</f>
        <v>#REF!</v>
      </c>
      <c r="AM161" s="146" t="e">
        <f>INDEX(#REF!, MATCH($A161,#REF!, 0), MATCH(AM$4,#REF!, 0))</f>
        <v>#REF!</v>
      </c>
      <c r="AN161" s="146" t="e">
        <f>INDEX(#REF!, MATCH($A161,#REF!, 0), MATCH(AN$4,#REF!, 0))</f>
        <v>#REF!</v>
      </c>
      <c r="AO161" s="146" t="e">
        <f>INDEX(#REF!, MATCH($A161,#REF!, 0), MATCH(AO$4,#REF!, 0))</f>
        <v>#REF!</v>
      </c>
      <c r="AP161" s="146" t="e">
        <f>INDEX(#REF!, MATCH($A161,#REF!, 0), MATCH(AP$4,#REF!, 0))</f>
        <v>#REF!</v>
      </c>
      <c r="AQ161" s="320" t="e">
        <f>INDEX(#REF!, MATCH($A161,#REF!, 0), MATCH(AQ$4,#REF!, 0))</f>
        <v>#REF!</v>
      </c>
      <c r="AR161" s="146" t="e">
        <f>INDEX(#REF!, MATCH($A161,#REF!, 0), MATCH(AR$4,#REF!, 0))</f>
        <v>#REF!</v>
      </c>
      <c r="AS161" s="146" t="e">
        <f>INDEX(#REF!, MATCH($A161,#REF!, 0), MATCH(AS$4,#REF!, 0))</f>
        <v>#REF!</v>
      </c>
      <c r="AT161" s="146" t="e">
        <f>INDEX(#REF!, MATCH($A161,#REF!, 0), MATCH(AT$4,#REF!, 0))</f>
        <v>#REF!</v>
      </c>
      <c r="AU161" s="146" t="e">
        <f>INDEX(#REF!, MATCH($A161,#REF!, 0), MATCH(AU$4,#REF!, 0))</f>
        <v>#REF!</v>
      </c>
      <c r="AV161" s="146" t="e">
        <f>INDEX(#REF!, MATCH($A161,#REF!, 0), MATCH(AV$4,#REF!, 0))</f>
        <v>#REF!</v>
      </c>
      <c r="AW161" s="146" t="e">
        <f>INDEX(#REF!, MATCH($A161,#REF!, 0), MATCH(AW$4,#REF!, 0))</f>
        <v>#REF!</v>
      </c>
      <c r="AX161" s="320" t="e">
        <f>INDEX(#REF!, MATCH($A161,#REF!, 0), MATCH(AX$4,#REF!, 0))</f>
        <v>#REF!</v>
      </c>
      <c r="AY161" s="146" t="e">
        <f>INDEX(#REF!, MATCH($A161,#REF!, 0), MATCH(AY$4,#REF!, 0))</f>
        <v>#REF!</v>
      </c>
      <c r="AZ161" s="146" t="e">
        <f>INDEX(#REF!, MATCH($A161,#REF!, 0), MATCH(AZ$4,#REF!, 0))</f>
        <v>#REF!</v>
      </c>
      <c r="BA161" s="146" t="e">
        <f>INDEX(#REF!, MATCH($A161,#REF!, 0), MATCH(BA$4,#REF!, 0))</f>
        <v>#REF!</v>
      </c>
      <c r="BB161" s="146" t="e">
        <f>INDEX(#REF!, MATCH($A161,#REF!, 0), MATCH(BB$4,#REF!, 0))</f>
        <v>#REF!</v>
      </c>
      <c r="BC161" s="146" t="e">
        <f>INDEX(#REF!, MATCH($A161,#REF!, 0), MATCH(BC$4,#REF!, 0))</f>
        <v>#REF!</v>
      </c>
      <c r="BD161" s="364" t="e">
        <f>INDEX(#REF!, MATCH($A161,#REF!, 0), MATCH(BD$4,#REF!, 0))</f>
        <v>#REF!</v>
      </c>
      <c r="BE161" s="320" t="e">
        <f>INDEX(#REF!, MATCH($A161,#REF!, 0), MATCH(BE$4,#REF!, 0))</f>
        <v>#REF!</v>
      </c>
      <c r="BF161" s="146" t="e">
        <f>INDEX(#REF!, MATCH($A161,#REF!, 0), MATCH(BF$4,#REF!, 0))</f>
        <v>#REF!</v>
      </c>
      <c r="BG161" s="146" t="e">
        <f>INDEX(#REF!, MATCH($A161,#REF!, 0), MATCH(BG$4,#REF!, 0))</f>
        <v>#REF!</v>
      </c>
      <c r="BH161" s="146" t="e">
        <f>INDEX(#REF!, MATCH($A161,#REF!, 0), MATCH(BH$4,#REF!, 0))</f>
        <v>#REF!</v>
      </c>
      <c r="BI161" s="146" t="e">
        <f>INDEX(#REF!, MATCH($A161,#REF!, 0), MATCH(BI$4,#REF!, 0))</f>
        <v>#REF!</v>
      </c>
      <c r="BJ161" s="146" t="e">
        <f>INDEX(#REF!, MATCH($A161,#REF!, 0), MATCH(BJ$4,#REF!, 0))</f>
        <v>#REF!</v>
      </c>
      <c r="BK161" s="364" t="e">
        <f>INDEX(#REF!, MATCH($A161,#REF!, 0), MATCH(BK$4,#REF!, 0))</f>
        <v>#REF!</v>
      </c>
      <c r="BL161" s="112" t="e">
        <f>BK161</f>
        <v>#REF!</v>
      </c>
      <c r="BM161" s="112" t="e">
        <f t="shared" ref="BM161:BR161" si="529">BL161</f>
        <v>#REF!</v>
      </c>
      <c r="BN161" s="112" t="e">
        <f t="shared" si="529"/>
        <v>#REF!</v>
      </c>
      <c r="BO161" s="112" t="e">
        <f t="shared" si="529"/>
        <v>#REF!</v>
      </c>
      <c r="BP161" s="112" t="e">
        <f t="shared" si="529"/>
        <v>#REF!</v>
      </c>
      <c r="BQ161" s="112" t="e">
        <f t="shared" si="529"/>
        <v>#REF!</v>
      </c>
      <c r="BR161" s="112" t="e">
        <f t="shared" si="529"/>
        <v>#REF!</v>
      </c>
      <c r="BT161" s="121"/>
    </row>
    <row r="162" spans="1:72">
      <c r="B162" s="1" t="s">
        <v>274</v>
      </c>
      <c r="D162" s="189" t="e">
        <f t="shared" ref="D162:AX162" si="530">D159-D161-D166-D177-D179</f>
        <v>#REF!</v>
      </c>
      <c r="E162" s="189" t="e">
        <f t="shared" si="530"/>
        <v>#REF!</v>
      </c>
      <c r="F162" s="189" t="e">
        <f t="shared" si="530"/>
        <v>#REF!</v>
      </c>
      <c r="G162" s="189" t="e">
        <f t="shared" si="530"/>
        <v>#REF!</v>
      </c>
      <c r="H162" s="189" t="e">
        <f t="shared" si="530"/>
        <v>#REF!</v>
      </c>
      <c r="I162" s="189" t="e">
        <f t="shared" si="530"/>
        <v>#REF!</v>
      </c>
      <c r="J162" s="189" t="e">
        <f t="shared" si="530"/>
        <v>#REF!</v>
      </c>
      <c r="K162" s="189" t="e">
        <f t="shared" si="530"/>
        <v>#REF!</v>
      </c>
      <c r="L162" s="189" t="e">
        <f t="shared" si="530"/>
        <v>#REF!</v>
      </c>
      <c r="M162" s="189" t="e">
        <f t="shared" si="530"/>
        <v>#REF!</v>
      </c>
      <c r="N162" s="189" t="e">
        <f t="shared" si="530"/>
        <v>#REF!</v>
      </c>
      <c r="O162" s="189" t="e">
        <f t="shared" si="530"/>
        <v>#REF!</v>
      </c>
      <c r="P162" s="189" t="e">
        <f t="shared" si="530"/>
        <v>#REF!</v>
      </c>
      <c r="Q162" s="189" t="e">
        <f t="shared" si="530"/>
        <v>#REF!</v>
      </c>
      <c r="R162" s="189" t="e">
        <f t="shared" si="530"/>
        <v>#REF!</v>
      </c>
      <c r="S162" s="189" t="e">
        <f t="shared" si="530"/>
        <v>#REF!</v>
      </c>
      <c r="T162" s="189" t="e">
        <f t="shared" si="530"/>
        <v>#REF!</v>
      </c>
      <c r="U162" s="189" t="e">
        <f t="shared" si="530"/>
        <v>#REF!</v>
      </c>
      <c r="V162" s="341" t="e">
        <f t="shared" ref="V162:AA162" si="531">V159-V161-V166-V177-V179</f>
        <v>#REF!</v>
      </c>
      <c r="W162" s="189" t="e">
        <f t="shared" si="531"/>
        <v>#REF!</v>
      </c>
      <c r="X162" s="189" t="e">
        <f t="shared" si="531"/>
        <v>#REF!</v>
      </c>
      <c r="Y162" s="189" t="e">
        <f t="shared" si="531"/>
        <v>#REF!</v>
      </c>
      <c r="Z162" s="189" t="e">
        <f t="shared" si="531"/>
        <v>#REF!</v>
      </c>
      <c r="AA162" s="189" t="e">
        <f t="shared" si="531"/>
        <v>#REF!</v>
      </c>
      <c r="AB162" s="189" t="e">
        <f t="shared" si="530"/>
        <v>#REF!</v>
      </c>
      <c r="AC162" s="341" t="e">
        <f t="shared" ref="AC162:AH162" si="532">AC159-AC161-AC166-AC177-AC179</f>
        <v>#REF!</v>
      </c>
      <c r="AD162" s="189" t="e">
        <f t="shared" si="532"/>
        <v>#REF!</v>
      </c>
      <c r="AE162" s="189" t="e">
        <f t="shared" si="532"/>
        <v>#REF!</v>
      </c>
      <c r="AF162" s="189" t="e">
        <f t="shared" si="532"/>
        <v>#REF!</v>
      </c>
      <c r="AG162" s="189" t="e">
        <f t="shared" si="532"/>
        <v>#REF!</v>
      </c>
      <c r="AH162" s="189" t="e">
        <f t="shared" si="532"/>
        <v>#REF!</v>
      </c>
      <c r="AI162" s="189" t="e">
        <f t="shared" si="530"/>
        <v>#REF!</v>
      </c>
      <c r="AJ162" s="341" t="e">
        <f t="shared" ref="AJ162:AO162" si="533">AJ159-AJ161-AJ166-AJ177-AJ179</f>
        <v>#REF!</v>
      </c>
      <c r="AK162" s="189" t="e">
        <f t="shared" si="533"/>
        <v>#REF!</v>
      </c>
      <c r="AL162" s="189" t="e">
        <f t="shared" si="533"/>
        <v>#REF!</v>
      </c>
      <c r="AM162" s="189" t="e">
        <f t="shared" si="533"/>
        <v>#REF!</v>
      </c>
      <c r="AN162" s="189" t="e">
        <f t="shared" si="533"/>
        <v>#REF!</v>
      </c>
      <c r="AO162" s="189" t="e">
        <f t="shared" si="533"/>
        <v>#REF!</v>
      </c>
      <c r="AP162" s="189" t="e">
        <f t="shared" si="530"/>
        <v>#REF!</v>
      </c>
      <c r="AQ162" s="341" t="e">
        <f t="shared" ref="AQ162:AV162" si="534">AQ159-AQ161-AQ166-AQ177-AQ179</f>
        <v>#REF!</v>
      </c>
      <c r="AR162" s="189" t="e">
        <f t="shared" si="534"/>
        <v>#REF!</v>
      </c>
      <c r="AS162" s="189" t="e">
        <f t="shared" si="534"/>
        <v>#REF!</v>
      </c>
      <c r="AT162" s="189" t="e">
        <f t="shared" si="534"/>
        <v>#REF!</v>
      </c>
      <c r="AU162" s="189" t="e">
        <f t="shared" si="534"/>
        <v>#REF!</v>
      </c>
      <c r="AV162" s="189" t="e">
        <f t="shared" si="534"/>
        <v>#REF!</v>
      </c>
      <c r="AW162" s="189" t="e">
        <f t="shared" si="530"/>
        <v>#REF!</v>
      </c>
      <c r="AX162" s="341" t="e">
        <f t="shared" si="530"/>
        <v>#REF!</v>
      </c>
      <c r="AY162" s="189" t="e">
        <f t="shared" ref="AY162:AZ162" si="535">AY159-AY161-AY166-AY177-AY179</f>
        <v>#REF!</v>
      </c>
      <c r="AZ162" s="189" t="e">
        <f t="shared" si="535"/>
        <v>#REF!</v>
      </c>
      <c r="BA162" s="189" t="e">
        <f t="shared" ref="BA162:BC162" si="536">BA159-BA161-BA166-BA177-BA179</f>
        <v>#REF!</v>
      </c>
      <c r="BB162" s="189" t="e">
        <f t="shared" si="536"/>
        <v>#REF!</v>
      </c>
      <c r="BC162" s="189" t="e">
        <f t="shared" si="536"/>
        <v>#REF!</v>
      </c>
      <c r="BD162" s="384" t="e">
        <f t="shared" ref="BD162:BJ162" si="537">BD159-BD161-BD166-BD177-BD179</f>
        <v>#REF!</v>
      </c>
      <c r="BE162" s="341" t="e">
        <f t="shared" si="537"/>
        <v>#REF!</v>
      </c>
      <c r="BF162" s="189" t="e">
        <f t="shared" si="537"/>
        <v>#REF!</v>
      </c>
      <c r="BG162" s="189" t="e">
        <f t="shared" si="537"/>
        <v>#REF!</v>
      </c>
      <c r="BH162" s="189" t="e">
        <f t="shared" si="537"/>
        <v>#REF!</v>
      </c>
      <c r="BI162" s="189" t="e">
        <f t="shared" si="537"/>
        <v>#REF!</v>
      </c>
      <c r="BJ162" s="189" t="e">
        <f t="shared" si="537"/>
        <v>#REF!</v>
      </c>
      <c r="BK162" s="384" t="e">
        <f t="shared" ref="BK162" si="538">BK159-BK161-BK166-BK177-BK179</f>
        <v>#REF!</v>
      </c>
      <c r="BL162" s="112" t="e">
        <f>BK162</f>
        <v>#REF!</v>
      </c>
      <c r="BM162" s="112" t="e">
        <f t="shared" ref="BM162:BR162" si="539">BL162</f>
        <v>#REF!</v>
      </c>
      <c r="BN162" s="112" t="e">
        <f t="shared" si="539"/>
        <v>#REF!</v>
      </c>
      <c r="BO162" s="112" t="e">
        <f t="shared" si="539"/>
        <v>#REF!</v>
      </c>
      <c r="BP162" s="112" t="e">
        <f t="shared" si="539"/>
        <v>#REF!</v>
      </c>
      <c r="BQ162" s="112" t="e">
        <f t="shared" si="539"/>
        <v>#REF!</v>
      </c>
      <c r="BR162" s="112" t="e">
        <f t="shared" si="539"/>
        <v>#REF!</v>
      </c>
    </row>
    <row r="164" spans="1:72" ht="14.1">
      <c r="B164" s="194" t="s">
        <v>418</v>
      </c>
    </row>
    <row r="165" spans="1:72" ht="14.1">
      <c r="B165" s="147"/>
    </row>
    <row r="166" spans="1:72" ht="11.65" customHeight="1">
      <c r="A166" s="169" t="s">
        <v>236</v>
      </c>
      <c r="B166" s="167" t="s">
        <v>279</v>
      </c>
      <c r="C166" s="117"/>
      <c r="D166" s="146" t="e">
        <f>INDEX(#REF!, MATCH($A166,#REF!, 0), MATCH(D$4,#REF!, 0))</f>
        <v>#REF!</v>
      </c>
      <c r="E166" s="146" t="e">
        <f>INDEX(#REF!, MATCH($A166,#REF!, 0), MATCH(E$4,#REF!, 0))</f>
        <v>#REF!</v>
      </c>
      <c r="F166" s="146" t="e">
        <f>INDEX(#REF!, MATCH($A166,#REF!, 0), MATCH(F$4,#REF!, 0))</f>
        <v>#REF!</v>
      </c>
      <c r="G166" s="146" t="e">
        <f>INDEX(#REF!, MATCH($A166,#REF!, 0), MATCH(G$4,#REF!, 0))</f>
        <v>#REF!</v>
      </c>
      <c r="H166" s="146" t="e">
        <f>INDEX(#REF!, MATCH($A166,#REF!, 0), MATCH(H$4,#REF!, 0))</f>
        <v>#REF!</v>
      </c>
      <c r="I166" s="146" t="e">
        <f>INDEX(#REF!, MATCH($A166,#REF!, 0), MATCH(I$4,#REF!, 0))</f>
        <v>#REF!</v>
      </c>
      <c r="J166" s="146" t="e">
        <f>INDEX(#REF!, MATCH($A166,#REF!, 0), MATCH(J$4,#REF!, 0))</f>
        <v>#REF!</v>
      </c>
      <c r="K166" s="146" t="e">
        <f>INDEX(#REF!, MATCH($A166,#REF!, 0), MATCH(K$4,#REF!, 0))</f>
        <v>#REF!</v>
      </c>
      <c r="L166" s="146" t="e">
        <f>INDEX(#REF!, MATCH($A166,#REF!, 0), MATCH(L$4,#REF!, 0))</f>
        <v>#REF!</v>
      </c>
      <c r="M166" s="146" t="e">
        <f>INDEX(#REF!, MATCH($A166,#REF!, 0), MATCH(M$4,#REF!, 0))</f>
        <v>#REF!</v>
      </c>
      <c r="N166" s="146" t="e">
        <f>INDEX(#REF!, MATCH($A166,#REF!, 0), MATCH(N$4,#REF!, 0))</f>
        <v>#REF!</v>
      </c>
      <c r="O166" s="146" t="e">
        <f>INDEX(#REF!, MATCH($A166,#REF!, 0), MATCH(O$4,#REF!, 0))</f>
        <v>#REF!</v>
      </c>
      <c r="P166" s="146" t="e">
        <f>INDEX(#REF!, MATCH($A166,#REF!, 0), MATCH(P$4,#REF!, 0))</f>
        <v>#REF!</v>
      </c>
      <c r="Q166" s="146" t="e">
        <f>INDEX(#REF!, MATCH($A166,#REF!, 0), MATCH(Q$4,#REF!, 0))</f>
        <v>#REF!</v>
      </c>
      <c r="R166" s="146" t="e">
        <f>INDEX(#REF!, MATCH($A166,#REF!, 0), MATCH(R$4,#REF!, 0))</f>
        <v>#REF!</v>
      </c>
      <c r="S166" s="146" t="e">
        <f>INDEX(#REF!, MATCH($A166,#REF!, 0), MATCH(S$4,#REF!, 0))</f>
        <v>#REF!</v>
      </c>
      <c r="T166" s="146" t="e">
        <f>INDEX(#REF!, MATCH($A166,#REF!, 0), MATCH(T$4,#REF!, 0))</f>
        <v>#REF!</v>
      </c>
      <c r="U166" s="146" t="e">
        <f>INDEX(#REF!, MATCH($A166,#REF!, 0), MATCH(U$4,#REF!, 0))</f>
        <v>#REF!</v>
      </c>
      <c r="V166" s="320" t="e">
        <f>INDEX(#REF!, MATCH($A166,#REF!, 0), MATCH(V$4,#REF!, 0))</f>
        <v>#REF!</v>
      </c>
      <c r="W166" s="146" t="e">
        <f>INDEX(#REF!, MATCH($A166,#REF!, 0), MATCH(W$4,#REF!, 0))</f>
        <v>#REF!</v>
      </c>
      <c r="X166" s="146" t="e">
        <f>INDEX(#REF!, MATCH($A166,#REF!, 0), MATCH(X$4,#REF!, 0))</f>
        <v>#REF!</v>
      </c>
      <c r="Y166" s="146" t="e">
        <f>INDEX(#REF!, MATCH($A166,#REF!, 0), MATCH(Y$4,#REF!, 0))</f>
        <v>#REF!</v>
      </c>
      <c r="Z166" s="146" t="e">
        <f>INDEX(#REF!, MATCH($A166,#REF!, 0), MATCH(Z$4,#REF!, 0))</f>
        <v>#REF!</v>
      </c>
      <c r="AA166" s="146" t="e">
        <f>INDEX(#REF!, MATCH($A166,#REF!, 0), MATCH(AA$4,#REF!, 0))</f>
        <v>#REF!</v>
      </c>
      <c r="AB166" s="146" t="e">
        <f>INDEX(#REF!, MATCH($A166,#REF!, 0), MATCH(AB$4,#REF!, 0))</f>
        <v>#REF!</v>
      </c>
      <c r="AC166" s="320" t="e">
        <f>INDEX(#REF!, MATCH($A166,#REF!, 0), MATCH(AC$4,#REF!, 0))</f>
        <v>#REF!</v>
      </c>
      <c r="AD166" s="146" t="e">
        <f>INDEX(#REF!, MATCH($A166,#REF!, 0), MATCH(AD$4,#REF!, 0))</f>
        <v>#REF!</v>
      </c>
      <c r="AE166" s="146" t="e">
        <f>INDEX(#REF!, MATCH($A166,#REF!, 0), MATCH(AE$4,#REF!, 0))</f>
        <v>#REF!</v>
      </c>
      <c r="AF166" s="146" t="e">
        <f>INDEX(#REF!, MATCH($A166,#REF!, 0), MATCH(AF$4,#REF!, 0))</f>
        <v>#REF!</v>
      </c>
      <c r="AG166" s="146" t="e">
        <f>INDEX(#REF!, MATCH($A166,#REF!, 0), MATCH(AG$4,#REF!, 0))</f>
        <v>#REF!</v>
      </c>
      <c r="AH166" s="146" t="e">
        <f>INDEX(#REF!, MATCH($A166,#REF!, 0), MATCH(AH$4,#REF!, 0))</f>
        <v>#REF!</v>
      </c>
      <c r="AI166" s="146" t="e">
        <f>INDEX(#REF!, MATCH($A166,#REF!, 0), MATCH(AI$4,#REF!, 0))</f>
        <v>#REF!</v>
      </c>
      <c r="AJ166" s="320" t="e">
        <f>INDEX(#REF!, MATCH($A166,#REF!, 0), MATCH(AJ$4,#REF!, 0))</f>
        <v>#REF!</v>
      </c>
      <c r="AK166" s="146" t="e">
        <f>INDEX(#REF!, MATCH($A166,#REF!, 0), MATCH(AK$4,#REF!, 0))</f>
        <v>#REF!</v>
      </c>
      <c r="AL166" s="146" t="e">
        <f>INDEX(#REF!, MATCH($A166,#REF!, 0), MATCH(AL$4,#REF!, 0))</f>
        <v>#REF!</v>
      </c>
      <c r="AM166" s="146" t="e">
        <f>INDEX(#REF!, MATCH($A166,#REF!, 0), MATCH(AM$4,#REF!, 0))</f>
        <v>#REF!</v>
      </c>
      <c r="AN166" s="146" t="e">
        <f>INDEX(#REF!, MATCH($A166,#REF!, 0), MATCH(AN$4,#REF!, 0))</f>
        <v>#REF!</v>
      </c>
      <c r="AO166" s="146" t="e">
        <f>INDEX(#REF!, MATCH($A166,#REF!, 0), MATCH(AO$4,#REF!, 0))</f>
        <v>#REF!</v>
      </c>
      <c r="AP166" s="146" t="e">
        <f>INDEX(#REF!, MATCH($A166,#REF!, 0), MATCH(AP$4,#REF!, 0))</f>
        <v>#REF!</v>
      </c>
      <c r="AQ166" s="320" t="e">
        <f>INDEX(#REF!, MATCH($A166,#REF!, 0), MATCH(AQ$4,#REF!, 0))</f>
        <v>#REF!</v>
      </c>
      <c r="AR166" s="146" t="e">
        <f>INDEX(#REF!, MATCH($A166,#REF!, 0), MATCH(AR$4,#REF!, 0))</f>
        <v>#REF!</v>
      </c>
      <c r="AS166" s="146" t="e">
        <f>INDEX(#REF!, MATCH($A166,#REF!, 0), MATCH(AS$4,#REF!, 0))</f>
        <v>#REF!</v>
      </c>
      <c r="AT166" s="146" t="e">
        <f>INDEX(#REF!, MATCH($A166,#REF!, 0), MATCH(AT$4,#REF!, 0))</f>
        <v>#REF!</v>
      </c>
      <c r="AU166" s="146" t="e">
        <f>INDEX(#REF!, MATCH($A166,#REF!, 0), MATCH(AU$4,#REF!, 0))</f>
        <v>#REF!</v>
      </c>
      <c r="AV166" s="146" t="e">
        <f>INDEX(#REF!, MATCH($A166,#REF!, 0), MATCH(AV$4,#REF!, 0))</f>
        <v>#REF!</v>
      </c>
      <c r="AW166" s="146" t="e">
        <f>INDEX(#REF!, MATCH($A166,#REF!, 0), MATCH(AW$4,#REF!, 0))</f>
        <v>#REF!</v>
      </c>
      <c r="AX166" s="320" t="e">
        <f>INDEX(#REF!, MATCH($A166,#REF!, 0), MATCH(AX$4,#REF!, 0))</f>
        <v>#REF!</v>
      </c>
      <c r="AY166" s="146" t="e">
        <f>INDEX(#REF!, MATCH($A166,#REF!, 0), MATCH(AY$4,#REF!, 0))</f>
        <v>#REF!</v>
      </c>
      <c r="AZ166" s="146" t="e">
        <f>INDEX(#REF!, MATCH($A166,#REF!, 0), MATCH(AZ$4,#REF!, 0))</f>
        <v>#REF!</v>
      </c>
      <c r="BA166" s="146" t="e">
        <f>INDEX(#REF!, MATCH($A166,#REF!, 0), MATCH(BA$4,#REF!, 0))</f>
        <v>#REF!</v>
      </c>
      <c r="BB166" s="146" t="e">
        <f>INDEX(#REF!, MATCH($A166,#REF!, 0), MATCH(BB$4,#REF!, 0))</f>
        <v>#REF!</v>
      </c>
      <c r="BC166" s="146" t="e">
        <f>INDEX(#REF!, MATCH($A166,#REF!, 0), MATCH(BC$4,#REF!, 0))</f>
        <v>#REF!</v>
      </c>
      <c r="BD166" s="364" t="e">
        <f>INDEX(#REF!, MATCH($A166,#REF!, 0), MATCH(BD$4,#REF!, 0))</f>
        <v>#REF!</v>
      </c>
      <c r="BE166" s="320" t="e">
        <f>INDEX(#REF!, MATCH($A166,#REF!, 0), MATCH(BE$4,#REF!, 0))</f>
        <v>#REF!</v>
      </c>
      <c r="BF166" s="146" t="e">
        <f>INDEX(#REF!, MATCH($A166,#REF!, 0), MATCH(BF$4,#REF!, 0))</f>
        <v>#REF!</v>
      </c>
      <c r="BG166" s="146" t="e">
        <f>INDEX(#REF!, MATCH($A166,#REF!, 0), MATCH(BG$4,#REF!, 0))</f>
        <v>#REF!</v>
      </c>
      <c r="BH166" s="146" t="e">
        <f>INDEX(#REF!, MATCH($A166,#REF!, 0), MATCH(BH$4,#REF!, 0))</f>
        <v>#REF!</v>
      </c>
      <c r="BI166" s="146" t="e">
        <f>INDEX(#REF!, MATCH($A166,#REF!, 0), MATCH(BI$4,#REF!, 0))</f>
        <v>#REF!</v>
      </c>
      <c r="BJ166" s="146" t="e">
        <f>INDEX(#REF!, MATCH($A166,#REF!, 0), MATCH(BJ$4,#REF!, 0))</f>
        <v>#REF!</v>
      </c>
      <c r="BK166" s="364" t="e">
        <f>INDEX(#REF!, MATCH($A166,#REF!, 0), MATCH(BK$4,#REF!, 0))</f>
        <v>#REF!</v>
      </c>
      <c r="BL166" s="93" t="e">
        <f t="shared" ref="BL166:BR166" si="540">BL168-BL169-BL170</f>
        <v>#REF!</v>
      </c>
      <c r="BM166" s="93" t="e">
        <f t="shared" si="540"/>
        <v>#REF!</v>
      </c>
      <c r="BN166" s="93" t="e">
        <f t="shared" si="540"/>
        <v>#REF!</v>
      </c>
      <c r="BO166" s="93" t="e">
        <f t="shared" si="540"/>
        <v>#REF!</v>
      </c>
      <c r="BP166" s="93" t="e">
        <f t="shared" si="540"/>
        <v>#REF!</v>
      </c>
      <c r="BQ166" s="93" t="e">
        <f t="shared" si="540"/>
        <v>#REF!</v>
      </c>
      <c r="BR166" s="93" t="e">
        <f t="shared" si="540"/>
        <v>#REF!</v>
      </c>
      <c r="BT166" s="121"/>
    </row>
    <row r="167" spans="1:72">
      <c r="B167" s="1"/>
    </row>
    <row r="168" spans="1:72">
      <c r="A168" s="196" t="s">
        <v>336</v>
      </c>
      <c r="B168" s="197" t="s">
        <v>275</v>
      </c>
      <c r="D168" s="146" t="e">
        <f>INDEX(#REF!, MATCH($A168,#REF!, 0), MATCH(D$4,#REF!, 0))</f>
        <v>#REF!</v>
      </c>
      <c r="E168" s="146" t="e">
        <f>INDEX(#REF!, MATCH($A168,#REF!, 0), MATCH(E$4,#REF!, 0))</f>
        <v>#REF!</v>
      </c>
      <c r="F168" s="146" t="e">
        <f>INDEX(#REF!, MATCH($A168,#REF!, 0), MATCH(F$4,#REF!, 0))</f>
        <v>#REF!</v>
      </c>
      <c r="G168" s="146" t="e">
        <f>INDEX(#REF!, MATCH($A168,#REF!, 0), MATCH(G$4,#REF!, 0))</f>
        <v>#REF!</v>
      </c>
      <c r="H168" s="146" t="e">
        <f>INDEX(#REF!, MATCH($A168,#REF!, 0), MATCH(H$4,#REF!, 0))</f>
        <v>#REF!</v>
      </c>
      <c r="I168" s="146" t="e">
        <f>INDEX(#REF!, MATCH($A168,#REF!, 0), MATCH(I$4,#REF!, 0))</f>
        <v>#REF!</v>
      </c>
      <c r="J168" s="146" t="e">
        <f>INDEX(#REF!, MATCH($A168,#REF!, 0), MATCH(J$4,#REF!, 0))</f>
        <v>#REF!</v>
      </c>
      <c r="K168" s="146" t="e">
        <f>INDEX(#REF!, MATCH($A168,#REF!, 0), MATCH(K$4,#REF!, 0))</f>
        <v>#REF!</v>
      </c>
      <c r="L168" s="146" t="e">
        <f>INDEX(#REF!, MATCH($A168,#REF!, 0), MATCH(L$4,#REF!, 0))</f>
        <v>#REF!</v>
      </c>
      <c r="M168" s="146" t="e">
        <f>INDEX(#REF!, MATCH($A168,#REF!, 0), MATCH(M$4,#REF!, 0))</f>
        <v>#REF!</v>
      </c>
      <c r="N168" s="146" t="e">
        <f>INDEX(#REF!, MATCH($A168,#REF!, 0), MATCH(N$4,#REF!, 0))</f>
        <v>#REF!</v>
      </c>
      <c r="O168" s="146" t="e">
        <f>INDEX(#REF!, MATCH($A168,#REF!, 0), MATCH(O$4,#REF!, 0))</f>
        <v>#REF!</v>
      </c>
      <c r="P168" s="146" t="e">
        <f>INDEX(#REF!, MATCH($A168,#REF!, 0), MATCH(P$4,#REF!, 0))</f>
        <v>#REF!</v>
      </c>
      <c r="Q168" s="146" t="e">
        <f>INDEX(#REF!, MATCH($A168,#REF!, 0), MATCH(Q$4,#REF!, 0))</f>
        <v>#REF!</v>
      </c>
      <c r="R168" s="146" t="e">
        <f>INDEX(#REF!, MATCH($A168,#REF!, 0), MATCH(R$4,#REF!, 0))</f>
        <v>#REF!</v>
      </c>
      <c r="S168" s="146" t="e">
        <f>INDEX(#REF!, MATCH($A168,#REF!, 0), MATCH(S$4,#REF!, 0))</f>
        <v>#REF!</v>
      </c>
      <c r="T168" s="146" t="e">
        <f>INDEX(#REF!, MATCH($A168,#REF!, 0), MATCH(T$4,#REF!, 0))</f>
        <v>#REF!</v>
      </c>
      <c r="U168" s="146" t="e">
        <f>INDEX(#REF!, MATCH($A168,#REF!, 0), MATCH(U$4,#REF!, 0))</f>
        <v>#REF!</v>
      </c>
      <c r="V168" s="320"/>
      <c r="W168" s="146"/>
      <c r="X168" s="146"/>
      <c r="Y168" s="146"/>
      <c r="Z168" s="146"/>
      <c r="AA168" s="146"/>
      <c r="AB168" s="146" t="e">
        <f>INDEX(#REF!, MATCH($A168,#REF!, 0), MATCH(AB$4,#REF!, 0))</f>
        <v>#REF!</v>
      </c>
      <c r="AC168" s="320"/>
      <c r="AD168" s="146"/>
      <c r="AE168" s="146"/>
      <c r="AF168" s="146"/>
      <c r="AG168" s="146"/>
      <c r="AH168" s="146"/>
      <c r="AI168" s="146" t="e">
        <f>INDEX(#REF!, MATCH($A168,#REF!, 0), MATCH(AI$4,#REF!, 0))</f>
        <v>#REF!</v>
      </c>
      <c r="AJ168" s="320"/>
      <c r="AK168" s="146"/>
      <c r="AL168" s="146"/>
      <c r="AM168" s="146"/>
      <c r="AN168" s="146"/>
      <c r="AO168" s="146"/>
      <c r="AP168" s="146" t="e">
        <f>INDEX(#REF!, MATCH($A168,#REF!, 0), MATCH(AP$4,#REF!, 0))</f>
        <v>#REF!</v>
      </c>
      <c r="AQ168" s="320"/>
      <c r="AR168" s="146"/>
      <c r="AS168" s="146"/>
      <c r="AT168" s="146"/>
      <c r="AU168" s="146"/>
      <c r="AV168" s="146"/>
      <c r="AW168" s="146" t="e">
        <f>INDEX(#REF!, MATCH($A168,#REF!, 0), MATCH(AW$4,#REF!, 0))</f>
        <v>#REF!</v>
      </c>
      <c r="AX168" s="320"/>
      <c r="AY168" s="146"/>
      <c r="AZ168" s="146"/>
      <c r="BA168" s="146"/>
      <c r="BB168" s="146"/>
      <c r="BC168" s="146"/>
      <c r="BD168" s="364" t="e">
        <f>INDEX(#REF!, MATCH($A168,#REF!, 0), MATCH(BD$4,#REF!, 0))</f>
        <v>#REF!</v>
      </c>
      <c r="BE168" s="320"/>
      <c r="BF168" s="146"/>
      <c r="BG168" s="146"/>
      <c r="BH168" s="146"/>
      <c r="BI168" s="146"/>
      <c r="BJ168" s="146"/>
      <c r="BK168" s="364" t="e">
        <f>INDEX(#REF!, MATCH($A168,#REF!, 0), MATCH(BK$4,#REF!, 0))</f>
        <v>#REF!</v>
      </c>
      <c r="BL168" s="93" t="e">
        <f>BK168+BL172</f>
        <v>#REF!</v>
      </c>
      <c r="BM168" s="93" t="e">
        <f t="shared" ref="BM168:BR168" si="541">BL168+BM172</f>
        <v>#REF!</v>
      </c>
      <c r="BN168" s="93" t="e">
        <f t="shared" si="541"/>
        <v>#REF!</v>
      </c>
      <c r="BO168" s="93" t="e">
        <f t="shared" si="541"/>
        <v>#REF!</v>
      </c>
      <c r="BP168" s="93" t="e">
        <f t="shared" si="541"/>
        <v>#REF!</v>
      </c>
      <c r="BQ168" s="93" t="e">
        <f t="shared" si="541"/>
        <v>#REF!</v>
      </c>
      <c r="BR168" s="93" t="e">
        <f t="shared" si="541"/>
        <v>#REF!</v>
      </c>
    </row>
    <row r="169" spans="1:72">
      <c r="A169" s="196" t="s">
        <v>337</v>
      </c>
      <c r="B169" s="198" t="s">
        <v>276</v>
      </c>
      <c r="D169" s="146" t="e">
        <f>INDEX(#REF!, MATCH($A169,#REF!, 0), MATCH(D$4,#REF!, 0))</f>
        <v>#REF!</v>
      </c>
      <c r="E169" s="146" t="e">
        <f>INDEX(#REF!, MATCH($A169,#REF!, 0), MATCH(E$4,#REF!, 0))</f>
        <v>#REF!</v>
      </c>
      <c r="F169" s="146" t="e">
        <f>INDEX(#REF!, MATCH($A169,#REF!, 0), MATCH(F$4,#REF!, 0))</f>
        <v>#REF!</v>
      </c>
      <c r="G169" s="146" t="e">
        <f>INDEX(#REF!, MATCH($A169,#REF!, 0), MATCH(G$4,#REF!, 0))</f>
        <v>#REF!</v>
      </c>
      <c r="H169" s="146" t="e">
        <f>INDEX(#REF!, MATCH($A169,#REF!, 0), MATCH(H$4,#REF!, 0))</f>
        <v>#REF!</v>
      </c>
      <c r="I169" s="146" t="e">
        <f>INDEX(#REF!, MATCH($A169,#REF!, 0), MATCH(I$4,#REF!, 0))</f>
        <v>#REF!</v>
      </c>
      <c r="J169" s="146" t="e">
        <f>INDEX(#REF!, MATCH($A169,#REF!, 0), MATCH(J$4,#REF!, 0))</f>
        <v>#REF!</v>
      </c>
      <c r="K169" s="146" t="e">
        <f>INDEX(#REF!, MATCH($A169,#REF!, 0), MATCH(K$4,#REF!, 0))</f>
        <v>#REF!</v>
      </c>
      <c r="L169" s="146" t="e">
        <f>INDEX(#REF!, MATCH($A169,#REF!, 0), MATCH(L$4,#REF!, 0))</f>
        <v>#REF!</v>
      </c>
      <c r="M169" s="146" t="e">
        <f>INDEX(#REF!, MATCH($A169,#REF!, 0), MATCH(M$4,#REF!, 0))</f>
        <v>#REF!</v>
      </c>
      <c r="N169" s="146" t="e">
        <f>INDEX(#REF!, MATCH($A169,#REF!, 0), MATCH(N$4,#REF!, 0))</f>
        <v>#REF!</v>
      </c>
      <c r="O169" s="146" t="e">
        <f>INDEX(#REF!, MATCH($A169,#REF!, 0), MATCH(O$4,#REF!, 0))</f>
        <v>#REF!</v>
      </c>
      <c r="P169" s="146" t="e">
        <f>INDEX(#REF!, MATCH($A169,#REF!, 0), MATCH(P$4,#REF!, 0))</f>
        <v>#REF!</v>
      </c>
      <c r="Q169" s="146" t="e">
        <f>INDEX(#REF!, MATCH($A169,#REF!, 0), MATCH(Q$4,#REF!, 0))</f>
        <v>#REF!</v>
      </c>
      <c r="R169" s="146" t="e">
        <f>INDEX(#REF!, MATCH($A169,#REF!, 0), MATCH(R$4,#REF!, 0))</f>
        <v>#REF!</v>
      </c>
      <c r="S169" s="146" t="e">
        <f>INDEX(#REF!, MATCH($A169,#REF!, 0), MATCH(S$4,#REF!, 0))</f>
        <v>#REF!</v>
      </c>
      <c r="T169" s="146" t="e">
        <f>INDEX(#REF!, MATCH($A169,#REF!, 0), MATCH(T$4,#REF!, 0))</f>
        <v>#REF!</v>
      </c>
      <c r="U169" s="146" t="e">
        <f>INDEX(#REF!, MATCH($A169,#REF!, 0), MATCH(U$4,#REF!, 0))</f>
        <v>#REF!</v>
      </c>
      <c r="V169" s="320"/>
      <c r="W169" s="146"/>
      <c r="X169" s="146"/>
      <c r="Y169" s="146"/>
      <c r="Z169" s="146"/>
      <c r="AA169" s="146"/>
      <c r="AB169" s="146" t="e">
        <f>INDEX(#REF!, MATCH($A169,#REF!, 0), MATCH(AB$4,#REF!, 0))</f>
        <v>#REF!</v>
      </c>
      <c r="AC169" s="320"/>
      <c r="AD169" s="146"/>
      <c r="AE169" s="146"/>
      <c r="AF169" s="146"/>
      <c r="AG169" s="146"/>
      <c r="AH169" s="146"/>
      <c r="AI169" s="146" t="e">
        <f>INDEX(#REF!, MATCH($A169,#REF!, 0), MATCH(AI$4,#REF!, 0))</f>
        <v>#REF!</v>
      </c>
      <c r="AJ169" s="320"/>
      <c r="AK169" s="146"/>
      <c r="AL169" s="146"/>
      <c r="AM169" s="146"/>
      <c r="AN169" s="146"/>
      <c r="AO169" s="146"/>
      <c r="AP169" s="146" t="e">
        <f>INDEX(#REF!, MATCH($A169,#REF!, 0), MATCH(AP$4,#REF!, 0))</f>
        <v>#REF!</v>
      </c>
      <c r="AQ169" s="320"/>
      <c r="AR169" s="146"/>
      <c r="AS169" s="146"/>
      <c r="AT169" s="146"/>
      <c r="AU169" s="146"/>
      <c r="AV169" s="146"/>
      <c r="AW169" s="146" t="e">
        <f>INDEX(#REF!, MATCH($A169,#REF!, 0), MATCH(AW$4,#REF!, 0))</f>
        <v>#REF!</v>
      </c>
      <c r="AX169" s="320"/>
      <c r="AY169" s="146"/>
      <c r="AZ169" s="146"/>
      <c r="BA169" s="146"/>
      <c r="BB169" s="146"/>
      <c r="BC169" s="146"/>
      <c r="BD169" s="364" t="e">
        <f>INDEX(#REF!, MATCH($A169,#REF!, 0), MATCH(BD$4,#REF!, 0))</f>
        <v>#REF!</v>
      </c>
      <c r="BE169" s="320"/>
      <c r="BF169" s="146"/>
      <c r="BG169" s="146"/>
      <c r="BH169" s="146"/>
      <c r="BI169" s="146"/>
      <c r="BJ169" s="146"/>
      <c r="BK169" s="364" t="e">
        <f>INDEX(#REF!, MATCH($A169,#REF!, 0), MATCH(BK$4,#REF!, 0))</f>
        <v>#REF!</v>
      </c>
      <c r="BL169" s="93" t="e">
        <f>BK169+BL174</f>
        <v>#REF!</v>
      </c>
      <c r="BM169" s="93" t="e">
        <f t="shared" ref="BM169:BR169" si="542">BL169+BM174</f>
        <v>#REF!</v>
      </c>
      <c r="BN169" s="93" t="e">
        <f t="shared" si="542"/>
        <v>#REF!</v>
      </c>
      <c r="BO169" s="93" t="e">
        <f t="shared" si="542"/>
        <v>#REF!</v>
      </c>
      <c r="BP169" s="93" t="e">
        <f t="shared" si="542"/>
        <v>#REF!</v>
      </c>
      <c r="BQ169" s="93" t="e">
        <f t="shared" si="542"/>
        <v>#REF!</v>
      </c>
      <c r="BR169" s="93" t="e">
        <f t="shared" si="542"/>
        <v>#REF!</v>
      </c>
    </row>
    <row r="170" spans="1:72">
      <c r="A170" s="196"/>
      <c r="B170" s="198" t="s">
        <v>282</v>
      </c>
      <c r="D170" s="146" t="e">
        <f t="shared" ref="D170:AW170" si="543">D168-D166-D169</f>
        <v>#REF!</v>
      </c>
      <c r="E170" s="146" t="e">
        <f t="shared" si="543"/>
        <v>#REF!</v>
      </c>
      <c r="F170" s="146" t="e">
        <f t="shared" si="543"/>
        <v>#REF!</v>
      </c>
      <c r="G170" s="146" t="e">
        <f t="shared" si="543"/>
        <v>#REF!</v>
      </c>
      <c r="H170" s="146" t="e">
        <f t="shared" si="543"/>
        <v>#REF!</v>
      </c>
      <c r="I170" s="146" t="e">
        <f t="shared" si="543"/>
        <v>#REF!</v>
      </c>
      <c r="J170" s="146" t="e">
        <f t="shared" si="543"/>
        <v>#REF!</v>
      </c>
      <c r="K170" s="146" t="e">
        <f t="shared" si="543"/>
        <v>#REF!</v>
      </c>
      <c r="L170" s="146" t="e">
        <f t="shared" si="543"/>
        <v>#REF!</v>
      </c>
      <c r="M170" s="146" t="e">
        <f t="shared" si="543"/>
        <v>#REF!</v>
      </c>
      <c r="N170" s="146" t="e">
        <f t="shared" si="543"/>
        <v>#REF!</v>
      </c>
      <c r="O170" s="146" t="e">
        <f t="shared" si="543"/>
        <v>#REF!</v>
      </c>
      <c r="P170" s="146" t="e">
        <f t="shared" si="543"/>
        <v>#REF!</v>
      </c>
      <c r="Q170" s="146" t="e">
        <f t="shared" si="543"/>
        <v>#REF!</v>
      </c>
      <c r="R170" s="146" t="e">
        <f t="shared" si="543"/>
        <v>#REF!</v>
      </c>
      <c r="S170" s="146" t="e">
        <f t="shared" si="543"/>
        <v>#REF!</v>
      </c>
      <c r="T170" s="146" t="e">
        <f t="shared" si="543"/>
        <v>#REF!</v>
      </c>
      <c r="U170" s="146" t="e">
        <f t="shared" si="543"/>
        <v>#REF!</v>
      </c>
      <c r="V170" s="320"/>
      <c r="W170" s="146"/>
      <c r="X170" s="146"/>
      <c r="Y170" s="146"/>
      <c r="Z170" s="146"/>
      <c r="AA170" s="146"/>
      <c r="AB170" s="146" t="e">
        <f t="shared" si="543"/>
        <v>#REF!</v>
      </c>
      <c r="AC170" s="320"/>
      <c r="AD170" s="146"/>
      <c r="AE170" s="146"/>
      <c r="AF170" s="146"/>
      <c r="AG170" s="146"/>
      <c r="AH170" s="146"/>
      <c r="AI170" s="146" t="e">
        <f t="shared" si="543"/>
        <v>#REF!</v>
      </c>
      <c r="AJ170" s="320"/>
      <c r="AK170" s="146"/>
      <c r="AL170" s="146"/>
      <c r="AM170" s="146"/>
      <c r="AN170" s="146"/>
      <c r="AO170" s="146"/>
      <c r="AP170" s="146" t="e">
        <f t="shared" si="543"/>
        <v>#REF!</v>
      </c>
      <c r="AQ170" s="320"/>
      <c r="AR170" s="146"/>
      <c r="AS170" s="146"/>
      <c r="AT170" s="146"/>
      <c r="AU170" s="146"/>
      <c r="AV170" s="146"/>
      <c r="AW170" s="146" t="e">
        <f t="shared" si="543"/>
        <v>#REF!</v>
      </c>
      <c r="AX170" s="320"/>
      <c r="AY170" s="146"/>
      <c r="AZ170" s="146"/>
      <c r="BA170" s="146"/>
      <c r="BB170" s="146"/>
      <c r="BC170" s="146"/>
      <c r="BD170" s="364" t="e">
        <f t="shared" ref="BD170" si="544">BD168-BD166-BD169</f>
        <v>#REF!</v>
      </c>
      <c r="BE170" s="320"/>
      <c r="BF170" s="146"/>
      <c r="BG170" s="146"/>
      <c r="BH170" s="146"/>
      <c r="BI170" s="146"/>
      <c r="BJ170" s="146"/>
      <c r="BK170" s="364" t="e">
        <f t="shared" ref="BK170" si="545">BK168-BK166-BK169</f>
        <v>#REF!</v>
      </c>
      <c r="BL170" s="112" t="e">
        <f>BK170</f>
        <v>#REF!</v>
      </c>
      <c r="BM170" s="112" t="e">
        <f t="shared" ref="BM170:BR170" si="546">BL170</f>
        <v>#REF!</v>
      </c>
      <c r="BN170" s="112" t="e">
        <f t="shared" si="546"/>
        <v>#REF!</v>
      </c>
      <c r="BO170" s="112" t="e">
        <f t="shared" si="546"/>
        <v>#REF!</v>
      </c>
      <c r="BP170" s="112" t="e">
        <f t="shared" si="546"/>
        <v>#REF!</v>
      </c>
      <c r="BQ170" s="112" t="e">
        <f t="shared" si="546"/>
        <v>#REF!</v>
      </c>
      <c r="BR170" s="112" t="e">
        <f t="shared" si="546"/>
        <v>#REF!</v>
      </c>
    </row>
    <row r="171" spans="1:72" ht="14.25" customHeight="1">
      <c r="A171" s="169"/>
      <c r="B171" s="117"/>
      <c r="C171" s="117"/>
      <c r="D171" s="146"/>
      <c r="E171" s="146"/>
      <c r="F171" s="146"/>
      <c r="G171" s="146"/>
      <c r="H171" s="146"/>
      <c r="I171" s="146"/>
      <c r="J171" s="146"/>
      <c r="K171" s="146"/>
      <c r="L171" s="146"/>
      <c r="M171" s="146"/>
      <c r="N171" s="146"/>
      <c r="O171" s="146"/>
      <c r="P171" s="146"/>
      <c r="Q171" s="146"/>
      <c r="R171" s="146"/>
      <c r="S171" s="146"/>
      <c r="T171" s="146"/>
      <c r="U171" s="146"/>
      <c r="V171" s="320"/>
      <c r="W171" s="146"/>
      <c r="X171" s="146"/>
      <c r="Y171" s="146"/>
      <c r="Z171" s="146"/>
      <c r="AA171" s="146"/>
      <c r="AB171" s="146"/>
      <c r="AC171" s="320"/>
      <c r="AD171" s="146"/>
      <c r="AE171" s="146"/>
      <c r="AF171" s="146"/>
      <c r="AG171" s="146"/>
      <c r="AH171" s="146"/>
      <c r="AI171" s="146"/>
      <c r="AJ171" s="320"/>
      <c r="AK171" s="146"/>
      <c r="AL171" s="146"/>
      <c r="AM171" s="146"/>
      <c r="AN171" s="146"/>
      <c r="AO171" s="146"/>
      <c r="AP171" s="146"/>
      <c r="AQ171" s="320"/>
      <c r="AR171" s="146"/>
      <c r="AS171" s="146"/>
      <c r="AT171" s="146"/>
      <c r="AU171" s="146"/>
      <c r="AV171" s="146"/>
      <c r="AW171" s="146"/>
      <c r="AX171" s="320"/>
      <c r="AY171" s="146"/>
      <c r="AZ171" s="146"/>
      <c r="BA171" s="146"/>
      <c r="BB171" s="146"/>
      <c r="BC171" s="146"/>
      <c r="BD171" s="364"/>
      <c r="BE171" s="320"/>
      <c r="BF171" s="146"/>
      <c r="BG171" s="146"/>
      <c r="BH171" s="146"/>
      <c r="BI171" s="146"/>
      <c r="BJ171" s="146"/>
      <c r="BK171" s="364"/>
      <c r="BL171" s="151"/>
      <c r="BM171" s="151"/>
      <c r="BN171" s="151"/>
      <c r="BO171" s="151"/>
      <c r="BP171" s="151"/>
      <c r="BQ171" s="151"/>
      <c r="BR171" s="151"/>
      <c r="BT171" s="121"/>
    </row>
    <row r="172" spans="1:72">
      <c r="A172" s="196"/>
      <c r="B172" s="199" t="s">
        <v>283</v>
      </c>
      <c r="D172" s="146" t="e">
        <f t="shared" ref="D172:P172" si="547">D168-C168</f>
        <v>#REF!</v>
      </c>
      <c r="E172" s="146" t="e">
        <f t="shared" si="547"/>
        <v>#REF!</v>
      </c>
      <c r="F172" s="146" t="e">
        <f t="shared" si="547"/>
        <v>#REF!</v>
      </c>
      <c r="G172" s="146" t="e">
        <f t="shared" si="547"/>
        <v>#REF!</v>
      </c>
      <c r="H172" s="146" t="e">
        <f t="shared" si="547"/>
        <v>#REF!</v>
      </c>
      <c r="I172" s="146" t="e">
        <f t="shared" si="547"/>
        <v>#REF!</v>
      </c>
      <c r="J172" s="146" t="e">
        <f t="shared" si="547"/>
        <v>#REF!</v>
      </c>
      <c r="K172" s="146" t="e">
        <f t="shared" si="547"/>
        <v>#REF!</v>
      </c>
      <c r="L172" s="146" t="e">
        <f t="shared" si="547"/>
        <v>#REF!</v>
      </c>
      <c r="M172" s="146" t="e">
        <f t="shared" si="547"/>
        <v>#REF!</v>
      </c>
      <c r="N172" s="146" t="e">
        <f t="shared" si="547"/>
        <v>#REF!</v>
      </c>
      <c r="O172" s="146" t="e">
        <f t="shared" si="547"/>
        <v>#REF!</v>
      </c>
      <c r="P172" s="146" t="e">
        <f t="shared" si="547"/>
        <v>#REF!</v>
      </c>
      <c r="Q172" s="146" t="e">
        <f t="shared" ref="Q172:U172" si="548">Q168-P168</f>
        <v>#REF!</v>
      </c>
      <c r="R172" s="146" t="e">
        <f t="shared" si="548"/>
        <v>#REF!</v>
      </c>
      <c r="S172" s="146" t="e">
        <f t="shared" si="548"/>
        <v>#REF!</v>
      </c>
      <c r="T172" s="146" t="e">
        <f t="shared" si="548"/>
        <v>#REF!</v>
      </c>
      <c r="U172" s="146" t="e">
        <f t="shared" si="548"/>
        <v>#REF!</v>
      </c>
      <c r="V172" s="320"/>
      <c r="W172" s="146"/>
      <c r="X172" s="146"/>
      <c r="Y172" s="146"/>
      <c r="Z172" s="146"/>
      <c r="AA172" s="146"/>
      <c r="AB172" s="146" t="e">
        <f>AB168-U168</f>
        <v>#REF!</v>
      </c>
      <c r="AC172" s="320"/>
      <c r="AD172" s="146"/>
      <c r="AE172" s="146"/>
      <c r="AF172" s="146"/>
      <c r="AG172" s="146"/>
      <c r="AH172" s="146"/>
      <c r="AI172" s="146" t="e">
        <f>AI168-AB168</f>
        <v>#REF!</v>
      </c>
      <c r="AJ172" s="320"/>
      <c r="AK172" s="146"/>
      <c r="AL172" s="146"/>
      <c r="AM172" s="146"/>
      <c r="AN172" s="146"/>
      <c r="AO172" s="146"/>
      <c r="AP172" s="146" t="e">
        <f>AP168-AI168</f>
        <v>#REF!</v>
      </c>
      <c r="AQ172" s="320"/>
      <c r="AR172" s="146"/>
      <c r="AS172" s="146"/>
      <c r="AT172" s="146"/>
      <c r="AU172" s="146"/>
      <c r="AV172" s="146"/>
      <c r="AW172" s="146" t="e">
        <f>AW168-AP168</f>
        <v>#REF!</v>
      </c>
      <c r="AX172" s="320"/>
      <c r="AY172" s="146"/>
      <c r="AZ172" s="146"/>
      <c r="BA172" s="146"/>
      <c r="BB172" s="146"/>
      <c r="BC172" s="146"/>
      <c r="BD172" s="364" t="e">
        <f>BD168-AW168</f>
        <v>#REF!</v>
      </c>
      <c r="BE172" s="320"/>
      <c r="BF172" s="146"/>
      <c r="BG172" s="146"/>
      <c r="BH172" s="146"/>
      <c r="BI172" s="146"/>
      <c r="BJ172" s="146"/>
      <c r="BK172" s="364" t="e">
        <f>BK168-BD168</f>
        <v>#REF!</v>
      </c>
      <c r="BL172" s="93" t="e">
        <f t="shared" ref="BL172:BR172" si="549">BL173*BL$5</f>
        <v>#REF!</v>
      </c>
      <c r="BM172" s="93" t="e">
        <f t="shared" si="549"/>
        <v>#REF!</v>
      </c>
      <c r="BN172" s="93" t="e">
        <f t="shared" si="549"/>
        <v>#REF!</v>
      </c>
      <c r="BO172" s="93" t="e">
        <f t="shared" si="549"/>
        <v>#REF!</v>
      </c>
      <c r="BP172" s="93" t="e">
        <f t="shared" si="549"/>
        <v>#REF!</v>
      </c>
      <c r="BQ172" s="93" t="e">
        <f t="shared" si="549"/>
        <v>#REF!</v>
      </c>
      <c r="BR172" s="93" t="e">
        <f t="shared" si="549"/>
        <v>#REF!</v>
      </c>
    </row>
    <row r="173" spans="1:72">
      <c r="A173" s="196"/>
      <c r="B173" s="199" t="s">
        <v>281</v>
      </c>
      <c r="D173" s="2" t="e">
        <f t="shared" ref="D173:U173" si="550">D172/D$5</f>
        <v>#REF!</v>
      </c>
      <c r="E173" s="2" t="e">
        <f t="shared" si="550"/>
        <v>#REF!</v>
      </c>
      <c r="F173" s="2" t="e">
        <f t="shared" si="550"/>
        <v>#REF!</v>
      </c>
      <c r="G173" s="2" t="e">
        <f t="shared" si="550"/>
        <v>#REF!</v>
      </c>
      <c r="H173" s="2" t="e">
        <f t="shared" si="550"/>
        <v>#REF!</v>
      </c>
      <c r="I173" s="2" t="e">
        <f t="shared" si="550"/>
        <v>#REF!</v>
      </c>
      <c r="J173" s="2" t="e">
        <f t="shared" si="550"/>
        <v>#REF!</v>
      </c>
      <c r="K173" s="2" t="e">
        <f t="shared" si="550"/>
        <v>#REF!</v>
      </c>
      <c r="L173" s="2" t="e">
        <f t="shared" si="550"/>
        <v>#REF!</v>
      </c>
      <c r="M173" s="2" t="e">
        <f t="shared" si="550"/>
        <v>#REF!</v>
      </c>
      <c r="N173" s="2" t="e">
        <f t="shared" si="550"/>
        <v>#REF!</v>
      </c>
      <c r="O173" s="2" t="e">
        <f t="shared" si="550"/>
        <v>#REF!</v>
      </c>
      <c r="P173" s="2" t="e">
        <f t="shared" si="550"/>
        <v>#REF!</v>
      </c>
      <c r="Q173" s="2" t="e">
        <f t="shared" si="550"/>
        <v>#REF!</v>
      </c>
      <c r="R173" s="2" t="e">
        <f t="shared" si="550"/>
        <v>#REF!</v>
      </c>
      <c r="S173" s="2" t="e">
        <f t="shared" si="550"/>
        <v>#REF!</v>
      </c>
      <c r="T173" s="2" t="e">
        <f t="shared" si="550"/>
        <v>#REF!</v>
      </c>
      <c r="U173" s="2" t="e">
        <f t="shared" si="550"/>
        <v>#REF!</v>
      </c>
      <c r="V173" s="343"/>
      <c r="W173" s="2"/>
      <c r="X173" s="2"/>
      <c r="Y173" s="2"/>
      <c r="Z173" s="2"/>
      <c r="AA173" s="2"/>
      <c r="AB173" s="2" t="e">
        <f>AB172/$AB$5</f>
        <v>#REF!</v>
      </c>
      <c r="AC173" s="343"/>
      <c r="AD173" s="2"/>
      <c r="AE173" s="2"/>
      <c r="AF173" s="2"/>
      <c r="AG173" s="2"/>
      <c r="AH173" s="2"/>
      <c r="AI173" s="2" t="e">
        <f>AI172/AI5</f>
        <v>#REF!</v>
      </c>
      <c r="AJ173" s="343"/>
      <c r="AK173" s="2"/>
      <c r="AL173" s="2"/>
      <c r="AM173" s="2"/>
      <c r="AN173" s="2"/>
      <c r="AO173" s="2"/>
      <c r="AP173" s="2" t="e">
        <f>AP172/AP5</f>
        <v>#REF!</v>
      </c>
      <c r="AQ173" s="343"/>
      <c r="AR173" s="2"/>
      <c r="AS173" s="2"/>
      <c r="AT173" s="2"/>
      <c r="AU173" s="2"/>
      <c r="AV173" s="2"/>
      <c r="AW173" s="2" t="e">
        <f>AW172/AW5</f>
        <v>#REF!</v>
      </c>
      <c r="AX173" s="343"/>
      <c r="AY173" s="2"/>
      <c r="AZ173" s="2"/>
      <c r="BA173" s="2"/>
      <c r="BB173" s="2"/>
      <c r="BC173" s="2"/>
      <c r="BD173" s="231" t="e">
        <f>BD172/BD5</f>
        <v>#REF!</v>
      </c>
      <c r="BE173" s="343"/>
      <c r="BF173" s="2"/>
      <c r="BG173" s="2"/>
      <c r="BH173" s="2"/>
      <c r="BI173" s="2"/>
      <c r="BJ173" s="2"/>
      <c r="BK173" s="231" t="e">
        <f>BK172/BK5</f>
        <v>#REF!</v>
      </c>
      <c r="BL173" s="108" t="e">
        <f>BK173</f>
        <v>#REF!</v>
      </c>
      <c r="BM173" s="108" t="e">
        <f t="shared" ref="BM173:BR173" si="551">BL173</f>
        <v>#REF!</v>
      </c>
      <c r="BN173" s="108" t="e">
        <f t="shared" si="551"/>
        <v>#REF!</v>
      </c>
      <c r="BO173" s="108" t="e">
        <f t="shared" si="551"/>
        <v>#REF!</v>
      </c>
      <c r="BP173" s="108" t="e">
        <f t="shared" si="551"/>
        <v>#REF!</v>
      </c>
      <c r="BQ173" s="108" t="e">
        <f t="shared" si="551"/>
        <v>#REF!</v>
      </c>
      <c r="BR173" s="108" t="e">
        <f t="shared" si="551"/>
        <v>#REF!</v>
      </c>
    </row>
    <row r="174" spans="1:72">
      <c r="A174" s="196"/>
      <c r="B174" s="199" t="s">
        <v>284</v>
      </c>
      <c r="D174" s="146" t="e">
        <f t="shared" ref="D174:P174" si="552">D169-C169</f>
        <v>#REF!</v>
      </c>
      <c r="E174" s="146" t="e">
        <f t="shared" si="552"/>
        <v>#REF!</v>
      </c>
      <c r="F174" s="146" t="e">
        <f t="shared" si="552"/>
        <v>#REF!</v>
      </c>
      <c r="G174" s="146" t="e">
        <f t="shared" si="552"/>
        <v>#REF!</v>
      </c>
      <c r="H174" s="146" t="e">
        <f t="shared" si="552"/>
        <v>#REF!</v>
      </c>
      <c r="I174" s="146" t="e">
        <f t="shared" si="552"/>
        <v>#REF!</v>
      </c>
      <c r="J174" s="146" t="e">
        <f t="shared" si="552"/>
        <v>#REF!</v>
      </c>
      <c r="K174" s="146" t="e">
        <f t="shared" si="552"/>
        <v>#REF!</v>
      </c>
      <c r="L174" s="146" t="e">
        <f t="shared" si="552"/>
        <v>#REF!</v>
      </c>
      <c r="M174" s="146" t="e">
        <f t="shared" si="552"/>
        <v>#REF!</v>
      </c>
      <c r="N174" s="146" t="e">
        <f t="shared" si="552"/>
        <v>#REF!</v>
      </c>
      <c r="O174" s="146" t="e">
        <f t="shared" si="552"/>
        <v>#REF!</v>
      </c>
      <c r="P174" s="146" t="e">
        <f t="shared" si="552"/>
        <v>#REF!</v>
      </c>
      <c r="Q174" s="146" t="e">
        <f t="shared" ref="Q174:U174" si="553">Q169-P169</f>
        <v>#REF!</v>
      </c>
      <c r="R174" s="146" t="e">
        <f t="shared" si="553"/>
        <v>#REF!</v>
      </c>
      <c r="S174" s="146" t="e">
        <f t="shared" si="553"/>
        <v>#REF!</v>
      </c>
      <c r="T174" s="146" t="e">
        <f t="shared" si="553"/>
        <v>#REF!</v>
      </c>
      <c r="U174" s="146" t="e">
        <f t="shared" si="553"/>
        <v>#REF!</v>
      </c>
      <c r="V174" s="320"/>
      <c r="W174" s="146"/>
      <c r="X174" s="146"/>
      <c r="Y174" s="146"/>
      <c r="Z174" s="146"/>
      <c r="AA174" s="146"/>
      <c r="AB174" s="146" t="e">
        <f>AB169-U169</f>
        <v>#REF!</v>
      </c>
      <c r="AC174" s="320"/>
      <c r="AD174" s="146"/>
      <c r="AE174" s="146"/>
      <c r="AF174" s="146"/>
      <c r="AG174" s="146"/>
      <c r="AH174" s="146"/>
      <c r="AI174" s="146" t="e">
        <f>AI169-AB169</f>
        <v>#REF!</v>
      </c>
      <c r="AJ174" s="320"/>
      <c r="AK174" s="146"/>
      <c r="AL174" s="146"/>
      <c r="AM174" s="146"/>
      <c r="AN174" s="146"/>
      <c r="AO174" s="146"/>
      <c r="AP174" s="146" t="e">
        <f>AP169-AI169</f>
        <v>#REF!</v>
      </c>
      <c r="AQ174" s="320"/>
      <c r="AR174" s="146"/>
      <c r="AS174" s="146"/>
      <c r="AT174" s="146"/>
      <c r="AU174" s="146"/>
      <c r="AV174" s="146"/>
      <c r="AW174" s="146" t="e">
        <f>AW169-AP169</f>
        <v>#REF!</v>
      </c>
      <c r="AX174" s="320"/>
      <c r="AY174" s="146"/>
      <c r="AZ174" s="146"/>
      <c r="BA174" s="146"/>
      <c r="BB174" s="146"/>
      <c r="BC174" s="146"/>
      <c r="BD174" s="364" t="e">
        <f>BD169-AW169</f>
        <v>#REF!</v>
      </c>
      <c r="BE174" s="320"/>
      <c r="BF174" s="146"/>
      <c r="BG174" s="146"/>
      <c r="BH174" s="146"/>
      <c r="BI174" s="146"/>
      <c r="BJ174" s="146"/>
      <c r="BK174" s="364" t="e">
        <f>BK169-BD169</f>
        <v>#REF!</v>
      </c>
      <c r="BL174" s="93" t="e">
        <f>BL175*BK168</f>
        <v>#REF!</v>
      </c>
      <c r="BM174" s="93" t="e">
        <f t="shared" ref="BM174:BR174" si="554">BM175*BL168</f>
        <v>#REF!</v>
      </c>
      <c r="BN174" s="93" t="e">
        <f t="shared" si="554"/>
        <v>#REF!</v>
      </c>
      <c r="BO174" s="93" t="e">
        <f t="shared" si="554"/>
        <v>#REF!</v>
      </c>
      <c r="BP174" s="93" t="e">
        <f t="shared" si="554"/>
        <v>#REF!</v>
      </c>
      <c r="BQ174" s="93" t="e">
        <f t="shared" si="554"/>
        <v>#REF!</v>
      </c>
      <c r="BR174" s="93" t="e">
        <f t="shared" si="554"/>
        <v>#REF!</v>
      </c>
    </row>
    <row r="175" spans="1:72">
      <c r="A175" s="196"/>
      <c r="B175" s="199" t="s">
        <v>285</v>
      </c>
      <c r="D175" s="2" t="e">
        <f t="shared" ref="D175:U175" si="555">D174/C168</f>
        <v>#REF!</v>
      </c>
      <c r="E175" s="2" t="e">
        <f t="shared" si="555"/>
        <v>#REF!</v>
      </c>
      <c r="F175" s="2" t="e">
        <f t="shared" si="555"/>
        <v>#REF!</v>
      </c>
      <c r="G175" s="2" t="e">
        <f t="shared" si="555"/>
        <v>#REF!</v>
      </c>
      <c r="H175" s="2" t="e">
        <f t="shared" si="555"/>
        <v>#REF!</v>
      </c>
      <c r="I175" s="2" t="e">
        <f t="shared" si="555"/>
        <v>#REF!</v>
      </c>
      <c r="J175" s="2" t="e">
        <f t="shared" si="555"/>
        <v>#REF!</v>
      </c>
      <c r="K175" s="2" t="e">
        <f t="shared" si="555"/>
        <v>#REF!</v>
      </c>
      <c r="L175" s="2" t="e">
        <f t="shared" si="555"/>
        <v>#REF!</v>
      </c>
      <c r="M175" s="2" t="e">
        <f t="shared" si="555"/>
        <v>#REF!</v>
      </c>
      <c r="N175" s="2" t="e">
        <f t="shared" si="555"/>
        <v>#REF!</v>
      </c>
      <c r="O175" s="2" t="e">
        <f t="shared" si="555"/>
        <v>#REF!</v>
      </c>
      <c r="P175" s="2" t="e">
        <f t="shared" si="555"/>
        <v>#REF!</v>
      </c>
      <c r="Q175" s="2" t="e">
        <f t="shared" si="555"/>
        <v>#REF!</v>
      </c>
      <c r="R175" s="2" t="e">
        <f t="shared" si="555"/>
        <v>#REF!</v>
      </c>
      <c r="S175" s="2" t="e">
        <f t="shared" si="555"/>
        <v>#REF!</v>
      </c>
      <c r="T175" s="2" t="e">
        <f t="shared" si="555"/>
        <v>#REF!</v>
      </c>
      <c r="U175" s="2" t="e">
        <f t="shared" si="555"/>
        <v>#REF!</v>
      </c>
      <c r="V175" s="343"/>
      <c r="W175" s="2"/>
      <c r="X175" s="2"/>
      <c r="Y175" s="2"/>
      <c r="Z175" s="2"/>
      <c r="AA175" s="2"/>
      <c r="AB175" s="2" t="e">
        <f>AB174/U168</f>
        <v>#REF!</v>
      </c>
      <c r="AC175" s="343"/>
      <c r="AD175" s="2"/>
      <c r="AE175" s="2"/>
      <c r="AF175" s="2"/>
      <c r="AG175" s="2"/>
      <c r="AH175" s="2"/>
      <c r="AI175" s="2" t="e">
        <f>AI174/AB168</f>
        <v>#REF!</v>
      </c>
      <c r="AJ175" s="343"/>
      <c r="AK175" s="2"/>
      <c r="AL175" s="2"/>
      <c r="AM175" s="2"/>
      <c r="AN175" s="2"/>
      <c r="AO175" s="2"/>
      <c r="AP175" s="2" t="e">
        <f>AP174/AI168</f>
        <v>#REF!</v>
      </c>
      <c r="AQ175" s="343"/>
      <c r="AR175" s="2"/>
      <c r="AS175" s="2"/>
      <c r="AT175" s="2"/>
      <c r="AU175" s="2"/>
      <c r="AV175" s="2"/>
      <c r="AW175" s="2" t="e">
        <f>AW174/AP168</f>
        <v>#REF!</v>
      </c>
      <c r="AX175" s="343"/>
      <c r="AY175" s="2"/>
      <c r="AZ175" s="2"/>
      <c r="BA175" s="2"/>
      <c r="BB175" s="2"/>
      <c r="BC175" s="2"/>
      <c r="BD175" s="231" t="e">
        <f>BD174/AW168</f>
        <v>#REF!</v>
      </c>
      <c r="BE175" s="343"/>
      <c r="BF175" s="2"/>
      <c r="BG175" s="2"/>
      <c r="BH175" s="2"/>
      <c r="BI175" s="2"/>
      <c r="BJ175" s="2"/>
      <c r="BK175" s="231" t="e">
        <f>BK174/BD168</f>
        <v>#REF!</v>
      </c>
      <c r="BL175" s="108" t="e">
        <f>BK175</f>
        <v>#REF!</v>
      </c>
      <c r="BM175" s="108" t="e">
        <f t="shared" ref="BM175:BR175" si="556">BL175</f>
        <v>#REF!</v>
      </c>
      <c r="BN175" s="108" t="e">
        <f t="shared" si="556"/>
        <v>#REF!</v>
      </c>
      <c r="BO175" s="108" t="e">
        <f t="shared" si="556"/>
        <v>#REF!</v>
      </c>
      <c r="BP175" s="108" t="e">
        <f t="shared" si="556"/>
        <v>#REF!</v>
      </c>
      <c r="BQ175" s="108" t="e">
        <f t="shared" si="556"/>
        <v>#REF!</v>
      </c>
      <c r="BR175" s="108" t="e">
        <f t="shared" si="556"/>
        <v>#REF!</v>
      </c>
    </row>
    <row r="176" spans="1:72">
      <c r="A176" s="196"/>
      <c r="B176" s="199"/>
      <c r="D176" s="146"/>
      <c r="E176" s="146"/>
      <c r="F176" s="146"/>
      <c r="G176" s="146"/>
      <c r="H176" s="146"/>
      <c r="I176" s="146"/>
      <c r="J176" s="146"/>
      <c r="K176" s="146"/>
      <c r="L176" s="146"/>
      <c r="M176" s="146"/>
      <c r="N176" s="146"/>
      <c r="O176" s="146"/>
      <c r="P176" s="146"/>
      <c r="Q176" s="146"/>
      <c r="R176" s="146"/>
      <c r="S176" s="146"/>
      <c r="T176" s="146"/>
      <c r="U176" s="146"/>
      <c r="V176" s="320"/>
      <c r="W176" s="146"/>
      <c r="X176" s="146"/>
      <c r="Y176" s="146"/>
      <c r="Z176" s="146"/>
      <c r="AA176" s="146"/>
      <c r="AB176" s="146"/>
      <c r="AC176" s="320"/>
      <c r="AD176" s="146"/>
      <c r="AE176" s="146"/>
      <c r="AF176" s="146"/>
      <c r="AG176" s="146"/>
      <c r="AH176" s="146"/>
      <c r="AI176" s="146"/>
      <c r="AJ176" s="320"/>
      <c r="AK176" s="146"/>
      <c r="AL176" s="146"/>
      <c r="AM176" s="146"/>
      <c r="AN176" s="146"/>
      <c r="AO176" s="146"/>
      <c r="AP176" s="146"/>
      <c r="AQ176" s="320"/>
      <c r="AR176" s="146"/>
      <c r="AS176" s="146"/>
      <c r="AT176" s="146"/>
      <c r="AU176" s="146"/>
      <c r="AV176" s="146"/>
      <c r="AW176" s="146"/>
      <c r="AX176" s="320"/>
      <c r="AY176" s="146"/>
      <c r="AZ176" s="146"/>
      <c r="BA176" s="146"/>
      <c r="BB176" s="146"/>
      <c r="BC176" s="146"/>
      <c r="BD176" s="364"/>
      <c r="BE176" s="320"/>
      <c r="BF176" s="146"/>
      <c r="BG176" s="146"/>
      <c r="BH176" s="146"/>
      <c r="BI176" s="146"/>
      <c r="BJ176" s="146"/>
      <c r="BK176" s="364"/>
    </row>
    <row r="177" spans="1:72" ht="14.25" customHeight="1">
      <c r="A177" s="169" t="s">
        <v>237</v>
      </c>
      <c r="B177" s="1" t="s">
        <v>122</v>
      </c>
      <c r="C177" s="117"/>
      <c r="D177" s="146" t="e">
        <f>INDEX(#REF!, MATCH($A177,#REF!, 0), MATCH(D$4,#REF!, 0))</f>
        <v>#REF!</v>
      </c>
      <c r="E177" s="146" t="e">
        <f>INDEX(#REF!, MATCH($A177,#REF!, 0), MATCH(E$4,#REF!, 0))</f>
        <v>#REF!</v>
      </c>
      <c r="F177" s="146" t="e">
        <f>INDEX(#REF!, MATCH($A177,#REF!, 0), MATCH(F$4,#REF!, 0))</f>
        <v>#REF!</v>
      </c>
      <c r="G177" s="146" t="e">
        <f>INDEX(#REF!, MATCH($A177,#REF!, 0), MATCH(G$4,#REF!, 0))</f>
        <v>#REF!</v>
      </c>
      <c r="H177" s="146" t="e">
        <f>INDEX(#REF!, MATCH($A177,#REF!, 0), MATCH(H$4,#REF!, 0))</f>
        <v>#REF!</v>
      </c>
      <c r="I177" s="146" t="e">
        <f>INDEX(#REF!, MATCH($A177,#REF!, 0), MATCH(I$4,#REF!, 0))</f>
        <v>#REF!</v>
      </c>
      <c r="J177" s="146" t="e">
        <f>INDEX(#REF!, MATCH($A177,#REF!, 0), MATCH(J$4,#REF!, 0))</f>
        <v>#REF!</v>
      </c>
      <c r="K177" s="146" t="e">
        <f>INDEX(#REF!, MATCH($A177,#REF!, 0), MATCH(K$4,#REF!, 0))</f>
        <v>#REF!</v>
      </c>
      <c r="L177" s="146" t="e">
        <f>INDEX(#REF!, MATCH($A177,#REF!, 0), MATCH(L$4,#REF!, 0))</f>
        <v>#REF!</v>
      </c>
      <c r="M177" s="146" t="e">
        <f>INDEX(#REF!, MATCH($A177,#REF!, 0), MATCH(M$4,#REF!, 0))</f>
        <v>#REF!</v>
      </c>
      <c r="N177" s="146" t="e">
        <f>INDEX(#REF!, MATCH($A177,#REF!, 0), MATCH(N$4,#REF!, 0))</f>
        <v>#REF!</v>
      </c>
      <c r="O177" s="146" t="e">
        <f>INDEX(#REF!, MATCH($A177,#REF!, 0), MATCH(O$4,#REF!, 0))</f>
        <v>#REF!</v>
      </c>
      <c r="P177" s="146" t="e">
        <f>INDEX(#REF!, MATCH($A177,#REF!, 0), MATCH(P$4,#REF!, 0))</f>
        <v>#REF!</v>
      </c>
      <c r="Q177" s="146" t="e">
        <f>INDEX(#REF!, MATCH($A177,#REF!, 0), MATCH(Q$4,#REF!, 0))</f>
        <v>#REF!</v>
      </c>
      <c r="R177" s="146" t="e">
        <f>INDEX(#REF!, MATCH($A177,#REF!, 0), MATCH(R$4,#REF!, 0))</f>
        <v>#REF!</v>
      </c>
      <c r="S177" s="146" t="e">
        <f>INDEX(#REF!, MATCH($A177,#REF!, 0), MATCH(S$4,#REF!, 0))</f>
        <v>#REF!</v>
      </c>
      <c r="T177" s="146" t="e">
        <f>INDEX(#REF!, MATCH($A177,#REF!, 0), MATCH(T$4,#REF!, 0))</f>
        <v>#REF!</v>
      </c>
      <c r="U177" s="146" t="e">
        <f>INDEX(#REF!, MATCH($A177,#REF!, 0), MATCH(U$4,#REF!, 0))</f>
        <v>#REF!</v>
      </c>
      <c r="V177" s="320" t="e">
        <f>INDEX(#REF!, MATCH($A177,#REF!, 0), MATCH(V$4,#REF!, 0))</f>
        <v>#REF!</v>
      </c>
      <c r="W177" s="146" t="e">
        <f>INDEX(#REF!, MATCH($A177,#REF!, 0), MATCH(W$4,#REF!, 0))</f>
        <v>#REF!</v>
      </c>
      <c r="X177" s="146" t="e">
        <f>INDEX(#REF!, MATCH($A177,#REF!, 0), MATCH(X$4,#REF!, 0))</f>
        <v>#REF!</v>
      </c>
      <c r="Y177" s="146" t="e">
        <f>INDEX(#REF!, MATCH($A177,#REF!, 0), MATCH(Y$4,#REF!, 0))</f>
        <v>#REF!</v>
      </c>
      <c r="Z177" s="146" t="e">
        <f>INDEX(#REF!, MATCH($A177,#REF!, 0), MATCH(Z$4,#REF!, 0))</f>
        <v>#REF!</v>
      </c>
      <c r="AA177" s="146" t="e">
        <f>INDEX(#REF!, MATCH($A177,#REF!, 0), MATCH(AA$4,#REF!, 0))</f>
        <v>#REF!</v>
      </c>
      <c r="AB177" s="146" t="e">
        <f>INDEX(#REF!, MATCH($A177,#REF!, 0), MATCH(AB$4,#REF!, 0))</f>
        <v>#REF!</v>
      </c>
      <c r="AC177" s="320" t="e">
        <f>INDEX(#REF!, MATCH($A177,#REF!, 0), MATCH(AC$4,#REF!, 0))</f>
        <v>#REF!</v>
      </c>
      <c r="AD177" s="146" t="e">
        <f>INDEX(#REF!, MATCH($A177,#REF!, 0), MATCH(AD$4,#REF!, 0))</f>
        <v>#REF!</v>
      </c>
      <c r="AE177" s="146" t="e">
        <f>INDEX(#REF!, MATCH($A177,#REF!, 0), MATCH(AE$4,#REF!, 0))</f>
        <v>#REF!</v>
      </c>
      <c r="AF177" s="146" t="e">
        <f>INDEX(#REF!, MATCH($A177,#REF!, 0), MATCH(AF$4,#REF!, 0))</f>
        <v>#REF!</v>
      </c>
      <c r="AG177" s="146" t="e">
        <f>INDEX(#REF!, MATCH($A177,#REF!, 0), MATCH(AG$4,#REF!, 0))</f>
        <v>#REF!</v>
      </c>
      <c r="AH177" s="146" t="e">
        <f>INDEX(#REF!, MATCH($A177,#REF!, 0), MATCH(AH$4,#REF!, 0))</f>
        <v>#REF!</v>
      </c>
      <c r="AI177" s="146" t="e">
        <f>INDEX(#REF!, MATCH($A177,#REF!, 0), MATCH(AI$4,#REF!, 0))</f>
        <v>#REF!</v>
      </c>
      <c r="AJ177" s="320" t="e">
        <f>INDEX(#REF!, MATCH($A177,#REF!, 0), MATCH(AJ$4,#REF!, 0))</f>
        <v>#REF!</v>
      </c>
      <c r="AK177" s="146" t="e">
        <f>INDEX(#REF!, MATCH($A177,#REF!, 0), MATCH(AK$4,#REF!, 0))</f>
        <v>#REF!</v>
      </c>
      <c r="AL177" s="146" t="e">
        <f>INDEX(#REF!, MATCH($A177,#REF!, 0), MATCH(AL$4,#REF!, 0))</f>
        <v>#REF!</v>
      </c>
      <c r="AM177" s="146" t="e">
        <f>INDEX(#REF!, MATCH($A177,#REF!, 0), MATCH(AM$4,#REF!, 0))</f>
        <v>#REF!</v>
      </c>
      <c r="AN177" s="146" t="e">
        <f>INDEX(#REF!, MATCH($A177,#REF!, 0), MATCH(AN$4,#REF!, 0))</f>
        <v>#REF!</v>
      </c>
      <c r="AO177" s="146" t="e">
        <f>INDEX(#REF!, MATCH($A177,#REF!, 0), MATCH(AO$4,#REF!, 0))</f>
        <v>#REF!</v>
      </c>
      <c r="AP177" s="146" t="e">
        <f>INDEX(#REF!, MATCH($A177,#REF!, 0), MATCH(AP$4,#REF!, 0))</f>
        <v>#REF!</v>
      </c>
      <c r="AQ177" s="320" t="e">
        <f>INDEX(#REF!, MATCH($A177,#REF!, 0), MATCH(AQ$4,#REF!, 0))</f>
        <v>#REF!</v>
      </c>
      <c r="AR177" s="146" t="e">
        <f>INDEX(#REF!, MATCH($A177,#REF!, 0), MATCH(AR$4,#REF!, 0))</f>
        <v>#REF!</v>
      </c>
      <c r="AS177" s="146" t="e">
        <f>INDEX(#REF!, MATCH($A177,#REF!, 0), MATCH(AS$4,#REF!, 0))</f>
        <v>#REF!</v>
      </c>
      <c r="AT177" s="146" t="e">
        <f>INDEX(#REF!, MATCH($A177,#REF!, 0), MATCH(AT$4,#REF!, 0))</f>
        <v>#REF!</v>
      </c>
      <c r="AU177" s="146" t="e">
        <f>INDEX(#REF!, MATCH($A177,#REF!, 0), MATCH(AU$4,#REF!, 0))</f>
        <v>#REF!</v>
      </c>
      <c r="AV177" s="146" t="e">
        <f>INDEX(#REF!, MATCH($A177,#REF!, 0), MATCH(AV$4,#REF!, 0))</f>
        <v>#REF!</v>
      </c>
      <c r="AW177" s="146" t="e">
        <f>INDEX(#REF!, MATCH($A177,#REF!, 0), MATCH(AW$4,#REF!, 0))</f>
        <v>#REF!</v>
      </c>
      <c r="AX177" s="320" t="e">
        <f>INDEX(#REF!, MATCH($A177,#REF!, 0), MATCH(AX$4,#REF!, 0))</f>
        <v>#REF!</v>
      </c>
      <c r="AY177" s="146" t="e">
        <f>INDEX(#REF!, MATCH($A177,#REF!, 0), MATCH(AY$4,#REF!, 0))</f>
        <v>#REF!</v>
      </c>
      <c r="AZ177" s="146" t="e">
        <f>INDEX(#REF!, MATCH($A177,#REF!, 0), MATCH(AZ$4,#REF!, 0))</f>
        <v>#REF!</v>
      </c>
      <c r="BA177" s="146" t="e">
        <f>INDEX(#REF!, MATCH($A177,#REF!, 0), MATCH(BA$4,#REF!, 0))</f>
        <v>#REF!</v>
      </c>
      <c r="BB177" s="146" t="e">
        <f>INDEX(#REF!, MATCH($A177,#REF!, 0), MATCH(BB$4,#REF!, 0))</f>
        <v>#REF!</v>
      </c>
      <c r="BC177" s="146" t="e">
        <f>INDEX(#REF!, MATCH($A177,#REF!, 0), MATCH(BC$4,#REF!, 0))</f>
        <v>#REF!</v>
      </c>
      <c r="BD177" s="364" t="e">
        <f>INDEX(#REF!, MATCH($A177,#REF!, 0), MATCH(BD$4,#REF!, 0))</f>
        <v>#REF!</v>
      </c>
      <c r="BE177" s="320" t="e">
        <f>INDEX(#REF!, MATCH($A177,#REF!, 0), MATCH(BE$4,#REF!, 0))</f>
        <v>#REF!</v>
      </c>
      <c r="BF177" s="146" t="e">
        <f>INDEX(#REF!, MATCH($A177,#REF!, 0), MATCH(BF$4,#REF!, 0))</f>
        <v>#REF!</v>
      </c>
      <c r="BG177" s="146" t="e">
        <f>INDEX(#REF!, MATCH($A177,#REF!, 0), MATCH(BG$4,#REF!, 0))</f>
        <v>#REF!</v>
      </c>
      <c r="BH177" s="146" t="e">
        <f>INDEX(#REF!, MATCH($A177,#REF!, 0), MATCH(BH$4,#REF!, 0))</f>
        <v>#REF!</v>
      </c>
      <c r="BI177" s="146" t="e">
        <f>INDEX(#REF!, MATCH($A177,#REF!, 0), MATCH(BI$4,#REF!, 0))</f>
        <v>#REF!</v>
      </c>
      <c r="BJ177" s="146" t="e">
        <f>INDEX(#REF!, MATCH($A177,#REF!, 0), MATCH(BJ$4,#REF!, 0))</f>
        <v>#REF!</v>
      </c>
      <c r="BK177" s="364" t="e">
        <f>INDEX(#REF!, MATCH($A177,#REF!, 0), MATCH(BK$4,#REF!, 0))</f>
        <v>#REF!</v>
      </c>
      <c r="BL177" s="112" t="e">
        <f>BK177</f>
        <v>#REF!</v>
      </c>
      <c r="BM177" s="112" t="e">
        <f t="shared" ref="BM177:BR177" si="557">BL177</f>
        <v>#REF!</v>
      </c>
      <c r="BN177" s="112" t="e">
        <f t="shared" si="557"/>
        <v>#REF!</v>
      </c>
      <c r="BO177" s="112" t="e">
        <f t="shared" si="557"/>
        <v>#REF!</v>
      </c>
      <c r="BP177" s="112" t="e">
        <f t="shared" si="557"/>
        <v>#REF!</v>
      </c>
      <c r="BQ177" s="112" t="e">
        <f t="shared" si="557"/>
        <v>#REF!</v>
      </c>
      <c r="BR177" s="112" t="e">
        <f t="shared" si="557"/>
        <v>#REF!</v>
      </c>
      <c r="BT177" s="121"/>
    </row>
    <row r="178" spans="1:72" ht="14.1">
      <c r="B178" s="147"/>
    </row>
    <row r="179" spans="1:72" ht="14.25" customHeight="1">
      <c r="A179" s="169" t="s">
        <v>176</v>
      </c>
      <c r="B179" s="167" t="s">
        <v>280</v>
      </c>
      <c r="C179" s="117"/>
      <c r="D179" s="146" t="e">
        <f>INDEX(#REF!, MATCH($A179,#REF!, 0), MATCH(D$4,#REF!, 0))</f>
        <v>#REF!</v>
      </c>
      <c r="E179" s="146" t="e">
        <f>INDEX(#REF!, MATCH($A179,#REF!, 0), MATCH(E$4,#REF!, 0))</f>
        <v>#REF!</v>
      </c>
      <c r="F179" s="146" t="e">
        <f>INDEX(#REF!, MATCH($A179,#REF!, 0), MATCH(F$4,#REF!, 0))</f>
        <v>#REF!</v>
      </c>
      <c r="G179" s="146" t="e">
        <f>INDEX(#REF!, MATCH($A179,#REF!, 0), MATCH(G$4,#REF!, 0))</f>
        <v>#REF!</v>
      </c>
      <c r="H179" s="146" t="e">
        <f>INDEX(#REF!, MATCH($A179,#REF!, 0), MATCH(H$4,#REF!, 0))</f>
        <v>#REF!</v>
      </c>
      <c r="I179" s="146" t="e">
        <f>INDEX(#REF!, MATCH($A179,#REF!, 0), MATCH(I$4,#REF!, 0))</f>
        <v>#REF!</v>
      </c>
      <c r="J179" s="146" t="e">
        <f>INDEX(#REF!, MATCH($A179,#REF!, 0), MATCH(J$4,#REF!, 0))</f>
        <v>#REF!</v>
      </c>
      <c r="K179" s="146" t="e">
        <f>INDEX(#REF!, MATCH($A179,#REF!, 0), MATCH(K$4,#REF!, 0))</f>
        <v>#REF!</v>
      </c>
      <c r="L179" s="146" t="e">
        <f>INDEX(#REF!, MATCH($A179,#REF!, 0), MATCH(L$4,#REF!, 0))</f>
        <v>#REF!</v>
      </c>
      <c r="M179" s="146" t="e">
        <f>INDEX(#REF!, MATCH($A179,#REF!, 0), MATCH(M$4,#REF!, 0))</f>
        <v>#REF!</v>
      </c>
      <c r="N179" s="146" t="e">
        <f>INDEX(#REF!, MATCH($A179,#REF!, 0), MATCH(N$4,#REF!, 0))</f>
        <v>#REF!</v>
      </c>
      <c r="O179" s="146" t="e">
        <f>INDEX(#REF!, MATCH($A179,#REF!, 0), MATCH(O$4,#REF!, 0))</f>
        <v>#REF!</v>
      </c>
      <c r="P179" s="146" t="e">
        <f>INDEX(#REF!, MATCH($A179,#REF!, 0), MATCH(P$4,#REF!, 0))</f>
        <v>#REF!</v>
      </c>
      <c r="Q179" s="146" t="e">
        <f>INDEX(#REF!, MATCH($A179,#REF!, 0), MATCH(Q$4,#REF!, 0))</f>
        <v>#REF!</v>
      </c>
      <c r="R179" s="146" t="e">
        <f>INDEX(#REF!, MATCH($A179,#REF!, 0), MATCH(R$4,#REF!, 0))</f>
        <v>#REF!</v>
      </c>
      <c r="S179" s="146" t="e">
        <f>INDEX(#REF!, MATCH($A179,#REF!, 0), MATCH(S$4,#REF!, 0))</f>
        <v>#REF!</v>
      </c>
      <c r="T179" s="146" t="e">
        <f>INDEX(#REF!, MATCH($A179,#REF!, 0), MATCH(T$4,#REF!, 0))</f>
        <v>#REF!</v>
      </c>
      <c r="U179" s="146" t="e">
        <f>INDEX(#REF!, MATCH($A179,#REF!, 0), MATCH(U$4,#REF!, 0))</f>
        <v>#REF!</v>
      </c>
      <c r="V179" s="320" t="e">
        <f>INDEX(#REF!, MATCH($A179,#REF!, 0), MATCH(V$4,#REF!, 0))</f>
        <v>#REF!</v>
      </c>
      <c r="W179" s="146" t="e">
        <f>INDEX(#REF!, MATCH($A179,#REF!, 0), MATCH(W$4,#REF!, 0))</f>
        <v>#REF!</v>
      </c>
      <c r="X179" s="146" t="e">
        <f>INDEX(#REF!, MATCH($A179,#REF!, 0), MATCH(X$4,#REF!, 0))</f>
        <v>#REF!</v>
      </c>
      <c r="Y179" s="146" t="e">
        <f>INDEX(#REF!, MATCH($A179,#REF!, 0), MATCH(Y$4,#REF!, 0))</f>
        <v>#REF!</v>
      </c>
      <c r="Z179" s="146" t="e">
        <f>INDEX(#REF!, MATCH($A179,#REF!, 0), MATCH(Z$4,#REF!, 0))</f>
        <v>#REF!</v>
      </c>
      <c r="AA179" s="146" t="e">
        <f>INDEX(#REF!, MATCH($A179,#REF!, 0), MATCH(AA$4,#REF!, 0))</f>
        <v>#REF!</v>
      </c>
      <c r="AB179" s="146" t="e">
        <f>INDEX(#REF!, MATCH($A179,#REF!, 0), MATCH(AB$4,#REF!, 0))</f>
        <v>#REF!</v>
      </c>
      <c r="AC179" s="320" t="e">
        <f>INDEX(#REF!, MATCH($A179,#REF!, 0), MATCH(AC$4,#REF!, 0))</f>
        <v>#REF!</v>
      </c>
      <c r="AD179" s="146" t="e">
        <f>INDEX(#REF!, MATCH($A179,#REF!, 0), MATCH(AD$4,#REF!, 0))</f>
        <v>#REF!</v>
      </c>
      <c r="AE179" s="146" t="e">
        <f>INDEX(#REF!, MATCH($A179,#REF!, 0), MATCH(AE$4,#REF!, 0))</f>
        <v>#REF!</v>
      </c>
      <c r="AF179" s="146" t="e">
        <f>INDEX(#REF!, MATCH($A179,#REF!, 0), MATCH(AF$4,#REF!, 0))</f>
        <v>#REF!</v>
      </c>
      <c r="AG179" s="146" t="e">
        <f>INDEX(#REF!, MATCH($A179,#REF!, 0), MATCH(AG$4,#REF!, 0))</f>
        <v>#REF!</v>
      </c>
      <c r="AH179" s="146" t="e">
        <f>INDEX(#REF!, MATCH($A179,#REF!, 0), MATCH(AH$4,#REF!, 0))</f>
        <v>#REF!</v>
      </c>
      <c r="AI179" s="146" t="e">
        <f>INDEX(#REF!, MATCH($A179,#REF!, 0), MATCH(AI$4,#REF!, 0))</f>
        <v>#REF!</v>
      </c>
      <c r="AJ179" s="320" t="e">
        <f>INDEX(#REF!, MATCH($A179,#REF!, 0), MATCH(AJ$4,#REF!, 0))</f>
        <v>#REF!</v>
      </c>
      <c r="AK179" s="146" t="e">
        <f>INDEX(#REF!, MATCH($A179,#REF!, 0), MATCH(AK$4,#REF!, 0))</f>
        <v>#REF!</v>
      </c>
      <c r="AL179" s="146" t="e">
        <f>INDEX(#REF!, MATCH($A179,#REF!, 0), MATCH(AL$4,#REF!, 0))</f>
        <v>#REF!</v>
      </c>
      <c r="AM179" s="146" t="e">
        <f>INDEX(#REF!, MATCH($A179,#REF!, 0), MATCH(AM$4,#REF!, 0))</f>
        <v>#REF!</v>
      </c>
      <c r="AN179" s="146" t="e">
        <f>INDEX(#REF!, MATCH($A179,#REF!, 0), MATCH(AN$4,#REF!, 0))</f>
        <v>#REF!</v>
      </c>
      <c r="AO179" s="146" t="e">
        <f>INDEX(#REF!, MATCH($A179,#REF!, 0), MATCH(AO$4,#REF!, 0))</f>
        <v>#REF!</v>
      </c>
      <c r="AP179" s="146" t="e">
        <f>INDEX(#REF!, MATCH($A179,#REF!, 0), MATCH(AP$4,#REF!, 0))</f>
        <v>#REF!</v>
      </c>
      <c r="AQ179" s="320" t="e">
        <f>INDEX(#REF!, MATCH($A179,#REF!, 0), MATCH(AQ$4,#REF!, 0))</f>
        <v>#REF!</v>
      </c>
      <c r="AR179" s="146" t="e">
        <f>INDEX(#REF!, MATCH($A179,#REF!, 0), MATCH(AR$4,#REF!, 0))</f>
        <v>#REF!</v>
      </c>
      <c r="AS179" s="146" t="e">
        <f>INDEX(#REF!, MATCH($A179,#REF!, 0), MATCH(AS$4,#REF!, 0))</f>
        <v>#REF!</v>
      </c>
      <c r="AT179" s="146" t="e">
        <f>INDEX(#REF!, MATCH($A179,#REF!, 0), MATCH(AT$4,#REF!, 0))</f>
        <v>#REF!</v>
      </c>
      <c r="AU179" s="146" t="e">
        <f>INDEX(#REF!, MATCH($A179,#REF!, 0), MATCH(AU$4,#REF!, 0))</f>
        <v>#REF!</v>
      </c>
      <c r="AV179" s="146" t="e">
        <f>INDEX(#REF!, MATCH($A179,#REF!, 0), MATCH(AV$4,#REF!, 0))</f>
        <v>#REF!</v>
      </c>
      <c r="AW179" s="146" t="e">
        <f>INDEX(#REF!, MATCH($A179,#REF!, 0), MATCH(AW$4,#REF!, 0))</f>
        <v>#REF!</v>
      </c>
      <c r="AX179" s="320" t="e">
        <f>INDEX(#REF!, MATCH($A179,#REF!, 0), MATCH(AX$4,#REF!, 0))</f>
        <v>#REF!</v>
      </c>
      <c r="AY179" s="146" t="e">
        <f>INDEX(#REF!, MATCH($A179,#REF!, 0), MATCH(AY$4,#REF!, 0))</f>
        <v>#REF!</v>
      </c>
      <c r="AZ179" s="146" t="e">
        <f>INDEX(#REF!, MATCH($A179,#REF!, 0), MATCH(AZ$4,#REF!, 0))</f>
        <v>#REF!</v>
      </c>
      <c r="BA179" s="146" t="e">
        <f>INDEX(#REF!, MATCH($A179,#REF!, 0), MATCH(BA$4,#REF!, 0))</f>
        <v>#REF!</v>
      </c>
      <c r="BB179" s="146" t="e">
        <f>INDEX(#REF!, MATCH($A179,#REF!, 0), MATCH(BB$4,#REF!, 0))</f>
        <v>#REF!</v>
      </c>
      <c r="BC179" s="146" t="e">
        <f>INDEX(#REF!, MATCH($A179,#REF!, 0), MATCH(BC$4,#REF!, 0))</f>
        <v>#REF!</v>
      </c>
      <c r="BD179" s="364" t="e">
        <f>INDEX(#REF!, MATCH($A179,#REF!, 0), MATCH(BD$4,#REF!, 0))</f>
        <v>#REF!</v>
      </c>
      <c r="BE179" s="320" t="e">
        <f>INDEX(#REF!, MATCH($A179,#REF!, 0), MATCH(BE$4,#REF!, 0))</f>
        <v>#REF!</v>
      </c>
      <c r="BF179" s="146" t="e">
        <f>INDEX(#REF!, MATCH($A179,#REF!, 0), MATCH(BF$4,#REF!, 0))</f>
        <v>#REF!</v>
      </c>
      <c r="BG179" s="146" t="e">
        <f>INDEX(#REF!, MATCH($A179,#REF!, 0), MATCH(BG$4,#REF!, 0))</f>
        <v>#REF!</v>
      </c>
      <c r="BH179" s="146" t="e">
        <f>INDEX(#REF!, MATCH($A179,#REF!, 0), MATCH(BH$4,#REF!, 0))</f>
        <v>#REF!</v>
      </c>
      <c r="BI179" s="146" t="e">
        <f>INDEX(#REF!, MATCH($A179,#REF!, 0), MATCH(BI$4,#REF!, 0))</f>
        <v>#REF!</v>
      </c>
      <c r="BJ179" s="146" t="e">
        <f>INDEX(#REF!, MATCH($A179,#REF!, 0), MATCH(BJ$4,#REF!, 0))</f>
        <v>#REF!</v>
      </c>
      <c r="BK179" s="364" t="e">
        <f>INDEX(#REF!, MATCH($A179,#REF!, 0), MATCH(BK$4,#REF!, 0))</f>
        <v>#REF!</v>
      </c>
      <c r="BL179" s="93" t="e">
        <f t="shared" ref="BL179:BR179" si="558">BL181-BL182</f>
        <v>#REF!</v>
      </c>
      <c r="BM179" s="93" t="e">
        <f t="shared" si="558"/>
        <v>#REF!</v>
      </c>
      <c r="BN179" s="93" t="e">
        <f t="shared" si="558"/>
        <v>#REF!</v>
      </c>
      <c r="BO179" s="93" t="e">
        <f t="shared" si="558"/>
        <v>#REF!</v>
      </c>
      <c r="BP179" s="93" t="e">
        <f t="shared" si="558"/>
        <v>#REF!</v>
      </c>
      <c r="BQ179" s="93" t="e">
        <f t="shared" si="558"/>
        <v>#REF!</v>
      </c>
      <c r="BR179" s="93" t="e">
        <f t="shared" si="558"/>
        <v>#REF!</v>
      </c>
      <c r="BT179" s="121"/>
    </row>
    <row r="180" spans="1:72">
      <c r="B180" s="1"/>
    </row>
    <row r="181" spans="1:72">
      <c r="A181" s="196" t="s">
        <v>338</v>
      </c>
      <c r="B181" s="197" t="s">
        <v>277</v>
      </c>
      <c r="D181" s="146" t="e">
        <f>INDEX(#REF!, MATCH($A181,#REF!, 0), MATCH(D$4,#REF!, 0))</f>
        <v>#REF!</v>
      </c>
      <c r="E181" s="146" t="e">
        <f>INDEX(#REF!, MATCH($A181,#REF!, 0), MATCH(E$4,#REF!, 0))</f>
        <v>#REF!</v>
      </c>
      <c r="F181" s="146" t="e">
        <f>INDEX(#REF!, MATCH($A181,#REF!, 0), MATCH(F$4,#REF!, 0))</f>
        <v>#REF!</v>
      </c>
      <c r="G181" s="146" t="e">
        <f>INDEX(#REF!, MATCH($A181,#REF!, 0), MATCH(G$4,#REF!, 0))</f>
        <v>#REF!</v>
      </c>
      <c r="H181" s="146" t="e">
        <f>INDEX(#REF!, MATCH($A181,#REF!, 0), MATCH(H$4,#REF!, 0))</f>
        <v>#REF!</v>
      </c>
      <c r="I181" s="146" t="e">
        <f>INDEX(#REF!, MATCH($A181,#REF!, 0), MATCH(I$4,#REF!, 0))</f>
        <v>#REF!</v>
      </c>
      <c r="J181" s="146" t="e">
        <f>INDEX(#REF!, MATCH($A181,#REF!, 0), MATCH(J$4,#REF!, 0))</f>
        <v>#REF!</v>
      </c>
      <c r="K181" s="146" t="e">
        <f>INDEX(#REF!, MATCH($A181,#REF!, 0), MATCH(K$4,#REF!, 0))</f>
        <v>#REF!</v>
      </c>
      <c r="L181" s="146" t="e">
        <f>INDEX(#REF!, MATCH($A181,#REF!, 0), MATCH(L$4,#REF!, 0))</f>
        <v>#REF!</v>
      </c>
      <c r="M181" s="146" t="e">
        <f>INDEX(#REF!, MATCH($A181,#REF!, 0), MATCH(M$4,#REF!, 0))</f>
        <v>#REF!</v>
      </c>
      <c r="N181" s="146" t="e">
        <f>INDEX(#REF!, MATCH($A181,#REF!, 0), MATCH(N$4,#REF!, 0))</f>
        <v>#REF!</v>
      </c>
      <c r="O181" s="146" t="e">
        <f>INDEX(#REF!, MATCH($A181,#REF!, 0), MATCH(O$4,#REF!, 0))</f>
        <v>#REF!</v>
      </c>
      <c r="P181" s="146" t="e">
        <f>INDEX(#REF!, MATCH($A181,#REF!, 0), MATCH(P$4,#REF!, 0))</f>
        <v>#REF!</v>
      </c>
      <c r="Q181" s="146" t="e">
        <f>INDEX(#REF!, MATCH($A181,#REF!, 0), MATCH(Q$4,#REF!, 0))</f>
        <v>#REF!</v>
      </c>
      <c r="R181" s="146" t="e">
        <f>INDEX(#REF!, MATCH($A181,#REF!, 0), MATCH(R$4,#REF!, 0))</f>
        <v>#REF!</v>
      </c>
      <c r="S181" s="146" t="e">
        <f>INDEX(#REF!, MATCH($A181,#REF!, 0), MATCH(S$4,#REF!, 0))</f>
        <v>#REF!</v>
      </c>
      <c r="T181" s="146" t="e">
        <f>INDEX(#REF!, MATCH($A181,#REF!, 0), MATCH(T$4,#REF!, 0))</f>
        <v>#REF!</v>
      </c>
      <c r="U181" s="146" t="e">
        <f>INDEX(#REF!, MATCH($A181,#REF!, 0), MATCH(U$4,#REF!, 0))</f>
        <v>#REF!</v>
      </c>
      <c r="V181" s="320"/>
      <c r="W181" s="146"/>
      <c r="X181" s="146"/>
      <c r="Y181" s="146"/>
      <c r="Z181" s="146"/>
      <c r="AA181" s="146"/>
      <c r="AB181" s="146" t="e">
        <f>INDEX(#REF!, MATCH($A181,#REF!, 0), MATCH(AB$4,#REF!, 0))</f>
        <v>#REF!</v>
      </c>
      <c r="AC181" s="320"/>
      <c r="AD181" s="146"/>
      <c r="AE181" s="146"/>
      <c r="AF181" s="146"/>
      <c r="AG181" s="146"/>
      <c r="AH181" s="146"/>
      <c r="AI181" s="146" t="e">
        <f>INDEX(#REF!, MATCH($A181,#REF!, 0), MATCH(AI$4,#REF!, 0))</f>
        <v>#REF!</v>
      </c>
      <c r="AJ181" s="320"/>
      <c r="AK181" s="146"/>
      <c r="AL181" s="146"/>
      <c r="AM181" s="146"/>
      <c r="AN181" s="146"/>
      <c r="AO181" s="146"/>
      <c r="AP181" s="146" t="e">
        <f>INDEX(#REF!, MATCH($A181,#REF!, 0), MATCH(AP$4,#REF!, 0))</f>
        <v>#REF!</v>
      </c>
      <c r="AQ181" s="320"/>
      <c r="AR181" s="146"/>
      <c r="AS181" s="146"/>
      <c r="AT181" s="146"/>
      <c r="AU181" s="146"/>
      <c r="AV181" s="146"/>
      <c r="AW181" s="146" t="e">
        <f>INDEX(#REF!, MATCH($A181,#REF!, 0), MATCH(AW$4,#REF!, 0))</f>
        <v>#REF!</v>
      </c>
      <c r="AX181" s="320"/>
      <c r="AY181" s="146"/>
      <c r="AZ181" s="146"/>
      <c r="BA181" s="146"/>
      <c r="BB181" s="146"/>
      <c r="BC181" s="146"/>
      <c r="BD181" s="364" t="e">
        <f>INDEX(#REF!, MATCH($A181,#REF!, 0), MATCH(BD$4,#REF!, 0))</f>
        <v>#REF!</v>
      </c>
      <c r="BE181" s="320"/>
      <c r="BF181" s="146"/>
      <c r="BG181" s="146"/>
      <c r="BH181" s="146"/>
      <c r="BI181" s="146"/>
      <c r="BJ181" s="146"/>
      <c r="BK181" s="364" t="e">
        <f>INDEX(#REF!, MATCH($A181,#REF!, 0), MATCH(BK$4,#REF!, 0))</f>
        <v>#REF!</v>
      </c>
      <c r="BL181" s="189" t="e">
        <f>BK181+BL185</f>
        <v>#REF!</v>
      </c>
      <c r="BM181" s="189" t="e">
        <f t="shared" ref="BM181:BR181" si="559">BL181+BM185</f>
        <v>#REF!</v>
      </c>
      <c r="BN181" s="189" t="e">
        <f t="shared" si="559"/>
        <v>#REF!</v>
      </c>
      <c r="BO181" s="189" t="e">
        <f t="shared" si="559"/>
        <v>#REF!</v>
      </c>
      <c r="BP181" s="189" t="e">
        <f t="shared" si="559"/>
        <v>#REF!</v>
      </c>
      <c r="BQ181" s="189" t="e">
        <f t="shared" si="559"/>
        <v>#REF!</v>
      </c>
      <c r="BR181" s="189" t="e">
        <f t="shared" si="559"/>
        <v>#REF!</v>
      </c>
    </row>
    <row r="182" spans="1:72">
      <c r="A182" s="200" t="s">
        <v>339</v>
      </c>
      <c r="B182" s="197" t="s">
        <v>278</v>
      </c>
      <c r="D182" s="146" t="e">
        <f>INDEX(#REF!, MATCH($A182,#REF!, 0), MATCH(D$4,#REF!, 0))</f>
        <v>#REF!</v>
      </c>
      <c r="E182" s="146" t="e">
        <f>INDEX(#REF!, MATCH($A182,#REF!, 0), MATCH(E$4,#REF!, 0))</f>
        <v>#REF!</v>
      </c>
      <c r="F182" s="146" t="e">
        <f>INDEX(#REF!, MATCH($A182,#REF!, 0), MATCH(F$4,#REF!, 0))</f>
        <v>#REF!</v>
      </c>
      <c r="G182" s="146" t="e">
        <f>INDEX(#REF!, MATCH($A182,#REF!, 0), MATCH(G$4,#REF!, 0))</f>
        <v>#REF!</v>
      </c>
      <c r="H182" s="146" t="e">
        <f>INDEX(#REF!, MATCH($A182,#REF!, 0), MATCH(H$4,#REF!, 0))</f>
        <v>#REF!</v>
      </c>
      <c r="I182" s="146" t="e">
        <f>INDEX(#REF!, MATCH($A182,#REF!, 0), MATCH(I$4,#REF!, 0))</f>
        <v>#REF!</v>
      </c>
      <c r="J182" s="146" t="e">
        <f>INDEX(#REF!, MATCH($A182,#REF!, 0), MATCH(J$4,#REF!, 0))</f>
        <v>#REF!</v>
      </c>
      <c r="K182" s="146" t="e">
        <f>INDEX(#REF!, MATCH($A182,#REF!, 0), MATCH(K$4,#REF!, 0))</f>
        <v>#REF!</v>
      </c>
      <c r="L182" s="146" t="e">
        <f>INDEX(#REF!, MATCH($A182,#REF!, 0), MATCH(L$4,#REF!, 0))</f>
        <v>#REF!</v>
      </c>
      <c r="M182" s="146" t="e">
        <f>INDEX(#REF!, MATCH($A182,#REF!, 0), MATCH(M$4,#REF!, 0))</f>
        <v>#REF!</v>
      </c>
      <c r="N182" s="146" t="e">
        <f>INDEX(#REF!, MATCH($A182,#REF!, 0), MATCH(N$4,#REF!, 0))</f>
        <v>#REF!</v>
      </c>
      <c r="O182" s="146" t="e">
        <f>INDEX(#REF!, MATCH($A182,#REF!, 0), MATCH(O$4,#REF!, 0))</f>
        <v>#REF!</v>
      </c>
      <c r="P182" s="146" t="e">
        <f>INDEX(#REF!, MATCH($A182,#REF!, 0), MATCH(P$4,#REF!, 0))</f>
        <v>#REF!</v>
      </c>
      <c r="Q182" s="146" t="e">
        <f>INDEX(#REF!, MATCH($A182,#REF!, 0), MATCH(Q$4,#REF!, 0))</f>
        <v>#REF!</v>
      </c>
      <c r="R182" s="146" t="e">
        <f>INDEX(#REF!, MATCH($A182,#REF!, 0), MATCH(R$4,#REF!, 0))</f>
        <v>#REF!</v>
      </c>
      <c r="S182" s="146" t="e">
        <f>INDEX(#REF!, MATCH($A182,#REF!, 0), MATCH(S$4,#REF!, 0))</f>
        <v>#REF!</v>
      </c>
      <c r="T182" s="146" t="e">
        <f>INDEX(#REF!, MATCH($A182,#REF!, 0), MATCH(T$4,#REF!, 0))</f>
        <v>#REF!</v>
      </c>
      <c r="U182" s="146" t="e">
        <f>INDEX(#REF!, MATCH($A182,#REF!, 0), MATCH(U$4,#REF!, 0))</f>
        <v>#REF!</v>
      </c>
      <c r="V182" s="320"/>
      <c r="W182" s="146"/>
      <c r="X182" s="146"/>
      <c r="Y182" s="146"/>
      <c r="Z182" s="146"/>
      <c r="AA182" s="146"/>
      <c r="AB182" s="146" t="e">
        <f>INDEX(#REF!, MATCH($A182,#REF!, 0), MATCH(AB$4,#REF!, 0))</f>
        <v>#REF!</v>
      </c>
      <c r="AC182" s="320"/>
      <c r="AD182" s="146"/>
      <c r="AE182" s="146"/>
      <c r="AF182" s="146"/>
      <c r="AG182" s="146"/>
      <c r="AH182" s="146"/>
      <c r="AI182" s="146" t="e">
        <f>INDEX(#REF!, MATCH($A182,#REF!, 0), MATCH(AI$4,#REF!, 0))</f>
        <v>#REF!</v>
      </c>
      <c r="AJ182" s="320"/>
      <c r="AK182" s="146"/>
      <c r="AL182" s="146"/>
      <c r="AM182" s="146"/>
      <c r="AN182" s="146"/>
      <c r="AO182" s="146"/>
      <c r="AP182" s="146" t="e">
        <f>INDEX(#REF!, MATCH($A182,#REF!, 0), MATCH(AP$4,#REF!, 0))</f>
        <v>#REF!</v>
      </c>
      <c r="AQ182" s="320"/>
      <c r="AR182" s="146"/>
      <c r="AS182" s="146"/>
      <c r="AT182" s="146"/>
      <c r="AU182" s="146"/>
      <c r="AV182" s="146"/>
      <c r="AW182" s="146" t="e">
        <f>INDEX(#REF!, MATCH($A182,#REF!, 0), MATCH(AW$4,#REF!, 0))</f>
        <v>#REF!</v>
      </c>
      <c r="AX182" s="320"/>
      <c r="AY182" s="146"/>
      <c r="AZ182" s="146"/>
      <c r="BA182" s="146"/>
      <c r="BB182" s="146"/>
      <c r="BC182" s="146"/>
      <c r="BD182" s="364" t="e">
        <f>INDEX(#REF!, MATCH($A182,#REF!, 0), MATCH(BD$4,#REF!, 0))</f>
        <v>#REF!</v>
      </c>
      <c r="BE182" s="320"/>
      <c r="BF182" s="146"/>
      <c r="BG182" s="146"/>
      <c r="BH182" s="146"/>
      <c r="BI182" s="146"/>
      <c r="BJ182" s="146"/>
      <c r="BK182" s="364" t="e">
        <f>INDEX(#REF!, MATCH($A182,#REF!, 0), MATCH(BK$4,#REF!, 0))</f>
        <v>#REF!</v>
      </c>
      <c r="BL182" s="189" t="e">
        <f>BK182+BL187</f>
        <v>#REF!</v>
      </c>
      <c r="BM182" s="189" t="e">
        <f t="shared" ref="BM182:BR182" si="560">BL182+BM187</f>
        <v>#REF!</v>
      </c>
      <c r="BN182" s="189" t="e">
        <f t="shared" si="560"/>
        <v>#REF!</v>
      </c>
      <c r="BO182" s="189" t="e">
        <f t="shared" si="560"/>
        <v>#REF!</v>
      </c>
      <c r="BP182" s="189" t="e">
        <f t="shared" si="560"/>
        <v>#REF!</v>
      </c>
      <c r="BQ182" s="189" t="e">
        <f t="shared" si="560"/>
        <v>#REF!</v>
      </c>
      <c r="BR182" s="189" t="e">
        <f t="shared" si="560"/>
        <v>#REF!</v>
      </c>
    </row>
    <row r="183" spans="1:72">
      <c r="B183" s="1"/>
    </row>
    <row r="184" spans="1:72">
      <c r="B184" s="83"/>
    </row>
    <row r="185" spans="1:72">
      <c r="B185" s="201" t="s">
        <v>286</v>
      </c>
      <c r="D185" s="189" t="e">
        <f t="shared" ref="D185:P185" si="561">D181-C181</f>
        <v>#REF!</v>
      </c>
      <c r="E185" s="189" t="e">
        <f t="shared" si="561"/>
        <v>#REF!</v>
      </c>
      <c r="F185" s="189" t="e">
        <f t="shared" si="561"/>
        <v>#REF!</v>
      </c>
      <c r="G185" s="189" t="e">
        <f t="shared" si="561"/>
        <v>#REF!</v>
      </c>
      <c r="H185" s="189" t="e">
        <f t="shared" si="561"/>
        <v>#REF!</v>
      </c>
      <c r="I185" s="189" t="e">
        <f t="shared" si="561"/>
        <v>#REF!</v>
      </c>
      <c r="J185" s="189" t="e">
        <f t="shared" si="561"/>
        <v>#REF!</v>
      </c>
      <c r="K185" s="189" t="e">
        <f t="shared" si="561"/>
        <v>#REF!</v>
      </c>
      <c r="L185" s="189" t="e">
        <f t="shared" si="561"/>
        <v>#REF!</v>
      </c>
      <c r="M185" s="189" t="e">
        <f t="shared" si="561"/>
        <v>#REF!</v>
      </c>
      <c r="N185" s="189" t="e">
        <f t="shared" si="561"/>
        <v>#REF!</v>
      </c>
      <c r="O185" s="189" t="e">
        <f t="shared" si="561"/>
        <v>#REF!</v>
      </c>
      <c r="P185" s="189" t="e">
        <f t="shared" si="561"/>
        <v>#REF!</v>
      </c>
      <c r="Q185" s="189" t="e">
        <f t="shared" ref="Q185:U185" si="562">Q181-P181</f>
        <v>#REF!</v>
      </c>
      <c r="R185" s="189" t="e">
        <f t="shared" si="562"/>
        <v>#REF!</v>
      </c>
      <c r="S185" s="189" t="e">
        <f t="shared" si="562"/>
        <v>#REF!</v>
      </c>
      <c r="T185" s="189" t="e">
        <f t="shared" si="562"/>
        <v>#REF!</v>
      </c>
      <c r="U185" s="189" t="e">
        <f t="shared" si="562"/>
        <v>#REF!</v>
      </c>
      <c r="V185" s="341"/>
      <c r="W185" s="189"/>
      <c r="X185" s="189"/>
      <c r="Y185" s="189"/>
      <c r="Z185" s="189"/>
      <c r="AA185" s="189"/>
      <c r="AB185" s="189" t="e">
        <f>AB181-U181</f>
        <v>#REF!</v>
      </c>
      <c r="AC185" s="341"/>
      <c r="AD185" s="189"/>
      <c r="AE185" s="189"/>
      <c r="AF185" s="189"/>
      <c r="AG185" s="189"/>
      <c r="AH185" s="189"/>
      <c r="AI185" s="189" t="e">
        <f>AI181-AB181</f>
        <v>#REF!</v>
      </c>
      <c r="AJ185" s="341"/>
      <c r="AK185" s="189"/>
      <c r="AL185" s="189"/>
      <c r="AM185" s="189"/>
      <c r="AN185" s="189"/>
      <c r="AO185" s="189"/>
      <c r="AP185" s="189" t="e">
        <f>AP181-AI181</f>
        <v>#REF!</v>
      </c>
      <c r="AQ185" s="341"/>
      <c r="AR185" s="189"/>
      <c r="AS185" s="189"/>
      <c r="AT185" s="189"/>
      <c r="AU185" s="189"/>
      <c r="AV185" s="189"/>
      <c r="AW185" s="189" t="e">
        <f>AW181-AP181</f>
        <v>#REF!</v>
      </c>
      <c r="AX185" s="341"/>
      <c r="AY185" s="189"/>
      <c r="AZ185" s="189"/>
      <c r="BA185" s="189"/>
      <c r="BB185" s="189"/>
      <c r="BC185" s="189"/>
      <c r="BD185" s="384" t="e">
        <f>BD181-AW181</f>
        <v>#REF!</v>
      </c>
      <c r="BE185" s="341"/>
      <c r="BF185" s="189"/>
      <c r="BG185" s="189"/>
      <c r="BH185" s="189"/>
      <c r="BI185" s="189"/>
      <c r="BJ185" s="189"/>
      <c r="BK185" s="384" t="e">
        <f>BK181-BD181</f>
        <v>#REF!</v>
      </c>
      <c r="BL185" s="93" t="e">
        <f t="shared" ref="BL185:BR185" si="563">BL186*BL$5</f>
        <v>#REF!</v>
      </c>
      <c r="BM185" s="93" t="e">
        <f t="shared" si="563"/>
        <v>#REF!</v>
      </c>
      <c r="BN185" s="93" t="e">
        <f t="shared" si="563"/>
        <v>#REF!</v>
      </c>
      <c r="BO185" s="93" t="e">
        <f t="shared" si="563"/>
        <v>#REF!</v>
      </c>
      <c r="BP185" s="93" t="e">
        <f t="shared" si="563"/>
        <v>#REF!</v>
      </c>
      <c r="BQ185" s="93" t="e">
        <f t="shared" si="563"/>
        <v>#REF!</v>
      </c>
      <c r="BR185" s="93" t="e">
        <f t="shared" si="563"/>
        <v>#REF!</v>
      </c>
    </row>
    <row r="186" spans="1:72">
      <c r="B186" s="199" t="s">
        <v>281</v>
      </c>
      <c r="D186" s="2" t="e">
        <f t="shared" ref="D186:U186" si="564">D185/$AB$5</f>
        <v>#REF!</v>
      </c>
      <c r="E186" s="2" t="e">
        <f t="shared" si="564"/>
        <v>#REF!</v>
      </c>
      <c r="F186" s="2" t="e">
        <f t="shared" si="564"/>
        <v>#REF!</v>
      </c>
      <c r="G186" s="2" t="e">
        <f t="shared" si="564"/>
        <v>#REF!</v>
      </c>
      <c r="H186" s="2" t="e">
        <f t="shared" si="564"/>
        <v>#REF!</v>
      </c>
      <c r="I186" s="2" t="e">
        <f t="shared" si="564"/>
        <v>#REF!</v>
      </c>
      <c r="J186" s="2" t="e">
        <f t="shared" si="564"/>
        <v>#REF!</v>
      </c>
      <c r="K186" s="2" t="e">
        <f t="shared" si="564"/>
        <v>#REF!</v>
      </c>
      <c r="L186" s="2" t="e">
        <f t="shared" si="564"/>
        <v>#REF!</v>
      </c>
      <c r="M186" s="2" t="e">
        <f t="shared" si="564"/>
        <v>#REF!</v>
      </c>
      <c r="N186" s="2" t="e">
        <f t="shared" si="564"/>
        <v>#REF!</v>
      </c>
      <c r="O186" s="2" t="e">
        <f t="shared" si="564"/>
        <v>#REF!</v>
      </c>
      <c r="P186" s="2" t="e">
        <f t="shared" si="564"/>
        <v>#REF!</v>
      </c>
      <c r="Q186" s="2" t="e">
        <f t="shared" si="564"/>
        <v>#REF!</v>
      </c>
      <c r="R186" s="2" t="e">
        <f t="shared" si="564"/>
        <v>#REF!</v>
      </c>
      <c r="S186" s="2" t="e">
        <f t="shared" si="564"/>
        <v>#REF!</v>
      </c>
      <c r="T186" s="2" t="e">
        <f t="shared" si="564"/>
        <v>#REF!</v>
      </c>
      <c r="U186" s="2" t="e">
        <f t="shared" si="564"/>
        <v>#REF!</v>
      </c>
      <c r="V186" s="343"/>
      <c r="W186" s="2"/>
      <c r="X186" s="2"/>
      <c r="Y186" s="2"/>
      <c r="Z186" s="2"/>
      <c r="AA186" s="2"/>
      <c r="AB186" s="2" t="e">
        <f>AB185/$AB$5</f>
        <v>#REF!</v>
      </c>
      <c r="AC186" s="343"/>
      <c r="AD186" s="2"/>
      <c r="AE186" s="2"/>
      <c r="AF186" s="2"/>
      <c r="AG186" s="2"/>
      <c r="AH186" s="2"/>
      <c r="AI186" s="2" t="e">
        <f>AI185/$AB$5</f>
        <v>#REF!</v>
      </c>
      <c r="AJ186" s="343"/>
      <c r="AK186" s="2"/>
      <c r="AL186" s="2"/>
      <c r="AM186" s="2"/>
      <c r="AN186" s="2"/>
      <c r="AO186" s="2"/>
      <c r="AP186" s="2" t="e">
        <f>AP185/$AB$5</f>
        <v>#REF!</v>
      </c>
      <c r="AQ186" s="343"/>
      <c r="AR186" s="2"/>
      <c r="AS186" s="2"/>
      <c r="AT186" s="2"/>
      <c r="AU186" s="2"/>
      <c r="AV186" s="2"/>
      <c r="AW186" s="2" t="e">
        <f>AW185/$AB$5</f>
        <v>#REF!</v>
      </c>
      <c r="AX186" s="343"/>
      <c r="AY186" s="2"/>
      <c r="AZ186" s="2"/>
      <c r="BA186" s="2"/>
      <c r="BB186" s="2"/>
      <c r="BC186" s="2"/>
      <c r="BD186" s="231" t="e">
        <f t="shared" ref="BD186" si="565">BD185/$AB$5</f>
        <v>#REF!</v>
      </c>
      <c r="BE186" s="343"/>
      <c r="BF186" s="2"/>
      <c r="BG186" s="2"/>
      <c r="BH186" s="2"/>
      <c r="BI186" s="2"/>
      <c r="BJ186" s="2"/>
      <c r="BK186" s="231" t="e">
        <f t="shared" ref="BK186" si="566">BK185/$AB$5</f>
        <v>#REF!</v>
      </c>
      <c r="BL186" s="108" t="e">
        <f>BK186</f>
        <v>#REF!</v>
      </c>
      <c r="BM186" s="108">
        <v>0.02</v>
      </c>
      <c r="BN186" s="108">
        <v>0.02</v>
      </c>
      <c r="BO186" s="108">
        <v>0.02</v>
      </c>
      <c r="BP186" s="108">
        <v>0.02</v>
      </c>
      <c r="BQ186" s="108">
        <v>0.02</v>
      </c>
      <c r="BR186" s="108">
        <v>0.02</v>
      </c>
    </row>
    <row r="187" spans="1:72">
      <c r="B187" s="201" t="s">
        <v>287</v>
      </c>
      <c r="D187" s="189" t="e">
        <f t="shared" ref="D187:P187" si="567">D182-C182</f>
        <v>#REF!</v>
      </c>
      <c r="E187" s="189" t="e">
        <f t="shared" si="567"/>
        <v>#REF!</v>
      </c>
      <c r="F187" s="189" t="e">
        <f t="shared" si="567"/>
        <v>#REF!</v>
      </c>
      <c r="G187" s="189" t="e">
        <f t="shared" si="567"/>
        <v>#REF!</v>
      </c>
      <c r="H187" s="189" t="e">
        <f t="shared" si="567"/>
        <v>#REF!</v>
      </c>
      <c r="I187" s="189" t="e">
        <f t="shared" si="567"/>
        <v>#REF!</v>
      </c>
      <c r="J187" s="189" t="e">
        <f t="shared" si="567"/>
        <v>#REF!</v>
      </c>
      <c r="K187" s="189" t="e">
        <f t="shared" si="567"/>
        <v>#REF!</v>
      </c>
      <c r="L187" s="189" t="e">
        <f t="shared" si="567"/>
        <v>#REF!</v>
      </c>
      <c r="M187" s="189" t="e">
        <f t="shared" si="567"/>
        <v>#REF!</v>
      </c>
      <c r="N187" s="189" t="e">
        <f t="shared" si="567"/>
        <v>#REF!</v>
      </c>
      <c r="O187" s="189" t="e">
        <f t="shared" si="567"/>
        <v>#REF!</v>
      </c>
      <c r="P187" s="189" t="e">
        <f t="shared" si="567"/>
        <v>#REF!</v>
      </c>
      <c r="Q187" s="189" t="e">
        <f t="shared" ref="Q187:U187" si="568">Q182-P182</f>
        <v>#REF!</v>
      </c>
      <c r="R187" s="189" t="e">
        <f t="shared" si="568"/>
        <v>#REF!</v>
      </c>
      <c r="S187" s="189" t="e">
        <f t="shared" si="568"/>
        <v>#REF!</v>
      </c>
      <c r="T187" s="189" t="e">
        <f t="shared" si="568"/>
        <v>#REF!</v>
      </c>
      <c r="U187" s="189" t="e">
        <f t="shared" si="568"/>
        <v>#REF!</v>
      </c>
      <c r="V187" s="341"/>
      <c r="W187" s="189"/>
      <c r="X187" s="189"/>
      <c r="Y187" s="189"/>
      <c r="Z187" s="189"/>
      <c r="AA187" s="189"/>
      <c r="AB187" s="189" t="e">
        <f>AB182-U182</f>
        <v>#REF!</v>
      </c>
      <c r="AC187" s="341"/>
      <c r="AD187" s="189"/>
      <c r="AE187" s="189"/>
      <c r="AF187" s="189"/>
      <c r="AG187" s="189"/>
      <c r="AH187" s="189"/>
      <c r="AI187" s="189" t="e">
        <f>AI182-AB182</f>
        <v>#REF!</v>
      </c>
      <c r="AJ187" s="341"/>
      <c r="AK187" s="189"/>
      <c r="AL187" s="189"/>
      <c r="AM187" s="189"/>
      <c r="AN187" s="189"/>
      <c r="AO187" s="189"/>
      <c r="AP187" s="189" t="e">
        <f>AP182-AI182</f>
        <v>#REF!</v>
      </c>
      <c r="AQ187" s="341"/>
      <c r="AR187" s="189"/>
      <c r="AS187" s="189"/>
      <c r="AT187" s="189"/>
      <c r="AU187" s="189"/>
      <c r="AV187" s="189"/>
      <c r="AW187" s="189" t="e">
        <f>AW182-AP182</f>
        <v>#REF!</v>
      </c>
      <c r="AX187" s="341"/>
      <c r="AY187" s="189"/>
      <c r="AZ187" s="189"/>
      <c r="BA187" s="189"/>
      <c r="BB187" s="189"/>
      <c r="BC187" s="189"/>
      <c r="BD187" s="384" t="e">
        <f>BD182-AW182</f>
        <v>#REF!</v>
      </c>
      <c r="BE187" s="341"/>
      <c r="BF187" s="189"/>
      <c r="BG187" s="189"/>
      <c r="BH187" s="189"/>
      <c r="BI187" s="189"/>
      <c r="BJ187" s="189"/>
      <c r="BK187" s="384" t="e">
        <f>BK182-BD182</f>
        <v>#REF!</v>
      </c>
      <c r="BL187" s="93" t="e">
        <f>BL188*BK181</f>
        <v>#REF!</v>
      </c>
      <c r="BM187" s="93" t="e">
        <f t="shared" ref="BM187:BR187" si="569">BM188*BL181</f>
        <v>#REF!</v>
      </c>
      <c r="BN187" s="93" t="e">
        <f t="shared" si="569"/>
        <v>#REF!</v>
      </c>
      <c r="BO187" s="93" t="e">
        <f t="shared" si="569"/>
        <v>#REF!</v>
      </c>
      <c r="BP187" s="93" t="e">
        <f t="shared" si="569"/>
        <v>#REF!</v>
      </c>
      <c r="BQ187" s="93" t="e">
        <f t="shared" si="569"/>
        <v>#REF!</v>
      </c>
      <c r="BR187" s="93" t="e">
        <f t="shared" si="569"/>
        <v>#REF!</v>
      </c>
    </row>
    <row r="188" spans="1:72">
      <c r="B188" s="199" t="s">
        <v>288</v>
      </c>
      <c r="D188" s="2" t="e">
        <f t="shared" ref="D188:U188" si="570">D187/C181</f>
        <v>#REF!</v>
      </c>
      <c r="E188" s="2" t="e">
        <f t="shared" si="570"/>
        <v>#REF!</v>
      </c>
      <c r="F188" s="2" t="e">
        <f t="shared" si="570"/>
        <v>#REF!</v>
      </c>
      <c r="G188" s="2" t="e">
        <f t="shared" si="570"/>
        <v>#REF!</v>
      </c>
      <c r="H188" s="2" t="e">
        <f t="shared" si="570"/>
        <v>#REF!</v>
      </c>
      <c r="I188" s="2" t="e">
        <f t="shared" si="570"/>
        <v>#REF!</v>
      </c>
      <c r="J188" s="2" t="e">
        <f t="shared" si="570"/>
        <v>#REF!</v>
      </c>
      <c r="K188" s="2" t="e">
        <f t="shared" si="570"/>
        <v>#REF!</v>
      </c>
      <c r="L188" s="2" t="e">
        <f t="shared" si="570"/>
        <v>#REF!</v>
      </c>
      <c r="M188" s="2" t="e">
        <f t="shared" si="570"/>
        <v>#REF!</v>
      </c>
      <c r="N188" s="2" t="e">
        <f t="shared" si="570"/>
        <v>#REF!</v>
      </c>
      <c r="O188" s="2" t="e">
        <f t="shared" si="570"/>
        <v>#REF!</v>
      </c>
      <c r="P188" s="2" t="e">
        <f t="shared" si="570"/>
        <v>#REF!</v>
      </c>
      <c r="Q188" s="2" t="e">
        <f t="shared" si="570"/>
        <v>#REF!</v>
      </c>
      <c r="R188" s="2" t="e">
        <f t="shared" si="570"/>
        <v>#REF!</v>
      </c>
      <c r="S188" s="2" t="e">
        <f t="shared" si="570"/>
        <v>#REF!</v>
      </c>
      <c r="T188" s="2" t="e">
        <f t="shared" si="570"/>
        <v>#REF!</v>
      </c>
      <c r="U188" s="2" t="e">
        <f t="shared" si="570"/>
        <v>#REF!</v>
      </c>
      <c r="V188" s="343"/>
      <c r="W188" s="2"/>
      <c r="X188" s="2"/>
      <c r="Y188" s="2"/>
      <c r="Z188" s="2"/>
      <c r="AA188" s="2"/>
      <c r="AB188" s="2" t="e">
        <f>AB187/U181</f>
        <v>#REF!</v>
      </c>
      <c r="AC188" s="343"/>
      <c r="AD188" s="2"/>
      <c r="AE188" s="2"/>
      <c r="AF188" s="2"/>
      <c r="AG188" s="2"/>
      <c r="AH188" s="2"/>
      <c r="AI188" s="2" t="e">
        <f>AI187/AB181</f>
        <v>#REF!</v>
      </c>
      <c r="AJ188" s="343"/>
      <c r="AK188" s="2"/>
      <c r="AL188" s="2"/>
      <c r="AM188" s="2"/>
      <c r="AN188" s="2"/>
      <c r="AO188" s="2"/>
      <c r="AP188" s="2" t="e">
        <f>AP187/AI181</f>
        <v>#REF!</v>
      </c>
      <c r="AQ188" s="343"/>
      <c r="AR188" s="2"/>
      <c r="AS188" s="2"/>
      <c r="AT188" s="2"/>
      <c r="AU188" s="2"/>
      <c r="AV188" s="2"/>
      <c r="AW188" s="2" t="e">
        <f>AW187/AP181</f>
        <v>#REF!</v>
      </c>
      <c r="AX188" s="343"/>
      <c r="AY188" s="2"/>
      <c r="AZ188" s="2"/>
      <c r="BA188" s="2"/>
      <c r="BB188" s="2"/>
      <c r="BC188" s="2"/>
      <c r="BD188" s="231" t="e">
        <f>BD187/AW181</f>
        <v>#REF!</v>
      </c>
      <c r="BE188" s="343"/>
      <c r="BF188" s="2"/>
      <c r="BG188" s="2"/>
      <c r="BH188" s="2"/>
      <c r="BI188" s="2"/>
      <c r="BJ188" s="2"/>
      <c r="BK188" s="231" t="e">
        <f>BK187/BD181</f>
        <v>#REF!</v>
      </c>
      <c r="BL188" s="108" t="e">
        <f>BK188</f>
        <v>#REF!</v>
      </c>
      <c r="BM188" s="108" t="e">
        <f t="shared" ref="BM188:BR188" si="571">BL188</f>
        <v>#REF!</v>
      </c>
      <c r="BN188" s="108" t="e">
        <f t="shared" si="571"/>
        <v>#REF!</v>
      </c>
      <c r="BO188" s="108" t="e">
        <f t="shared" si="571"/>
        <v>#REF!</v>
      </c>
      <c r="BP188" s="108" t="e">
        <f t="shared" si="571"/>
        <v>#REF!</v>
      </c>
      <c r="BQ188" s="108" t="e">
        <f t="shared" si="571"/>
        <v>#REF!</v>
      </c>
      <c r="BR188" s="108" t="e">
        <f t="shared" si="571"/>
        <v>#REF!</v>
      </c>
    </row>
    <row r="189" spans="1:72" ht="14.1">
      <c r="B189" s="147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343"/>
      <c r="W189" s="2"/>
      <c r="X189" s="2"/>
      <c r="Y189" s="2"/>
      <c r="Z189" s="2"/>
      <c r="AA189" s="2"/>
      <c r="AB189" s="2"/>
      <c r="AC189" s="343"/>
      <c r="AD189" s="2"/>
      <c r="AE189" s="2"/>
      <c r="AF189" s="2"/>
      <c r="AG189" s="2"/>
      <c r="AH189" s="2"/>
      <c r="AI189" s="2"/>
      <c r="AJ189" s="343"/>
      <c r="AK189" s="2"/>
      <c r="AL189" s="2"/>
      <c r="AM189" s="2"/>
      <c r="AN189" s="2"/>
      <c r="AO189" s="2"/>
      <c r="AP189" s="2"/>
      <c r="AQ189" s="343"/>
      <c r="AR189" s="2"/>
      <c r="AS189" s="2"/>
      <c r="AT189" s="2"/>
      <c r="AU189" s="2"/>
      <c r="AV189" s="2"/>
      <c r="AW189" s="2"/>
      <c r="AX189" s="343"/>
      <c r="AY189" s="2"/>
      <c r="AZ189" s="2"/>
      <c r="BA189" s="2"/>
      <c r="BB189" s="2"/>
      <c r="BC189" s="2"/>
      <c r="BD189" s="231"/>
      <c r="BE189" s="343"/>
      <c r="BF189" s="2"/>
      <c r="BG189" s="2"/>
      <c r="BH189" s="2"/>
      <c r="BI189" s="2"/>
      <c r="BJ189" s="2"/>
      <c r="BK189" s="231"/>
      <c r="BL189"/>
      <c r="BM189"/>
      <c r="BN189"/>
      <c r="BO189"/>
      <c r="BP189"/>
      <c r="BQ189"/>
      <c r="BR189"/>
    </row>
    <row r="190" spans="1:72" ht="12.9">
      <c r="B190" s="1" t="s">
        <v>293</v>
      </c>
      <c r="D190" s="93" t="e">
        <f t="shared" ref="D190:P190" si="572">D174+D187</f>
        <v>#REF!</v>
      </c>
      <c r="E190" s="93" t="e">
        <f t="shared" si="572"/>
        <v>#REF!</v>
      </c>
      <c r="F190" s="93" t="e">
        <f t="shared" si="572"/>
        <v>#REF!</v>
      </c>
      <c r="G190" s="93" t="e">
        <f t="shared" si="572"/>
        <v>#REF!</v>
      </c>
      <c r="H190" s="93" t="e">
        <f t="shared" si="572"/>
        <v>#REF!</v>
      </c>
      <c r="I190" s="93" t="e">
        <f t="shared" si="572"/>
        <v>#REF!</v>
      </c>
      <c r="J190" s="93" t="e">
        <f t="shared" si="572"/>
        <v>#REF!</v>
      </c>
      <c r="K190" s="93" t="e">
        <f t="shared" si="572"/>
        <v>#REF!</v>
      </c>
      <c r="L190" s="93" t="e">
        <f t="shared" si="572"/>
        <v>#REF!</v>
      </c>
      <c r="M190" s="93" t="e">
        <f t="shared" si="572"/>
        <v>#REF!</v>
      </c>
      <c r="N190" s="93" t="e">
        <f t="shared" si="572"/>
        <v>#REF!</v>
      </c>
      <c r="O190" s="93" t="e">
        <f t="shared" si="572"/>
        <v>#REF!</v>
      </c>
      <c r="P190" s="93" t="e">
        <f t="shared" si="572"/>
        <v>#REF!</v>
      </c>
      <c r="Q190" s="93" t="e">
        <f>Q174+Q187</f>
        <v>#REF!</v>
      </c>
      <c r="R190" s="93" t="e">
        <f>R174+R187</f>
        <v>#REF!</v>
      </c>
      <c r="S190" s="93" t="e">
        <f>S174+S187</f>
        <v>#REF!</v>
      </c>
      <c r="T190" s="93" t="e">
        <f>T174+T187</f>
        <v>#REF!</v>
      </c>
      <c r="U190" s="93" t="e">
        <f>U174+U187</f>
        <v>#REF!</v>
      </c>
      <c r="V190" s="141"/>
      <c r="W190" s="93"/>
      <c r="X190" s="93"/>
      <c r="Y190" s="93"/>
      <c r="Z190" s="93"/>
      <c r="AA190" s="93"/>
      <c r="AB190" s="93" t="e">
        <f t="shared" ref="AB190:BO190" si="573">AB174+AB187</f>
        <v>#REF!</v>
      </c>
      <c r="AC190" s="141"/>
      <c r="AD190" s="93"/>
      <c r="AE190" s="93"/>
      <c r="AF190" s="93"/>
      <c r="AG190" s="93"/>
      <c r="AH190" s="93"/>
      <c r="AI190" s="93" t="e">
        <f t="shared" si="573"/>
        <v>#REF!</v>
      </c>
      <c r="AJ190" s="141"/>
      <c r="AK190" s="93"/>
      <c r="AL190" s="93"/>
      <c r="AM190" s="93"/>
      <c r="AN190" s="93"/>
      <c r="AO190" s="93"/>
      <c r="AP190" s="93" t="e">
        <f t="shared" si="573"/>
        <v>#REF!</v>
      </c>
      <c r="AQ190" s="141"/>
      <c r="AR190" s="93"/>
      <c r="AS190" s="93"/>
      <c r="AT190" s="93"/>
      <c r="AU190" s="93"/>
      <c r="AV190" s="93"/>
      <c r="AW190" s="93" t="e">
        <f t="shared" si="573"/>
        <v>#REF!</v>
      </c>
      <c r="AX190" s="141"/>
      <c r="AY190" s="93"/>
      <c r="AZ190" s="93"/>
      <c r="BA190" s="93"/>
      <c r="BB190" s="93"/>
      <c r="BC190" s="93"/>
      <c r="BD190" s="139" t="e">
        <f t="shared" ref="BD190" si="574">BD174+BD187</f>
        <v>#REF!</v>
      </c>
      <c r="BE190" s="141"/>
      <c r="BF190" s="93"/>
      <c r="BG190" s="93"/>
      <c r="BH190" s="93"/>
      <c r="BI190" s="93"/>
      <c r="BJ190" s="93"/>
      <c r="BK190" s="139" t="e">
        <f t="shared" ref="BK190" si="575">BK174+BK187</f>
        <v>#REF!</v>
      </c>
      <c r="BL190" s="93" t="e">
        <f t="shared" si="573"/>
        <v>#REF!</v>
      </c>
      <c r="BM190" s="93" t="e">
        <f t="shared" si="573"/>
        <v>#REF!</v>
      </c>
      <c r="BN190" s="93" t="e">
        <f t="shared" si="573"/>
        <v>#REF!</v>
      </c>
      <c r="BO190" s="93" t="e">
        <f t="shared" si="573"/>
        <v>#REF!</v>
      </c>
      <c r="BP190" s="93" t="e">
        <f>BP174+BP187</f>
        <v>#REF!</v>
      </c>
      <c r="BQ190" s="93" t="e">
        <f>BQ174+BQ187</f>
        <v>#REF!</v>
      </c>
      <c r="BR190" s="93" t="e">
        <f>BR174+BR187</f>
        <v>#REF!</v>
      </c>
    </row>
    <row r="191" spans="1:72">
      <c r="B191" s="1" t="s">
        <v>313</v>
      </c>
      <c r="D191" s="93" t="e">
        <f>D277</f>
        <v>#REF!</v>
      </c>
      <c r="E191" s="93" t="e">
        <f t="shared" ref="E191:T191" si="576">E277</f>
        <v>#REF!</v>
      </c>
      <c r="F191" s="93" t="e">
        <f t="shared" si="576"/>
        <v>#REF!</v>
      </c>
      <c r="G191" s="93" t="e">
        <f t="shared" si="576"/>
        <v>#REF!</v>
      </c>
      <c r="H191" s="93" t="e">
        <f t="shared" si="576"/>
        <v>#REF!</v>
      </c>
      <c r="I191" s="93" t="e">
        <f t="shared" si="576"/>
        <v>#REF!</v>
      </c>
      <c r="J191" s="93" t="e">
        <f t="shared" si="576"/>
        <v>#REF!</v>
      </c>
      <c r="K191" s="93" t="e">
        <f t="shared" si="576"/>
        <v>#REF!</v>
      </c>
      <c r="L191" s="93" t="e">
        <f t="shared" si="576"/>
        <v>#REF!</v>
      </c>
      <c r="M191" s="93" t="e">
        <f t="shared" si="576"/>
        <v>#REF!</v>
      </c>
      <c r="N191" s="93" t="e">
        <f t="shared" si="576"/>
        <v>#REF!</v>
      </c>
      <c r="O191" s="93" t="e">
        <f t="shared" si="576"/>
        <v>#REF!</v>
      </c>
      <c r="P191" s="93" t="e">
        <f t="shared" si="576"/>
        <v>#REF!</v>
      </c>
      <c r="Q191" s="93" t="e">
        <f t="shared" si="576"/>
        <v>#REF!</v>
      </c>
      <c r="R191" s="93" t="e">
        <f t="shared" si="576"/>
        <v>#REF!</v>
      </c>
      <c r="S191" s="93" t="e">
        <f t="shared" si="576"/>
        <v>#REF!</v>
      </c>
      <c r="T191" s="93" t="e">
        <f t="shared" si="576"/>
        <v>#REF!</v>
      </c>
      <c r="U191" s="93" t="e">
        <f>U185+U172</f>
        <v>#REF!</v>
      </c>
      <c r="V191" s="141"/>
      <c r="W191" s="93"/>
      <c r="X191" s="93"/>
      <c r="Y191" s="93"/>
      <c r="Z191" s="93"/>
      <c r="AA191" s="93"/>
      <c r="AB191" s="93" t="e">
        <f t="shared" ref="AB191:BO191" si="577">AB185+AB172</f>
        <v>#REF!</v>
      </c>
      <c r="AC191" s="141"/>
      <c r="AD191" s="93"/>
      <c r="AE191" s="93"/>
      <c r="AF191" s="93"/>
      <c r="AG191" s="93"/>
      <c r="AH191" s="93"/>
      <c r="AI191" s="93" t="e">
        <f t="shared" si="577"/>
        <v>#REF!</v>
      </c>
      <c r="AJ191" s="141"/>
      <c r="AK191" s="93"/>
      <c r="AL191" s="93"/>
      <c r="AM191" s="93"/>
      <c r="AN191" s="93"/>
      <c r="AO191" s="93"/>
      <c r="AP191" s="93" t="e">
        <f t="shared" si="577"/>
        <v>#REF!</v>
      </c>
      <c r="AQ191" s="141"/>
      <c r="AR191" s="93"/>
      <c r="AS191" s="93"/>
      <c r="AT191" s="93"/>
      <c r="AU191" s="93"/>
      <c r="AV191" s="93"/>
      <c r="AW191" s="93" t="e">
        <f t="shared" si="577"/>
        <v>#REF!</v>
      </c>
      <c r="AX191" s="141"/>
      <c r="AY191" s="93"/>
      <c r="AZ191" s="93"/>
      <c r="BA191" s="93"/>
      <c r="BB191" s="93"/>
      <c r="BC191" s="93"/>
      <c r="BD191" s="139" t="e">
        <f t="shared" ref="BD191" si="578">BD185+BD172</f>
        <v>#REF!</v>
      </c>
      <c r="BE191" s="141"/>
      <c r="BF191" s="93"/>
      <c r="BG191" s="93"/>
      <c r="BH191" s="93"/>
      <c r="BI191" s="93"/>
      <c r="BJ191" s="93"/>
      <c r="BK191" s="139" t="e">
        <f t="shared" ref="BK191" si="579">BK185+BK172</f>
        <v>#REF!</v>
      </c>
      <c r="BL191" s="93" t="e">
        <f t="shared" si="577"/>
        <v>#REF!</v>
      </c>
      <c r="BM191" s="93" t="e">
        <f t="shared" si="577"/>
        <v>#REF!</v>
      </c>
      <c r="BN191" s="93" t="e">
        <f t="shared" si="577"/>
        <v>#REF!</v>
      </c>
      <c r="BO191" s="93" t="e">
        <f t="shared" si="577"/>
        <v>#REF!</v>
      </c>
      <c r="BP191" s="93" t="e">
        <f>BP185+BP172</f>
        <v>#REF!</v>
      </c>
      <c r="BQ191" s="93" t="e">
        <f>BQ185+BQ172</f>
        <v>#REF!</v>
      </c>
      <c r="BR191" s="93" t="e">
        <f>BR185+BR172</f>
        <v>#REF!</v>
      </c>
    </row>
    <row r="192" spans="1:72" ht="14.1">
      <c r="B192" s="147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343"/>
      <c r="W192" s="2"/>
      <c r="X192" s="2"/>
      <c r="Y192" s="2"/>
      <c r="Z192" s="2"/>
      <c r="AA192" s="2"/>
      <c r="AB192" s="2"/>
      <c r="AC192" s="343"/>
      <c r="AD192" s="2"/>
      <c r="AE192" s="2"/>
      <c r="AF192" s="2"/>
      <c r="AG192" s="2"/>
      <c r="AH192" s="2"/>
      <c r="AI192" s="2"/>
      <c r="AJ192" s="343"/>
      <c r="AK192" s="2"/>
      <c r="AL192" s="2"/>
      <c r="AM192" s="2"/>
      <c r="AN192" s="2"/>
      <c r="AO192" s="2"/>
      <c r="AP192" s="2"/>
      <c r="AQ192" s="343"/>
      <c r="AR192" s="2"/>
      <c r="AS192" s="2"/>
      <c r="AT192" s="2"/>
      <c r="AU192" s="2"/>
      <c r="AV192" s="2"/>
      <c r="AW192" s="2"/>
      <c r="AX192" s="343"/>
      <c r="AY192" s="2"/>
      <c r="AZ192" s="2"/>
      <c r="BA192" s="2"/>
      <c r="BB192" s="2"/>
      <c r="BC192" s="2"/>
      <c r="BD192" s="231"/>
      <c r="BE192" s="343"/>
      <c r="BF192" s="2"/>
      <c r="BG192" s="2"/>
      <c r="BH192" s="2"/>
      <c r="BI192" s="2"/>
      <c r="BJ192" s="2"/>
      <c r="BK192" s="231"/>
      <c r="BL192"/>
      <c r="BM192"/>
      <c r="BN192"/>
      <c r="BO192"/>
      <c r="BP192"/>
      <c r="BQ192"/>
      <c r="BR192"/>
    </row>
    <row r="193" spans="1:91" s="244" customFormat="1" ht="14.1">
      <c r="A193" s="239" t="s">
        <v>185</v>
      </c>
      <c r="B193" s="240" t="s">
        <v>289</v>
      </c>
      <c r="C193" s="241"/>
      <c r="D193" s="242" t="e">
        <f>INDEX(#REF!, MATCH($A193,#REF!, 0), MATCH(D$4,#REF!, 0))</f>
        <v>#REF!</v>
      </c>
      <c r="E193" s="242" t="e">
        <f>INDEX(#REF!, MATCH($A193,#REF!, 0), MATCH(E$4,#REF!, 0))</f>
        <v>#REF!</v>
      </c>
      <c r="F193" s="242" t="e">
        <f>INDEX(#REF!, MATCH($A193,#REF!, 0), MATCH(F$4,#REF!, 0))</f>
        <v>#REF!</v>
      </c>
      <c r="G193" s="242" t="e">
        <f>INDEX(#REF!, MATCH($A193,#REF!, 0), MATCH(G$4,#REF!, 0))</f>
        <v>#REF!</v>
      </c>
      <c r="H193" s="242" t="e">
        <f>INDEX(#REF!, MATCH($A193,#REF!, 0), MATCH(H$4,#REF!, 0))</f>
        <v>#REF!</v>
      </c>
      <c r="I193" s="242" t="e">
        <f>INDEX(#REF!, MATCH($A193,#REF!, 0), MATCH(I$4,#REF!, 0))</f>
        <v>#REF!</v>
      </c>
      <c r="J193" s="242" t="e">
        <f>INDEX(#REF!, MATCH($A193,#REF!, 0), MATCH(J$4,#REF!, 0))</f>
        <v>#REF!</v>
      </c>
      <c r="K193" s="242" t="e">
        <f>INDEX(#REF!, MATCH($A193,#REF!, 0), MATCH(K$4,#REF!, 0))</f>
        <v>#REF!</v>
      </c>
      <c r="L193" s="242" t="e">
        <f>INDEX(#REF!, MATCH($A193,#REF!, 0), MATCH(L$4,#REF!, 0))</f>
        <v>#REF!</v>
      </c>
      <c r="M193" s="242" t="e">
        <f>INDEX(#REF!, MATCH($A193,#REF!, 0), MATCH(M$4,#REF!, 0))</f>
        <v>#REF!</v>
      </c>
      <c r="N193" s="242" t="e">
        <f>INDEX(#REF!, MATCH($A193,#REF!, 0), MATCH(N$4,#REF!, 0))</f>
        <v>#REF!</v>
      </c>
      <c r="O193" s="242" t="e">
        <f>INDEX(#REF!, MATCH($A193,#REF!, 0), MATCH(O$4,#REF!, 0))</f>
        <v>#REF!</v>
      </c>
      <c r="P193" s="242" t="e">
        <f>INDEX(#REF!, MATCH($A193,#REF!, 0), MATCH(P$4,#REF!, 0))</f>
        <v>#REF!</v>
      </c>
      <c r="Q193" s="242" t="e">
        <f>INDEX(#REF!, MATCH($A193,#REF!, 0), MATCH(Q$4,#REF!, 0))</f>
        <v>#REF!</v>
      </c>
      <c r="R193" s="242" t="e">
        <f>INDEX(#REF!, MATCH($A193,#REF!, 0), MATCH(R$4,#REF!, 0))</f>
        <v>#REF!</v>
      </c>
      <c r="S193" s="242" t="e">
        <f>INDEX(#REF!, MATCH($A193,#REF!, 0), MATCH(S$4,#REF!, 0))</f>
        <v>#REF!</v>
      </c>
      <c r="T193" s="242" t="e">
        <f>INDEX(#REF!, MATCH($A193,#REF!, 0), MATCH(T$4,#REF!, 0))</f>
        <v>#REF!</v>
      </c>
      <c r="U193" s="242" t="e">
        <f>INDEX(#REF!, MATCH($A193,#REF!, 0), MATCH(U$4,#REF!, 0))</f>
        <v>#REF!</v>
      </c>
      <c r="V193" s="321" t="e">
        <f>INDEX(#REF!, MATCH($A193,#REF!, 0), MATCH(V$4,#REF!, 0))</f>
        <v>#REF!</v>
      </c>
      <c r="W193" s="242" t="e">
        <f>INDEX(#REF!, MATCH($A193,#REF!, 0), MATCH(W$4,#REF!, 0))</f>
        <v>#REF!</v>
      </c>
      <c r="X193" s="242" t="e">
        <f>INDEX(#REF!, MATCH($A193,#REF!, 0), MATCH(X$4,#REF!, 0))</f>
        <v>#REF!</v>
      </c>
      <c r="Y193" s="242" t="e">
        <f>INDEX(#REF!, MATCH($A193,#REF!, 0), MATCH(Y$4,#REF!, 0))</f>
        <v>#REF!</v>
      </c>
      <c r="Z193" s="242" t="e">
        <f>INDEX(#REF!, MATCH($A193,#REF!, 0), MATCH(Z$4,#REF!, 0))</f>
        <v>#REF!</v>
      </c>
      <c r="AA193" s="242" t="e">
        <f>INDEX(#REF!, MATCH($A193,#REF!, 0), MATCH(AA$4,#REF!, 0))</f>
        <v>#REF!</v>
      </c>
      <c r="AB193" s="242" t="e">
        <f>INDEX(#REF!, MATCH($A193,#REF!, 0), MATCH(AB$4,#REF!, 0))</f>
        <v>#REF!</v>
      </c>
      <c r="AC193" s="321" t="e">
        <f>INDEX(#REF!, MATCH($A193,#REF!, 0), MATCH(AC$4,#REF!, 0))</f>
        <v>#REF!</v>
      </c>
      <c r="AD193" s="242" t="e">
        <f>INDEX(#REF!, MATCH($A193,#REF!, 0), MATCH(AD$4,#REF!, 0))</f>
        <v>#REF!</v>
      </c>
      <c r="AE193" s="242" t="e">
        <f>INDEX(#REF!, MATCH($A193,#REF!, 0), MATCH(AE$4,#REF!, 0))</f>
        <v>#REF!</v>
      </c>
      <c r="AF193" s="242" t="e">
        <f>INDEX(#REF!, MATCH($A193,#REF!, 0), MATCH(AF$4,#REF!, 0))</f>
        <v>#REF!</v>
      </c>
      <c r="AG193" s="242" t="e">
        <f>INDEX(#REF!, MATCH($A193,#REF!, 0), MATCH(AG$4,#REF!, 0))</f>
        <v>#REF!</v>
      </c>
      <c r="AH193" s="242" t="e">
        <f>INDEX(#REF!, MATCH($A193,#REF!, 0), MATCH(AH$4,#REF!, 0))</f>
        <v>#REF!</v>
      </c>
      <c r="AI193" s="242" t="e">
        <f>INDEX(#REF!, MATCH($A193,#REF!, 0), MATCH(AI$4,#REF!, 0))</f>
        <v>#REF!</v>
      </c>
      <c r="AJ193" s="321" t="e">
        <f>INDEX(#REF!, MATCH($A193,#REF!, 0), MATCH(AJ$4,#REF!, 0))</f>
        <v>#REF!</v>
      </c>
      <c r="AK193" s="242" t="e">
        <f>INDEX(#REF!, MATCH($A193,#REF!, 0), MATCH(AK$4,#REF!, 0))</f>
        <v>#REF!</v>
      </c>
      <c r="AL193" s="242" t="e">
        <f>INDEX(#REF!, MATCH($A193,#REF!, 0), MATCH(AL$4,#REF!, 0))</f>
        <v>#REF!</v>
      </c>
      <c r="AM193" s="242" t="e">
        <f>INDEX(#REF!, MATCH($A193,#REF!, 0), MATCH(AM$4,#REF!, 0))</f>
        <v>#REF!</v>
      </c>
      <c r="AN193" s="242" t="e">
        <f>INDEX(#REF!, MATCH($A193,#REF!, 0), MATCH(AN$4,#REF!, 0))</f>
        <v>#REF!</v>
      </c>
      <c r="AO193" s="242" t="e">
        <f>INDEX(#REF!, MATCH($A193,#REF!, 0), MATCH(AO$4,#REF!, 0))</f>
        <v>#REF!</v>
      </c>
      <c r="AP193" s="242" t="e">
        <f>INDEX(#REF!, MATCH($A193,#REF!, 0), MATCH(AP$4,#REF!, 0))</f>
        <v>#REF!</v>
      </c>
      <c r="AQ193" s="321" t="e">
        <f>INDEX(#REF!, MATCH($A193,#REF!, 0), MATCH(AQ$4,#REF!, 0))</f>
        <v>#REF!</v>
      </c>
      <c r="AR193" s="242" t="e">
        <f>INDEX(#REF!, MATCH($A193,#REF!, 0), MATCH(AR$4,#REF!, 0))</f>
        <v>#REF!</v>
      </c>
      <c r="AS193" s="242" t="e">
        <f>INDEX(#REF!, MATCH($A193,#REF!, 0), MATCH(AS$4,#REF!, 0))</f>
        <v>#REF!</v>
      </c>
      <c r="AT193" s="242" t="e">
        <f>INDEX(#REF!, MATCH($A193,#REF!, 0), MATCH(AT$4,#REF!, 0))</f>
        <v>#REF!</v>
      </c>
      <c r="AU193" s="242" t="e">
        <f>INDEX(#REF!, MATCH($A193,#REF!, 0), MATCH(AU$4,#REF!, 0))</f>
        <v>#REF!</v>
      </c>
      <c r="AV193" s="242" t="e">
        <f>INDEX(#REF!, MATCH($A193,#REF!, 0), MATCH(AV$4,#REF!, 0))</f>
        <v>#REF!</v>
      </c>
      <c r="AW193" s="242" t="e">
        <f>INDEX(#REF!, MATCH($A193,#REF!, 0), MATCH(AW$4,#REF!, 0))</f>
        <v>#REF!</v>
      </c>
      <c r="AX193" s="321" t="e">
        <f>INDEX(#REF!, MATCH($A193,#REF!, 0), MATCH(AX$4,#REF!, 0))</f>
        <v>#REF!</v>
      </c>
      <c r="AY193" s="242" t="e">
        <f>INDEX(#REF!, MATCH($A193,#REF!, 0), MATCH(AY$4,#REF!, 0))</f>
        <v>#REF!</v>
      </c>
      <c r="AZ193" s="242" t="e">
        <f>INDEX(#REF!, MATCH($A193,#REF!, 0), MATCH(AZ$4,#REF!, 0))</f>
        <v>#REF!</v>
      </c>
      <c r="BA193" s="242" t="e">
        <f>INDEX(#REF!, MATCH($A193,#REF!, 0), MATCH(BA$4,#REF!, 0))</f>
        <v>#REF!</v>
      </c>
      <c r="BB193" s="242" t="e">
        <f>INDEX(#REF!, MATCH($A193,#REF!, 0), MATCH(BB$4,#REF!, 0))</f>
        <v>#REF!</v>
      </c>
      <c r="BC193" s="242" t="e">
        <f>INDEX(#REF!, MATCH($A193,#REF!, 0), MATCH(BC$4,#REF!, 0))</f>
        <v>#REF!</v>
      </c>
      <c r="BD193" s="365" t="e">
        <f>INDEX(#REF!, MATCH($A193,#REF!, 0), MATCH(BD$4,#REF!, 0))</f>
        <v>#REF!</v>
      </c>
      <c r="BE193" s="321" t="e">
        <f>INDEX(#REF!, MATCH($A193,#REF!, 0), MATCH(BE$4,#REF!, 0))</f>
        <v>#REF!</v>
      </c>
      <c r="BF193" s="242" t="e">
        <f>INDEX(#REF!, MATCH($A193,#REF!, 0), MATCH(BF$4,#REF!, 0))</f>
        <v>#REF!</v>
      </c>
      <c r="BG193" s="242" t="e">
        <f>INDEX(#REF!, MATCH($A193,#REF!, 0), MATCH(BG$4,#REF!, 0))</f>
        <v>#REF!</v>
      </c>
      <c r="BH193" s="242" t="e">
        <f>INDEX(#REF!, MATCH($A193,#REF!, 0), MATCH(BH$4,#REF!, 0))</f>
        <v>#REF!</v>
      </c>
      <c r="BI193" s="242" t="e">
        <f>INDEX(#REF!, MATCH($A193,#REF!, 0), MATCH(BI$4,#REF!, 0))</f>
        <v>#REF!</v>
      </c>
      <c r="BJ193" s="242" t="e">
        <f>INDEX(#REF!, MATCH($A193,#REF!, 0), MATCH(BJ$4,#REF!, 0))</f>
        <v>#REF!</v>
      </c>
      <c r="BK193" s="365" t="e">
        <f>INDEX(#REF!, MATCH($A193,#REF!, 0), MATCH(BK$4,#REF!, 0))</f>
        <v>#REF!</v>
      </c>
      <c r="BL193" s="242" t="e">
        <f t="shared" ref="BL193:BR193" si="580">BL195+BL197+BL199</f>
        <v>#REF!</v>
      </c>
      <c r="BM193" s="242" t="e">
        <f t="shared" si="580"/>
        <v>#REF!</v>
      </c>
      <c r="BN193" s="242" t="e">
        <f t="shared" si="580"/>
        <v>#REF!</v>
      </c>
      <c r="BO193" s="242" t="e">
        <f t="shared" si="580"/>
        <v>#REF!</v>
      </c>
      <c r="BP193" s="242" t="e">
        <f t="shared" si="580"/>
        <v>#REF!</v>
      </c>
      <c r="BQ193" s="242" t="e">
        <f t="shared" si="580"/>
        <v>#REF!</v>
      </c>
      <c r="BR193" s="242" t="e">
        <f t="shared" si="580"/>
        <v>#REF!</v>
      </c>
      <c r="BS193" s="235"/>
      <c r="BT193" s="243"/>
      <c r="BU193" s="235"/>
      <c r="BV193" s="235"/>
      <c r="BW193" s="235"/>
      <c r="BX193" s="235"/>
      <c r="BY193" s="235"/>
      <c r="BZ193" s="235"/>
      <c r="CA193" s="235"/>
      <c r="CB193" s="235"/>
      <c r="CC193" s="235"/>
      <c r="CD193" s="235"/>
      <c r="CE193" s="235"/>
      <c r="CF193" s="235"/>
      <c r="CG193" s="235"/>
      <c r="CH193" s="235"/>
      <c r="CI193" s="235"/>
      <c r="CJ193" s="235"/>
      <c r="CK193" s="235"/>
      <c r="CL193" s="235"/>
      <c r="CM193" s="235"/>
    </row>
    <row r="194" spans="1:91" ht="14.1">
      <c r="B194" s="147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343"/>
      <c r="W194" s="2"/>
      <c r="X194" s="2"/>
      <c r="Y194" s="2"/>
      <c r="Z194" s="2"/>
      <c r="AA194" s="2"/>
      <c r="AB194" s="2"/>
      <c r="AC194" s="343"/>
      <c r="AD194" s="2"/>
      <c r="AE194" s="2"/>
      <c r="AF194" s="2"/>
      <c r="AG194" s="2"/>
      <c r="AH194" s="2"/>
      <c r="AI194" s="2"/>
      <c r="AJ194" s="343"/>
      <c r="AK194" s="2"/>
      <c r="AL194" s="2"/>
      <c r="AM194" s="2"/>
      <c r="AN194" s="2"/>
      <c r="AO194" s="2"/>
      <c r="AP194" s="2"/>
      <c r="AQ194" s="343"/>
      <c r="AR194" s="2"/>
      <c r="AS194" s="2"/>
      <c r="AT194" s="2"/>
      <c r="AU194" s="2"/>
      <c r="AV194" s="2"/>
      <c r="AW194" s="2"/>
      <c r="AX194" s="343"/>
      <c r="AY194" s="2"/>
      <c r="AZ194" s="2"/>
      <c r="BA194" s="2"/>
      <c r="BB194" s="2"/>
      <c r="BC194" s="2"/>
      <c r="BD194" s="231"/>
      <c r="BE194" s="343"/>
      <c r="BF194" s="2"/>
      <c r="BG194" s="2"/>
      <c r="BH194" s="2"/>
      <c r="BI194" s="2"/>
      <c r="BJ194" s="2"/>
      <c r="BK194" s="231"/>
      <c r="BL194"/>
      <c r="BM194"/>
      <c r="BN194"/>
      <c r="BO194"/>
      <c r="BP194"/>
      <c r="BQ194"/>
      <c r="BR194"/>
    </row>
    <row r="195" spans="1:91" ht="14.25" customHeight="1">
      <c r="A195" s="105" t="s">
        <v>180</v>
      </c>
      <c r="B195" s="117" t="s">
        <v>124</v>
      </c>
      <c r="C195" s="117"/>
      <c r="D195" s="146" t="e">
        <f>INDEX(#REF!, MATCH($A195,#REF!, 0), MATCH(D$4,#REF!, 0))</f>
        <v>#REF!</v>
      </c>
      <c r="E195" s="146" t="e">
        <f>INDEX(#REF!, MATCH($A195,#REF!, 0), MATCH(E$4,#REF!, 0))</f>
        <v>#REF!</v>
      </c>
      <c r="F195" s="146" t="e">
        <f>INDEX(#REF!, MATCH($A195,#REF!, 0), MATCH(F$4,#REF!, 0))</f>
        <v>#REF!</v>
      </c>
      <c r="G195" s="146" t="e">
        <f>INDEX(#REF!, MATCH($A195,#REF!, 0), MATCH(G$4,#REF!, 0))</f>
        <v>#REF!</v>
      </c>
      <c r="H195" s="146" t="e">
        <f>INDEX(#REF!, MATCH($A195,#REF!, 0), MATCH(H$4,#REF!, 0))</f>
        <v>#REF!</v>
      </c>
      <c r="I195" s="146" t="e">
        <f>INDEX(#REF!, MATCH($A195,#REF!, 0), MATCH(I$4,#REF!, 0))</f>
        <v>#REF!</v>
      </c>
      <c r="J195" s="146" t="e">
        <f>INDEX(#REF!, MATCH($A195,#REF!, 0), MATCH(J$4,#REF!, 0))</f>
        <v>#REF!</v>
      </c>
      <c r="K195" s="146" t="e">
        <f>INDEX(#REF!, MATCH($A195,#REF!, 0), MATCH(K$4,#REF!, 0))</f>
        <v>#REF!</v>
      </c>
      <c r="L195" s="146" t="e">
        <f>INDEX(#REF!, MATCH($A195,#REF!, 0), MATCH(L$4,#REF!, 0))</f>
        <v>#REF!</v>
      </c>
      <c r="M195" s="146" t="e">
        <f>INDEX(#REF!, MATCH($A195,#REF!, 0), MATCH(M$4,#REF!, 0))</f>
        <v>#REF!</v>
      </c>
      <c r="N195" s="146" t="e">
        <f>INDEX(#REF!, MATCH($A195,#REF!, 0), MATCH(N$4,#REF!, 0))</f>
        <v>#REF!</v>
      </c>
      <c r="O195" s="146" t="e">
        <f>INDEX(#REF!, MATCH($A195,#REF!, 0), MATCH(O$4,#REF!, 0))</f>
        <v>#REF!</v>
      </c>
      <c r="P195" s="146" t="e">
        <f>INDEX(#REF!, MATCH($A195,#REF!, 0), MATCH(P$4,#REF!, 0))</f>
        <v>#REF!</v>
      </c>
      <c r="Q195" s="146" t="e">
        <f>INDEX(#REF!, MATCH($A195,#REF!, 0), MATCH(Q$4,#REF!, 0))</f>
        <v>#REF!</v>
      </c>
      <c r="R195" s="146" t="e">
        <f>INDEX(#REF!, MATCH($A195,#REF!, 0), MATCH(R$4,#REF!, 0))</f>
        <v>#REF!</v>
      </c>
      <c r="S195" s="146" t="e">
        <f>INDEX(#REF!, MATCH($A195,#REF!, 0), MATCH(S$4,#REF!, 0))</f>
        <v>#REF!</v>
      </c>
      <c r="T195" s="146" t="e">
        <f>INDEX(#REF!, MATCH($A195,#REF!, 0), MATCH(T$4,#REF!, 0))</f>
        <v>#REF!</v>
      </c>
      <c r="U195" s="146" t="e">
        <f>INDEX(#REF!, MATCH($A195,#REF!, 0), MATCH(U$4,#REF!, 0))</f>
        <v>#REF!</v>
      </c>
      <c r="V195" s="320" t="e">
        <f>INDEX(#REF!, MATCH($A195,#REF!, 0), MATCH(V$4,#REF!, 0))</f>
        <v>#REF!</v>
      </c>
      <c r="W195" s="146" t="e">
        <f>INDEX(#REF!, MATCH($A195,#REF!, 0), MATCH(W$4,#REF!, 0))</f>
        <v>#REF!</v>
      </c>
      <c r="X195" s="146" t="e">
        <f>INDEX(#REF!, MATCH($A195,#REF!, 0), MATCH(X$4,#REF!, 0))</f>
        <v>#REF!</v>
      </c>
      <c r="Y195" s="146" t="e">
        <f>INDEX(#REF!, MATCH($A195,#REF!, 0), MATCH(Y$4,#REF!, 0))</f>
        <v>#REF!</v>
      </c>
      <c r="Z195" s="146" t="e">
        <f>INDEX(#REF!, MATCH($A195,#REF!, 0), MATCH(Z$4,#REF!, 0))</f>
        <v>#REF!</v>
      </c>
      <c r="AA195" s="146" t="e">
        <f>INDEX(#REF!, MATCH($A195,#REF!, 0), MATCH(AA$4,#REF!, 0))</f>
        <v>#REF!</v>
      </c>
      <c r="AB195" s="146" t="e">
        <f>INDEX(#REF!, MATCH($A195,#REF!, 0), MATCH(AB$4,#REF!, 0))</f>
        <v>#REF!</v>
      </c>
      <c r="AC195" s="320" t="e">
        <f>INDEX(#REF!, MATCH($A195,#REF!, 0), MATCH(AC$4,#REF!, 0))</f>
        <v>#REF!</v>
      </c>
      <c r="AD195" s="146" t="e">
        <f>INDEX(#REF!, MATCH($A195,#REF!, 0), MATCH(AD$4,#REF!, 0))</f>
        <v>#REF!</v>
      </c>
      <c r="AE195" s="146" t="e">
        <f>INDEX(#REF!, MATCH($A195,#REF!, 0), MATCH(AE$4,#REF!, 0))</f>
        <v>#REF!</v>
      </c>
      <c r="AF195" s="146" t="e">
        <f>INDEX(#REF!, MATCH($A195,#REF!, 0), MATCH(AF$4,#REF!, 0))</f>
        <v>#REF!</v>
      </c>
      <c r="AG195" s="146" t="e">
        <f>INDEX(#REF!, MATCH($A195,#REF!, 0), MATCH(AG$4,#REF!, 0))</f>
        <v>#REF!</v>
      </c>
      <c r="AH195" s="146" t="e">
        <f>INDEX(#REF!, MATCH($A195,#REF!, 0), MATCH(AH$4,#REF!, 0))</f>
        <v>#REF!</v>
      </c>
      <c r="AI195" s="146" t="e">
        <f>INDEX(#REF!, MATCH($A195,#REF!, 0), MATCH(AI$4,#REF!, 0))</f>
        <v>#REF!</v>
      </c>
      <c r="AJ195" s="320" t="e">
        <f>INDEX(#REF!, MATCH($A195,#REF!, 0), MATCH(AJ$4,#REF!, 0))</f>
        <v>#REF!</v>
      </c>
      <c r="AK195" s="146" t="e">
        <f>INDEX(#REF!, MATCH($A195,#REF!, 0), MATCH(AK$4,#REF!, 0))</f>
        <v>#REF!</v>
      </c>
      <c r="AL195" s="146" t="e">
        <f>INDEX(#REF!, MATCH($A195,#REF!, 0), MATCH(AL$4,#REF!, 0))</f>
        <v>#REF!</v>
      </c>
      <c r="AM195" s="146" t="e">
        <f>INDEX(#REF!, MATCH($A195,#REF!, 0), MATCH(AM$4,#REF!, 0))</f>
        <v>#REF!</v>
      </c>
      <c r="AN195" s="146" t="e">
        <f>INDEX(#REF!, MATCH($A195,#REF!, 0), MATCH(AN$4,#REF!, 0))</f>
        <v>#REF!</v>
      </c>
      <c r="AO195" s="146" t="e">
        <f>INDEX(#REF!, MATCH($A195,#REF!, 0), MATCH(AO$4,#REF!, 0))</f>
        <v>#REF!</v>
      </c>
      <c r="AP195" s="146" t="e">
        <f>INDEX(#REF!, MATCH($A195,#REF!, 0), MATCH(AP$4,#REF!, 0))</f>
        <v>#REF!</v>
      </c>
      <c r="AQ195" s="320" t="e">
        <f>INDEX(#REF!, MATCH($A195,#REF!, 0), MATCH(AQ$4,#REF!, 0))</f>
        <v>#REF!</v>
      </c>
      <c r="AR195" s="146" t="e">
        <f>INDEX(#REF!, MATCH($A195,#REF!, 0), MATCH(AR$4,#REF!, 0))</f>
        <v>#REF!</v>
      </c>
      <c r="AS195" s="146" t="e">
        <f>INDEX(#REF!, MATCH($A195,#REF!, 0), MATCH(AS$4,#REF!, 0))</f>
        <v>#REF!</v>
      </c>
      <c r="AT195" s="146" t="e">
        <f>INDEX(#REF!, MATCH($A195,#REF!, 0), MATCH(AT$4,#REF!, 0))</f>
        <v>#REF!</v>
      </c>
      <c r="AU195" s="146" t="e">
        <f>INDEX(#REF!, MATCH($A195,#REF!, 0), MATCH(AU$4,#REF!, 0))</f>
        <v>#REF!</v>
      </c>
      <c r="AV195" s="146" t="e">
        <f>INDEX(#REF!, MATCH($A195,#REF!, 0), MATCH(AV$4,#REF!, 0))</f>
        <v>#REF!</v>
      </c>
      <c r="AW195" s="146" t="e">
        <f>INDEX(#REF!, MATCH($A195,#REF!, 0), MATCH(AW$4,#REF!, 0))</f>
        <v>#REF!</v>
      </c>
      <c r="AX195" s="320" t="e">
        <f>INDEX(#REF!, MATCH($A195,#REF!, 0), MATCH(AX$4,#REF!, 0))</f>
        <v>#REF!</v>
      </c>
      <c r="AY195" s="146" t="e">
        <f>INDEX(#REF!, MATCH($A195,#REF!, 0), MATCH(AY$4,#REF!, 0))</f>
        <v>#REF!</v>
      </c>
      <c r="AZ195" s="146" t="e">
        <f>INDEX(#REF!, MATCH($A195,#REF!, 0), MATCH(AZ$4,#REF!, 0))</f>
        <v>#REF!</v>
      </c>
      <c r="BA195" s="146" t="e">
        <f>INDEX(#REF!, MATCH($A195,#REF!, 0), MATCH(BA$4,#REF!, 0))</f>
        <v>#REF!</v>
      </c>
      <c r="BB195" s="146" t="e">
        <f>INDEX(#REF!, MATCH($A195,#REF!, 0), MATCH(BB$4,#REF!, 0))</f>
        <v>#REF!</v>
      </c>
      <c r="BC195" s="146" t="e">
        <f>INDEX(#REF!, MATCH($A195,#REF!, 0), MATCH(BC$4,#REF!, 0))</f>
        <v>#REF!</v>
      </c>
      <c r="BD195" s="364" t="e">
        <f>INDEX(#REF!, MATCH($A195,#REF!, 0), MATCH(BD$4,#REF!, 0))</f>
        <v>#REF!</v>
      </c>
      <c r="BE195" s="320" t="e">
        <f>INDEX(#REF!, MATCH($A195,#REF!, 0), MATCH(BE$4,#REF!, 0))</f>
        <v>#REF!</v>
      </c>
      <c r="BF195" s="146" t="e">
        <f>INDEX(#REF!, MATCH($A195,#REF!, 0), MATCH(BF$4,#REF!, 0))</f>
        <v>#REF!</v>
      </c>
      <c r="BG195" s="146" t="e">
        <f>INDEX(#REF!, MATCH($A195,#REF!, 0), MATCH(BG$4,#REF!, 0))</f>
        <v>#REF!</v>
      </c>
      <c r="BH195" s="146" t="e">
        <f>INDEX(#REF!, MATCH($A195,#REF!, 0), MATCH(BH$4,#REF!, 0))</f>
        <v>#REF!</v>
      </c>
      <c r="BI195" s="146" t="e">
        <f>INDEX(#REF!, MATCH($A195,#REF!, 0), MATCH(BI$4,#REF!, 0))</f>
        <v>#REF!</v>
      </c>
      <c r="BJ195" s="146" t="e">
        <f>INDEX(#REF!, MATCH($A195,#REF!, 0), MATCH(BJ$4,#REF!, 0))</f>
        <v>#REF!</v>
      </c>
      <c r="BK195" s="364" t="e">
        <f>INDEX(#REF!, MATCH($A195,#REF!, 0), MATCH(BK$4,#REF!, 0))</f>
        <v>#REF!</v>
      </c>
      <c r="BL195" s="112" t="e">
        <f>BK195</f>
        <v>#REF!</v>
      </c>
      <c r="BM195" s="112" t="e">
        <f t="shared" ref="BM195:BR195" si="581">BL195</f>
        <v>#REF!</v>
      </c>
      <c r="BN195" s="112" t="e">
        <f t="shared" si="581"/>
        <v>#REF!</v>
      </c>
      <c r="BO195" s="112" t="e">
        <f t="shared" si="581"/>
        <v>#REF!</v>
      </c>
      <c r="BP195" s="112" t="e">
        <f t="shared" si="581"/>
        <v>#REF!</v>
      </c>
      <c r="BQ195" s="112" t="e">
        <f t="shared" si="581"/>
        <v>#REF!</v>
      </c>
      <c r="BR195" s="112" t="e">
        <f t="shared" si="581"/>
        <v>#REF!</v>
      </c>
      <c r="BT195" s="121"/>
    </row>
    <row r="196" spans="1:91" ht="14.1">
      <c r="B196" s="147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343"/>
      <c r="W196" s="2"/>
      <c r="X196" s="2"/>
      <c r="Y196" s="2"/>
      <c r="Z196" s="2"/>
      <c r="AA196" s="2"/>
      <c r="AB196" s="2"/>
      <c r="AC196" s="343"/>
      <c r="AD196" s="2"/>
      <c r="AE196" s="2"/>
      <c r="AF196" s="2"/>
      <c r="AG196" s="2"/>
      <c r="AH196" s="2"/>
      <c r="AI196" s="2"/>
      <c r="AJ196" s="343"/>
      <c r="AK196" s="2"/>
      <c r="AL196" s="2"/>
      <c r="AM196" s="2"/>
      <c r="AN196" s="2"/>
      <c r="AO196" s="2"/>
      <c r="AP196" s="2"/>
      <c r="AQ196" s="343"/>
      <c r="AR196" s="2"/>
      <c r="AS196" s="2"/>
      <c r="AT196" s="2"/>
      <c r="AU196" s="2"/>
      <c r="AV196" s="2"/>
      <c r="AW196" s="2"/>
      <c r="AX196" s="343"/>
      <c r="AY196" s="2"/>
      <c r="AZ196" s="2"/>
      <c r="BA196" s="2"/>
      <c r="BB196" s="2"/>
      <c r="BC196" s="2"/>
      <c r="BD196" s="231"/>
      <c r="BE196" s="343"/>
      <c r="BF196" s="2"/>
      <c r="BG196" s="2"/>
      <c r="BH196" s="2"/>
      <c r="BI196" s="2"/>
      <c r="BJ196" s="2"/>
      <c r="BK196" s="231"/>
      <c r="BL196"/>
      <c r="BM196"/>
      <c r="BN196"/>
      <c r="BO196"/>
      <c r="BP196"/>
      <c r="BQ196"/>
      <c r="BR196"/>
    </row>
    <row r="197" spans="1:91" ht="12.9">
      <c r="B197" s="193" t="s">
        <v>290</v>
      </c>
      <c r="D197" s="93" t="e">
        <f t="shared" ref="D197:P197" si="582">D193-D195-D199</f>
        <v>#REF!</v>
      </c>
      <c r="E197" s="93" t="e">
        <f t="shared" si="582"/>
        <v>#REF!</v>
      </c>
      <c r="F197" s="93" t="e">
        <f t="shared" si="582"/>
        <v>#REF!</v>
      </c>
      <c r="G197" s="93" t="e">
        <f t="shared" si="582"/>
        <v>#REF!</v>
      </c>
      <c r="H197" s="93" t="e">
        <f t="shared" si="582"/>
        <v>#REF!</v>
      </c>
      <c r="I197" s="93" t="e">
        <f t="shared" si="582"/>
        <v>#REF!</v>
      </c>
      <c r="J197" s="93" t="e">
        <f t="shared" si="582"/>
        <v>#REF!</v>
      </c>
      <c r="K197" s="93" t="e">
        <f t="shared" si="582"/>
        <v>#REF!</v>
      </c>
      <c r="L197" s="93" t="e">
        <f t="shared" si="582"/>
        <v>#REF!</v>
      </c>
      <c r="M197" s="93" t="e">
        <f t="shared" si="582"/>
        <v>#REF!</v>
      </c>
      <c r="N197" s="93" t="e">
        <f t="shared" si="582"/>
        <v>#REF!</v>
      </c>
      <c r="O197" s="93" t="e">
        <f t="shared" si="582"/>
        <v>#REF!</v>
      </c>
      <c r="P197" s="93" t="e">
        <f t="shared" si="582"/>
        <v>#REF!</v>
      </c>
      <c r="Q197" s="93" t="e">
        <f t="shared" ref="Q197:AX197" si="583">Q193-Q195-Q199</f>
        <v>#REF!</v>
      </c>
      <c r="R197" s="93" t="e">
        <f t="shared" si="583"/>
        <v>#REF!</v>
      </c>
      <c r="S197" s="93" t="e">
        <f t="shared" si="583"/>
        <v>#REF!</v>
      </c>
      <c r="T197" s="93" t="e">
        <f t="shared" si="583"/>
        <v>#REF!</v>
      </c>
      <c r="U197" s="93" t="e">
        <f t="shared" si="583"/>
        <v>#REF!</v>
      </c>
      <c r="V197" s="141" t="e">
        <f t="shared" ref="V197:AA197" si="584">V193-V195-V199</f>
        <v>#REF!</v>
      </c>
      <c r="W197" s="93" t="e">
        <f t="shared" si="584"/>
        <v>#REF!</v>
      </c>
      <c r="X197" s="93" t="e">
        <f t="shared" si="584"/>
        <v>#REF!</v>
      </c>
      <c r="Y197" s="93" t="e">
        <f t="shared" si="584"/>
        <v>#REF!</v>
      </c>
      <c r="Z197" s="93" t="e">
        <f t="shared" si="584"/>
        <v>#REF!</v>
      </c>
      <c r="AA197" s="93" t="e">
        <f t="shared" si="584"/>
        <v>#REF!</v>
      </c>
      <c r="AB197" s="93" t="e">
        <f t="shared" si="583"/>
        <v>#REF!</v>
      </c>
      <c r="AC197" s="141" t="e">
        <f t="shared" ref="AC197:AH197" si="585">AC193-AC195-AC199</f>
        <v>#REF!</v>
      </c>
      <c r="AD197" s="93" t="e">
        <f t="shared" si="585"/>
        <v>#REF!</v>
      </c>
      <c r="AE197" s="93" t="e">
        <f t="shared" si="585"/>
        <v>#REF!</v>
      </c>
      <c r="AF197" s="93" t="e">
        <f t="shared" si="585"/>
        <v>#REF!</v>
      </c>
      <c r="AG197" s="93" t="e">
        <f t="shared" si="585"/>
        <v>#REF!</v>
      </c>
      <c r="AH197" s="93" t="e">
        <f t="shared" si="585"/>
        <v>#REF!</v>
      </c>
      <c r="AI197" s="93" t="e">
        <f t="shared" si="583"/>
        <v>#REF!</v>
      </c>
      <c r="AJ197" s="141" t="e">
        <f t="shared" ref="AJ197:AO197" si="586">AJ193-AJ195-AJ199</f>
        <v>#REF!</v>
      </c>
      <c r="AK197" s="93" t="e">
        <f t="shared" si="586"/>
        <v>#REF!</v>
      </c>
      <c r="AL197" s="93" t="e">
        <f t="shared" si="586"/>
        <v>#REF!</v>
      </c>
      <c r="AM197" s="93" t="e">
        <f t="shared" si="586"/>
        <v>#REF!</v>
      </c>
      <c r="AN197" s="93" t="e">
        <f t="shared" si="586"/>
        <v>#REF!</v>
      </c>
      <c r="AO197" s="93" t="e">
        <f t="shared" si="586"/>
        <v>#REF!</v>
      </c>
      <c r="AP197" s="93" t="e">
        <f t="shared" si="583"/>
        <v>#REF!</v>
      </c>
      <c r="AQ197" s="141" t="e">
        <f t="shared" ref="AQ197:AV197" si="587">AQ193-AQ195-AQ199</f>
        <v>#REF!</v>
      </c>
      <c r="AR197" s="93" t="e">
        <f t="shared" si="587"/>
        <v>#REF!</v>
      </c>
      <c r="AS197" s="93" t="e">
        <f t="shared" si="587"/>
        <v>#REF!</v>
      </c>
      <c r="AT197" s="93" t="e">
        <f t="shared" si="587"/>
        <v>#REF!</v>
      </c>
      <c r="AU197" s="93" t="e">
        <f t="shared" si="587"/>
        <v>#REF!</v>
      </c>
      <c r="AV197" s="93" t="e">
        <f t="shared" si="587"/>
        <v>#REF!</v>
      </c>
      <c r="AW197" s="93" t="e">
        <f t="shared" si="583"/>
        <v>#REF!</v>
      </c>
      <c r="AX197" s="141" t="e">
        <f t="shared" si="583"/>
        <v>#REF!</v>
      </c>
      <c r="AY197" s="93" t="e">
        <f t="shared" ref="AY197:AZ197" si="588">AY193-AY195-AY199</f>
        <v>#REF!</v>
      </c>
      <c r="AZ197" s="93" t="e">
        <f t="shared" si="588"/>
        <v>#REF!</v>
      </c>
      <c r="BA197" s="93" t="e">
        <f t="shared" ref="BA197:BC197" si="589">BA193-BA195-BA199</f>
        <v>#REF!</v>
      </c>
      <c r="BB197" s="93" t="e">
        <f t="shared" si="589"/>
        <v>#REF!</v>
      </c>
      <c r="BC197" s="93" t="e">
        <f t="shared" si="589"/>
        <v>#REF!</v>
      </c>
      <c r="BD197" s="139" t="e">
        <f t="shared" ref="BD197:BJ197" si="590">BD193-BD195-BD199</f>
        <v>#REF!</v>
      </c>
      <c r="BE197" s="141" t="e">
        <f t="shared" si="590"/>
        <v>#REF!</v>
      </c>
      <c r="BF197" s="93" t="e">
        <f t="shared" si="590"/>
        <v>#REF!</v>
      </c>
      <c r="BG197" s="93" t="e">
        <f t="shared" si="590"/>
        <v>#REF!</v>
      </c>
      <c r="BH197" s="93" t="e">
        <f t="shared" si="590"/>
        <v>#REF!</v>
      </c>
      <c r="BI197" s="93" t="e">
        <f t="shared" si="590"/>
        <v>#REF!</v>
      </c>
      <c r="BJ197" s="93" t="e">
        <f t="shared" si="590"/>
        <v>#REF!</v>
      </c>
      <c r="BK197" s="139" t="e">
        <f t="shared" ref="BK197" si="591">BK193-BK195-BK199</f>
        <v>#REF!</v>
      </c>
      <c r="BL197" s="112" t="e">
        <f>BK197</f>
        <v>#REF!</v>
      </c>
      <c r="BM197" s="112" t="e">
        <f t="shared" ref="BM197:BR197" si="592">BL197</f>
        <v>#REF!</v>
      </c>
      <c r="BN197" s="112" t="e">
        <f t="shared" si="592"/>
        <v>#REF!</v>
      </c>
      <c r="BO197" s="112" t="e">
        <f t="shared" si="592"/>
        <v>#REF!</v>
      </c>
      <c r="BP197" s="112" t="e">
        <f t="shared" si="592"/>
        <v>#REF!</v>
      </c>
      <c r="BQ197" s="112" t="e">
        <f t="shared" si="592"/>
        <v>#REF!</v>
      </c>
      <c r="BR197" s="112" t="e">
        <f t="shared" si="592"/>
        <v>#REF!</v>
      </c>
    </row>
    <row r="198" spans="1:91" ht="14.1">
      <c r="B198" s="147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343"/>
      <c r="W198" s="2"/>
      <c r="X198" s="2"/>
      <c r="Y198" s="2"/>
      <c r="Z198" s="2"/>
      <c r="AA198" s="2"/>
      <c r="AB198" s="2"/>
      <c r="AC198" s="343"/>
      <c r="AD198" s="2"/>
      <c r="AE198" s="2"/>
      <c r="AF198" s="2"/>
      <c r="AG198" s="2"/>
      <c r="AH198" s="2"/>
      <c r="AI198" s="2"/>
      <c r="AJ198" s="343"/>
      <c r="AK198" s="2"/>
      <c r="AL198" s="2"/>
      <c r="AM198" s="2"/>
      <c r="AN198" s="2"/>
      <c r="AO198" s="2"/>
      <c r="AP198" s="2"/>
      <c r="AQ198" s="343"/>
      <c r="AR198" s="2"/>
      <c r="AS198" s="2"/>
      <c r="AT198" s="2"/>
      <c r="AU198" s="2"/>
      <c r="AV198" s="2"/>
      <c r="AW198" s="2"/>
      <c r="AX198" s="343"/>
      <c r="AY198" s="2"/>
      <c r="AZ198" s="2"/>
      <c r="BA198" s="2"/>
      <c r="BB198" s="2"/>
      <c r="BC198" s="2"/>
      <c r="BD198" s="231"/>
      <c r="BE198" s="343"/>
      <c r="BF198" s="2"/>
      <c r="BG198" s="2"/>
      <c r="BH198" s="2"/>
      <c r="BI198" s="2"/>
      <c r="BJ198" s="2"/>
      <c r="BK198" s="231"/>
      <c r="BL198"/>
      <c r="BM198"/>
      <c r="BN198"/>
      <c r="BO198"/>
      <c r="BP198"/>
      <c r="BQ198"/>
      <c r="BR198"/>
    </row>
    <row r="199" spans="1:91" ht="12.9">
      <c r="B199" s="1" t="s">
        <v>292</v>
      </c>
      <c r="D199" s="189" t="e">
        <f t="shared" ref="D199:P199" si="593">SUM(D201:D210)</f>
        <v>#REF!</v>
      </c>
      <c r="E199" s="189" t="e">
        <f t="shared" si="593"/>
        <v>#REF!</v>
      </c>
      <c r="F199" s="189" t="e">
        <f t="shared" si="593"/>
        <v>#REF!</v>
      </c>
      <c r="G199" s="189" t="e">
        <f t="shared" si="593"/>
        <v>#REF!</v>
      </c>
      <c r="H199" s="189" t="e">
        <f t="shared" si="593"/>
        <v>#REF!</v>
      </c>
      <c r="I199" s="189" t="e">
        <f t="shared" si="593"/>
        <v>#REF!</v>
      </c>
      <c r="J199" s="189" t="e">
        <f t="shared" si="593"/>
        <v>#REF!</v>
      </c>
      <c r="K199" s="189" t="e">
        <f t="shared" si="593"/>
        <v>#REF!</v>
      </c>
      <c r="L199" s="189" t="e">
        <f t="shared" si="593"/>
        <v>#REF!</v>
      </c>
      <c r="M199" s="189" t="e">
        <f t="shared" si="593"/>
        <v>#REF!</v>
      </c>
      <c r="N199" s="189" t="e">
        <f t="shared" si="593"/>
        <v>#REF!</v>
      </c>
      <c r="O199" s="189" t="e">
        <f t="shared" si="593"/>
        <v>#REF!</v>
      </c>
      <c r="P199" s="189" t="e">
        <f t="shared" si="593"/>
        <v>#REF!</v>
      </c>
      <c r="Q199" s="189" t="e">
        <f t="shared" ref="Q199:AX199" si="594">SUM(Q201:Q210)</f>
        <v>#REF!</v>
      </c>
      <c r="R199" s="189" t="e">
        <f t="shared" si="594"/>
        <v>#REF!</v>
      </c>
      <c r="S199" s="189" t="e">
        <f t="shared" si="594"/>
        <v>#REF!</v>
      </c>
      <c r="T199" s="189" t="e">
        <f t="shared" si="594"/>
        <v>#REF!</v>
      </c>
      <c r="U199" s="189" t="e">
        <f t="shared" si="594"/>
        <v>#REF!</v>
      </c>
      <c r="V199" s="341" t="e">
        <f t="shared" ref="V199:AA199" si="595">SUM(V201:V210)</f>
        <v>#REF!</v>
      </c>
      <c r="W199" s="189" t="e">
        <f t="shared" si="595"/>
        <v>#REF!</v>
      </c>
      <c r="X199" s="189" t="e">
        <f t="shared" si="595"/>
        <v>#REF!</v>
      </c>
      <c r="Y199" s="189" t="e">
        <f t="shared" si="595"/>
        <v>#REF!</v>
      </c>
      <c r="Z199" s="189" t="e">
        <f t="shared" si="595"/>
        <v>#REF!</v>
      </c>
      <c r="AA199" s="189" t="e">
        <f t="shared" si="595"/>
        <v>#REF!</v>
      </c>
      <c r="AB199" s="189" t="e">
        <f t="shared" si="594"/>
        <v>#REF!</v>
      </c>
      <c r="AC199" s="341" t="e">
        <f t="shared" ref="AC199:AH199" si="596">SUM(AC201:AC210)</f>
        <v>#REF!</v>
      </c>
      <c r="AD199" s="189" t="e">
        <f t="shared" si="596"/>
        <v>#REF!</v>
      </c>
      <c r="AE199" s="189" t="e">
        <f t="shared" si="596"/>
        <v>#REF!</v>
      </c>
      <c r="AF199" s="189" t="e">
        <f t="shared" si="596"/>
        <v>#REF!</v>
      </c>
      <c r="AG199" s="189" t="e">
        <f t="shared" si="596"/>
        <v>#REF!</v>
      </c>
      <c r="AH199" s="189" t="e">
        <f t="shared" si="596"/>
        <v>#REF!</v>
      </c>
      <c r="AI199" s="189" t="e">
        <f t="shared" si="594"/>
        <v>#REF!</v>
      </c>
      <c r="AJ199" s="341" t="e">
        <f t="shared" ref="AJ199:AO199" si="597">SUM(AJ201:AJ210)</f>
        <v>#REF!</v>
      </c>
      <c r="AK199" s="189" t="e">
        <f t="shared" si="597"/>
        <v>#REF!</v>
      </c>
      <c r="AL199" s="189" t="e">
        <f t="shared" si="597"/>
        <v>#REF!</v>
      </c>
      <c r="AM199" s="189" t="e">
        <f t="shared" si="597"/>
        <v>#REF!</v>
      </c>
      <c r="AN199" s="189" t="e">
        <f t="shared" si="597"/>
        <v>#REF!</v>
      </c>
      <c r="AO199" s="189" t="e">
        <f t="shared" si="597"/>
        <v>#REF!</v>
      </c>
      <c r="AP199" s="189" t="e">
        <f t="shared" si="594"/>
        <v>#REF!</v>
      </c>
      <c r="AQ199" s="341" t="e">
        <f t="shared" ref="AQ199:AV199" si="598">SUM(AQ201:AQ210)</f>
        <v>#REF!</v>
      </c>
      <c r="AR199" s="189" t="e">
        <f t="shared" si="598"/>
        <v>#REF!</v>
      </c>
      <c r="AS199" s="189" t="e">
        <f t="shared" si="598"/>
        <v>#REF!</v>
      </c>
      <c r="AT199" s="189" t="e">
        <f t="shared" si="598"/>
        <v>#REF!</v>
      </c>
      <c r="AU199" s="189" t="e">
        <f t="shared" si="598"/>
        <v>#REF!</v>
      </c>
      <c r="AV199" s="189" t="e">
        <f t="shared" si="598"/>
        <v>#REF!</v>
      </c>
      <c r="AW199" s="189" t="e">
        <f t="shared" si="594"/>
        <v>#REF!</v>
      </c>
      <c r="AX199" s="341" t="e">
        <f t="shared" si="594"/>
        <v>#REF!</v>
      </c>
      <c r="AY199" s="189" t="e">
        <f t="shared" ref="AY199:AZ199" si="599">SUM(AY201:AY210)</f>
        <v>#REF!</v>
      </c>
      <c r="AZ199" s="189" t="e">
        <f t="shared" si="599"/>
        <v>#REF!</v>
      </c>
      <c r="BA199" s="189" t="e">
        <f t="shared" ref="BA199:BC199" si="600">SUM(BA201:BA210)</f>
        <v>#REF!</v>
      </c>
      <c r="BB199" s="189" t="e">
        <f t="shared" si="600"/>
        <v>#REF!</v>
      </c>
      <c r="BC199" s="189" t="e">
        <f t="shared" si="600"/>
        <v>#REF!</v>
      </c>
      <c r="BD199" s="384" t="e">
        <f t="shared" ref="BD199:BJ199" si="601">SUM(BD201:BD210)</f>
        <v>#REF!</v>
      </c>
      <c r="BE199" s="341" t="e">
        <f t="shared" si="601"/>
        <v>#REF!</v>
      </c>
      <c r="BF199" s="189" t="e">
        <f t="shared" si="601"/>
        <v>#REF!</v>
      </c>
      <c r="BG199" s="189" t="e">
        <f t="shared" si="601"/>
        <v>#REF!</v>
      </c>
      <c r="BH199" s="189" t="e">
        <f t="shared" si="601"/>
        <v>#REF!</v>
      </c>
      <c r="BI199" s="189" t="e">
        <f t="shared" si="601"/>
        <v>#REF!</v>
      </c>
      <c r="BJ199" s="189" t="e">
        <f t="shared" si="601"/>
        <v>#REF!</v>
      </c>
      <c r="BK199" s="384" t="e">
        <f t="shared" ref="BK199" si="602">SUM(BK201:BK210)</f>
        <v>#REF!</v>
      </c>
      <c r="BL199" s="93" t="e">
        <f t="shared" ref="BL199:BR199" si="603">BL200*BL5</f>
        <v>#REF!</v>
      </c>
      <c r="BM199" s="93" t="e">
        <f t="shared" si="603"/>
        <v>#REF!</v>
      </c>
      <c r="BN199" s="93" t="e">
        <f t="shared" si="603"/>
        <v>#REF!</v>
      </c>
      <c r="BO199" s="93" t="e">
        <f t="shared" si="603"/>
        <v>#REF!</v>
      </c>
      <c r="BP199" s="93" t="e">
        <f t="shared" si="603"/>
        <v>#REF!</v>
      </c>
      <c r="BQ199" s="93" t="e">
        <f t="shared" si="603"/>
        <v>#REF!</v>
      </c>
      <c r="BR199" s="93" t="e">
        <f t="shared" si="603"/>
        <v>#REF!</v>
      </c>
    </row>
    <row r="200" spans="1:91">
      <c r="B200" s="1" t="s">
        <v>281</v>
      </c>
      <c r="D200" s="2" t="e">
        <f t="shared" ref="D200:AX200" si="604">D199/D$5</f>
        <v>#REF!</v>
      </c>
      <c r="E200" s="2" t="e">
        <f t="shared" si="604"/>
        <v>#REF!</v>
      </c>
      <c r="F200" s="2" t="e">
        <f t="shared" si="604"/>
        <v>#REF!</v>
      </c>
      <c r="G200" s="2" t="e">
        <f t="shared" si="604"/>
        <v>#REF!</v>
      </c>
      <c r="H200" s="2" t="e">
        <f t="shared" si="604"/>
        <v>#REF!</v>
      </c>
      <c r="I200" s="2" t="e">
        <f t="shared" si="604"/>
        <v>#REF!</v>
      </c>
      <c r="J200" s="2" t="e">
        <f t="shared" si="604"/>
        <v>#REF!</v>
      </c>
      <c r="K200" s="2" t="e">
        <f t="shared" si="604"/>
        <v>#REF!</v>
      </c>
      <c r="L200" s="2" t="e">
        <f t="shared" si="604"/>
        <v>#REF!</v>
      </c>
      <c r="M200" s="2" t="e">
        <f t="shared" si="604"/>
        <v>#REF!</v>
      </c>
      <c r="N200" s="2" t="e">
        <f t="shared" si="604"/>
        <v>#REF!</v>
      </c>
      <c r="O200" s="2" t="e">
        <f t="shared" si="604"/>
        <v>#REF!</v>
      </c>
      <c r="P200" s="2" t="e">
        <f t="shared" si="604"/>
        <v>#REF!</v>
      </c>
      <c r="Q200" s="2" t="e">
        <f t="shared" si="604"/>
        <v>#REF!</v>
      </c>
      <c r="R200" s="2" t="e">
        <f t="shared" si="604"/>
        <v>#REF!</v>
      </c>
      <c r="S200" s="2" t="e">
        <f t="shared" si="604"/>
        <v>#REF!</v>
      </c>
      <c r="T200" s="2" t="e">
        <f t="shared" si="604"/>
        <v>#REF!</v>
      </c>
      <c r="U200" s="2" t="e">
        <f t="shared" si="604"/>
        <v>#REF!</v>
      </c>
      <c r="V200" s="343" t="e">
        <f t="shared" ref="V200:AA200" si="605">V199/V$5</f>
        <v>#REF!</v>
      </c>
      <c r="W200" s="2" t="e">
        <f t="shared" si="605"/>
        <v>#REF!</v>
      </c>
      <c r="X200" s="2" t="e">
        <f t="shared" si="605"/>
        <v>#REF!</v>
      </c>
      <c r="Y200" s="2" t="e">
        <f t="shared" si="605"/>
        <v>#REF!</v>
      </c>
      <c r="Z200" s="2" t="e">
        <f t="shared" si="605"/>
        <v>#REF!</v>
      </c>
      <c r="AA200" s="2" t="e">
        <f t="shared" si="605"/>
        <v>#REF!</v>
      </c>
      <c r="AB200" s="2" t="e">
        <f t="shared" si="604"/>
        <v>#REF!</v>
      </c>
      <c r="AC200" s="343" t="e">
        <f t="shared" ref="AC200:AH200" si="606">AC199/AC$5</f>
        <v>#REF!</v>
      </c>
      <c r="AD200" s="2" t="e">
        <f t="shared" si="606"/>
        <v>#REF!</v>
      </c>
      <c r="AE200" s="2" t="e">
        <f t="shared" si="606"/>
        <v>#REF!</v>
      </c>
      <c r="AF200" s="2" t="e">
        <f t="shared" si="606"/>
        <v>#REF!</v>
      </c>
      <c r="AG200" s="2" t="e">
        <f t="shared" si="606"/>
        <v>#REF!</v>
      </c>
      <c r="AH200" s="2" t="e">
        <f t="shared" si="606"/>
        <v>#REF!</v>
      </c>
      <c r="AI200" s="2" t="e">
        <f t="shared" si="604"/>
        <v>#REF!</v>
      </c>
      <c r="AJ200" s="343" t="e">
        <f t="shared" ref="AJ200:AO200" si="607">AJ199/AJ$5</f>
        <v>#REF!</v>
      </c>
      <c r="AK200" s="2" t="e">
        <f t="shared" si="607"/>
        <v>#REF!</v>
      </c>
      <c r="AL200" s="2" t="e">
        <f t="shared" si="607"/>
        <v>#REF!</v>
      </c>
      <c r="AM200" s="2" t="e">
        <f t="shared" si="607"/>
        <v>#REF!</v>
      </c>
      <c r="AN200" s="2" t="e">
        <f t="shared" si="607"/>
        <v>#REF!</v>
      </c>
      <c r="AO200" s="2" t="e">
        <f t="shared" si="607"/>
        <v>#REF!</v>
      </c>
      <c r="AP200" s="2" t="e">
        <f t="shared" si="604"/>
        <v>#REF!</v>
      </c>
      <c r="AQ200" s="343" t="e">
        <f t="shared" ref="AQ200:AV200" si="608">AQ199/AQ$5</f>
        <v>#REF!</v>
      </c>
      <c r="AR200" s="2" t="e">
        <f t="shared" si="608"/>
        <v>#REF!</v>
      </c>
      <c r="AS200" s="2" t="e">
        <f t="shared" si="608"/>
        <v>#REF!</v>
      </c>
      <c r="AT200" s="2" t="e">
        <f t="shared" si="608"/>
        <v>#REF!</v>
      </c>
      <c r="AU200" s="2" t="e">
        <f t="shared" si="608"/>
        <v>#REF!</v>
      </c>
      <c r="AV200" s="2" t="e">
        <f t="shared" si="608"/>
        <v>#REF!</v>
      </c>
      <c r="AW200" s="2" t="e">
        <f t="shared" si="604"/>
        <v>#REF!</v>
      </c>
      <c r="AX200" s="343" t="e">
        <f t="shared" si="604"/>
        <v>#REF!</v>
      </c>
      <c r="AY200" s="2" t="e">
        <f t="shared" ref="AY200:AZ200" si="609">AY199/AY$5</f>
        <v>#REF!</v>
      </c>
      <c r="AZ200" s="2" t="e">
        <f t="shared" si="609"/>
        <v>#REF!</v>
      </c>
      <c r="BA200" s="2" t="e">
        <f t="shared" ref="BA200:BC200" si="610">BA199/BA$5</f>
        <v>#REF!</v>
      </c>
      <c r="BB200" s="2" t="e">
        <f t="shared" si="610"/>
        <v>#REF!</v>
      </c>
      <c r="BC200" s="2" t="e">
        <f t="shared" si="610"/>
        <v>#REF!</v>
      </c>
      <c r="BD200" s="231" t="e">
        <f t="shared" ref="BD200:BJ200" si="611">BD199/BD$5</f>
        <v>#REF!</v>
      </c>
      <c r="BE200" s="343" t="e">
        <f t="shared" si="611"/>
        <v>#REF!</v>
      </c>
      <c r="BF200" s="2" t="e">
        <f t="shared" si="611"/>
        <v>#REF!</v>
      </c>
      <c r="BG200" s="2" t="e">
        <f t="shared" si="611"/>
        <v>#REF!</v>
      </c>
      <c r="BH200" s="2" t="e">
        <f t="shared" si="611"/>
        <v>#REF!</v>
      </c>
      <c r="BI200" s="2" t="e">
        <f t="shared" si="611"/>
        <v>#REF!</v>
      </c>
      <c r="BJ200" s="2" t="e">
        <f t="shared" si="611"/>
        <v>#REF!</v>
      </c>
      <c r="BK200" s="231" t="e">
        <f t="shared" ref="BK200" si="612">BK199/BK$5</f>
        <v>#REF!</v>
      </c>
      <c r="BL200" s="108" t="e">
        <f>BK200</f>
        <v>#REF!</v>
      </c>
      <c r="BM200" s="108" t="e">
        <f t="shared" ref="BM200:BR200" si="613">BL200</f>
        <v>#REF!</v>
      </c>
      <c r="BN200" s="108" t="e">
        <f t="shared" si="613"/>
        <v>#REF!</v>
      </c>
      <c r="BO200" s="108" t="e">
        <f t="shared" si="613"/>
        <v>#REF!</v>
      </c>
      <c r="BP200" s="108" t="e">
        <f t="shared" si="613"/>
        <v>#REF!</v>
      </c>
      <c r="BQ200" s="108" t="e">
        <f t="shared" si="613"/>
        <v>#REF!</v>
      </c>
      <c r="BR200" s="108" t="e">
        <f t="shared" si="613"/>
        <v>#REF!</v>
      </c>
    </row>
    <row r="201" spans="1:91" ht="14.1">
      <c r="A201" s="111" t="s">
        <v>238</v>
      </c>
      <c r="B201" s="147"/>
      <c r="D201" s="153" t="e">
        <f>INDEX(#REF!, MATCH($A201,#REF!, 0), MATCH(D$4,#REF!, 0))</f>
        <v>#REF!</v>
      </c>
      <c r="E201" s="153" t="e">
        <f>INDEX(#REF!, MATCH($A201,#REF!, 0), MATCH(E$4,#REF!, 0))</f>
        <v>#REF!</v>
      </c>
      <c r="F201" s="153" t="e">
        <f>INDEX(#REF!, MATCH($A201,#REF!, 0), MATCH(F$4,#REF!, 0))</f>
        <v>#REF!</v>
      </c>
      <c r="G201" s="153" t="e">
        <f>INDEX(#REF!, MATCH($A201,#REF!, 0), MATCH(G$4,#REF!, 0))</f>
        <v>#REF!</v>
      </c>
      <c r="H201" s="153" t="e">
        <f>INDEX(#REF!, MATCH($A201,#REF!, 0), MATCH(H$4,#REF!, 0))</f>
        <v>#REF!</v>
      </c>
      <c r="I201" s="153" t="e">
        <f>INDEX(#REF!, MATCH($A201,#REF!, 0), MATCH(I$4,#REF!, 0))</f>
        <v>#REF!</v>
      </c>
      <c r="J201" s="153" t="e">
        <f>INDEX(#REF!, MATCH($A201,#REF!, 0), MATCH(J$4,#REF!, 0))</f>
        <v>#REF!</v>
      </c>
      <c r="K201" s="153" t="e">
        <f>INDEX(#REF!, MATCH($A201,#REF!, 0), MATCH(K$4,#REF!, 0))</f>
        <v>#REF!</v>
      </c>
      <c r="L201" s="153" t="e">
        <f>INDEX(#REF!, MATCH($A201,#REF!, 0), MATCH(L$4,#REF!, 0))</f>
        <v>#REF!</v>
      </c>
      <c r="M201" s="153" t="e">
        <f>INDEX(#REF!, MATCH($A201,#REF!, 0), MATCH(M$4,#REF!, 0))</f>
        <v>#REF!</v>
      </c>
      <c r="N201" s="153" t="e">
        <f>INDEX(#REF!, MATCH($A201,#REF!, 0), MATCH(N$4,#REF!, 0))</f>
        <v>#REF!</v>
      </c>
      <c r="O201" s="153" t="e">
        <f>INDEX(#REF!, MATCH($A201,#REF!, 0), MATCH(O$4,#REF!, 0))</f>
        <v>#REF!</v>
      </c>
      <c r="P201" s="153" t="e">
        <f>INDEX(#REF!, MATCH($A201,#REF!, 0), MATCH(P$4,#REF!, 0))</f>
        <v>#REF!</v>
      </c>
      <c r="Q201" s="153" t="e">
        <f>INDEX(#REF!, MATCH($A201,#REF!, 0), MATCH(Q$4,#REF!, 0))</f>
        <v>#REF!</v>
      </c>
      <c r="R201" s="153" t="e">
        <f>INDEX(#REF!, MATCH($A201,#REF!, 0), MATCH(R$4,#REF!, 0))</f>
        <v>#REF!</v>
      </c>
      <c r="S201" s="153" t="e">
        <f>INDEX(#REF!, MATCH($A201,#REF!, 0), MATCH(S$4,#REF!, 0))</f>
        <v>#REF!</v>
      </c>
      <c r="T201" s="153" t="e">
        <f>INDEX(#REF!, MATCH($A201,#REF!, 0), MATCH(T$4,#REF!, 0))</f>
        <v>#REF!</v>
      </c>
      <c r="U201" s="153" t="e">
        <f>INDEX(#REF!, MATCH($A201,#REF!, 0), MATCH(U$4,#REF!, 0))</f>
        <v>#REF!</v>
      </c>
      <c r="V201" s="344" t="e">
        <f>INDEX(#REF!, MATCH($A201,#REF!, 0), MATCH(V$4,#REF!, 0))</f>
        <v>#REF!</v>
      </c>
      <c r="W201" s="153" t="e">
        <f>INDEX(#REF!, MATCH($A201,#REF!, 0), MATCH(W$4,#REF!, 0))</f>
        <v>#REF!</v>
      </c>
      <c r="X201" s="153" t="e">
        <f>INDEX(#REF!, MATCH($A201,#REF!, 0), MATCH(X$4,#REF!, 0))</f>
        <v>#REF!</v>
      </c>
      <c r="Y201" s="153" t="e">
        <f>INDEX(#REF!, MATCH($A201,#REF!, 0), MATCH(Y$4,#REF!, 0))</f>
        <v>#REF!</v>
      </c>
      <c r="Z201" s="153" t="e">
        <f>INDEX(#REF!, MATCH($A201,#REF!, 0), MATCH(Z$4,#REF!, 0))</f>
        <v>#REF!</v>
      </c>
      <c r="AA201" s="153" t="e">
        <f>INDEX(#REF!, MATCH($A201,#REF!, 0), MATCH(AA$4,#REF!, 0))</f>
        <v>#REF!</v>
      </c>
      <c r="AB201" s="153" t="e">
        <f>INDEX(#REF!, MATCH($A201,#REF!, 0), MATCH(AB$4,#REF!, 0))</f>
        <v>#REF!</v>
      </c>
      <c r="AC201" s="344" t="e">
        <f>INDEX(#REF!, MATCH($A201,#REF!, 0), MATCH(AC$4,#REF!, 0))</f>
        <v>#REF!</v>
      </c>
      <c r="AD201" s="153" t="e">
        <f>INDEX(#REF!, MATCH($A201,#REF!, 0), MATCH(AD$4,#REF!, 0))</f>
        <v>#REF!</v>
      </c>
      <c r="AE201" s="153" t="e">
        <f>INDEX(#REF!, MATCH($A201,#REF!, 0), MATCH(AE$4,#REF!, 0))</f>
        <v>#REF!</v>
      </c>
      <c r="AF201" s="153" t="e">
        <f>INDEX(#REF!, MATCH($A201,#REF!, 0), MATCH(AF$4,#REF!, 0))</f>
        <v>#REF!</v>
      </c>
      <c r="AG201" s="153" t="e">
        <f>INDEX(#REF!, MATCH($A201,#REF!, 0), MATCH(AG$4,#REF!, 0))</f>
        <v>#REF!</v>
      </c>
      <c r="AH201" s="153" t="e">
        <f>INDEX(#REF!, MATCH($A201,#REF!, 0), MATCH(AH$4,#REF!, 0))</f>
        <v>#REF!</v>
      </c>
      <c r="AI201" s="153" t="e">
        <f>INDEX(#REF!, MATCH($A201,#REF!, 0), MATCH(AI$4,#REF!, 0))</f>
        <v>#REF!</v>
      </c>
      <c r="AJ201" s="344" t="e">
        <f>INDEX(#REF!, MATCH($A201,#REF!, 0), MATCH(AJ$4,#REF!, 0))</f>
        <v>#REF!</v>
      </c>
      <c r="AK201" s="153" t="e">
        <f>INDEX(#REF!, MATCH($A201,#REF!, 0), MATCH(AK$4,#REF!, 0))</f>
        <v>#REF!</v>
      </c>
      <c r="AL201" s="153" t="e">
        <f>INDEX(#REF!, MATCH($A201,#REF!, 0), MATCH(AL$4,#REF!, 0))</f>
        <v>#REF!</v>
      </c>
      <c r="AM201" s="153" t="e">
        <f>INDEX(#REF!, MATCH($A201,#REF!, 0), MATCH(AM$4,#REF!, 0))</f>
        <v>#REF!</v>
      </c>
      <c r="AN201" s="153" t="e">
        <f>INDEX(#REF!, MATCH($A201,#REF!, 0), MATCH(AN$4,#REF!, 0))</f>
        <v>#REF!</v>
      </c>
      <c r="AO201" s="153" t="e">
        <f>INDEX(#REF!, MATCH($A201,#REF!, 0), MATCH(AO$4,#REF!, 0))</f>
        <v>#REF!</v>
      </c>
      <c r="AP201" s="153" t="e">
        <f>INDEX(#REF!, MATCH($A201,#REF!, 0), MATCH(AP$4,#REF!, 0))</f>
        <v>#REF!</v>
      </c>
      <c r="AQ201" s="344" t="e">
        <f>INDEX(#REF!, MATCH($A201,#REF!, 0), MATCH(AQ$4,#REF!, 0))</f>
        <v>#REF!</v>
      </c>
      <c r="AR201" s="153" t="e">
        <f>INDEX(#REF!, MATCH($A201,#REF!, 0), MATCH(AR$4,#REF!, 0))</f>
        <v>#REF!</v>
      </c>
      <c r="AS201" s="153" t="e">
        <f>INDEX(#REF!, MATCH($A201,#REF!, 0), MATCH(AS$4,#REF!, 0))</f>
        <v>#REF!</v>
      </c>
      <c r="AT201" s="153" t="e">
        <f>INDEX(#REF!, MATCH($A201,#REF!, 0), MATCH(AT$4,#REF!, 0))</f>
        <v>#REF!</v>
      </c>
      <c r="AU201" s="153" t="e">
        <f>INDEX(#REF!, MATCH($A201,#REF!, 0), MATCH(AU$4,#REF!, 0))</f>
        <v>#REF!</v>
      </c>
      <c r="AV201" s="153" t="e">
        <f>INDEX(#REF!, MATCH($A201,#REF!, 0), MATCH(AV$4,#REF!, 0))</f>
        <v>#REF!</v>
      </c>
      <c r="AW201" s="153" t="e">
        <f>INDEX(#REF!, MATCH($A201,#REF!, 0), MATCH(AW$4,#REF!, 0))</f>
        <v>#REF!</v>
      </c>
      <c r="AX201" s="344" t="e">
        <f>INDEX(#REF!, MATCH($A201,#REF!, 0), MATCH(AX$4,#REF!, 0))</f>
        <v>#REF!</v>
      </c>
      <c r="AY201" s="153" t="e">
        <f>INDEX(#REF!, MATCH($A201,#REF!, 0), MATCH(AY$4,#REF!, 0))</f>
        <v>#REF!</v>
      </c>
      <c r="AZ201" s="153" t="e">
        <f>INDEX(#REF!, MATCH($A201,#REF!, 0), MATCH(AZ$4,#REF!, 0))</f>
        <v>#REF!</v>
      </c>
      <c r="BA201" s="153" t="e">
        <f>INDEX(#REF!, MATCH($A201,#REF!, 0), MATCH(BA$4,#REF!, 0))</f>
        <v>#REF!</v>
      </c>
      <c r="BB201" s="153" t="e">
        <f>INDEX(#REF!, MATCH($A201,#REF!, 0), MATCH(BB$4,#REF!, 0))</f>
        <v>#REF!</v>
      </c>
      <c r="BC201" s="153" t="e">
        <f>INDEX(#REF!, MATCH($A201,#REF!, 0), MATCH(BC$4,#REF!, 0))</f>
        <v>#REF!</v>
      </c>
      <c r="BD201" s="386" t="e">
        <f>INDEX(#REF!, MATCH($A201,#REF!, 0), MATCH(BD$4,#REF!, 0))</f>
        <v>#REF!</v>
      </c>
      <c r="BE201" s="344" t="e">
        <f>INDEX(#REF!, MATCH($A201,#REF!, 0), MATCH(BE$4,#REF!, 0))</f>
        <v>#REF!</v>
      </c>
      <c r="BF201" s="153" t="e">
        <f>INDEX(#REF!, MATCH($A201,#REF!, 0), MATCH(BF$4,#REF!, 0))</f>
        <v>#REF!</v>
      </c>
      <c r="BG201" s="153" t="e">
        <f>INDEX(#REF!, MATCH($A201,#REF!, 0), MATCH(BG$4,#REF!, 0))</f>
        <v>#REF!</v>
      </c>
      <c r="BH201" s="153" t="e">
        <f>INDEX(#REF!, MATCH($A201,#REF!, 0), MATCH(BH$4,#REF!, 0))</f>
        <v>#REF!</v>
      </c>
      <c r="BI201" s="153" t="e">
        <f>INDEX(#REF!, MATCH($A201,#REF!, 0), MATCH(BI$4,#REF!, 0))</f>
        <v>#REF!</v>
      </c>
      <c r="BJ201" s="153" t="e">
        <f>INDEX(#REF!, MATCH($A201,#REF!, 0), MATCH(BJ$4,#REF!, 0))</f>
        <v>#REF!</v>
      </c>
      <c r="BK201" s="386" t="e">
        <f>INDEX(#REF!, MATCH($A201,#REF!, 0), MATCH(BK$4,#REF!, 0))</f>
        <v>#REF!</v>
      </c>
      <c r="BL201"/>
      <c r="BM201"/>
      <c r="BN201"/>
      <c r="BO201"/>
      <c r="BP201"/>
      <c r="BQ201"/>
      <c r="BR201"/>
    </row>
    <row r="202" spans="1:91" ht="14.1">
      <c r="A202" s="111" t="s">
        <v>239</v>
      </c>
      <c r="B202" s="147"/>
      <c r="D202" s="153" t="e">
        <f>INDEX(#REF!, MATCH($A202,#REF!, 0), MATCH(D$4,#REF!, 0))</f>
        <v>#REF!</v>
      </c>
      <c r="E202" s="153" t="e">
        <f>INDEX(#REF!, MATCH($A202,#REF!, 0), MATCH(E$4,#REF!, 0))</f>
        <v>#REF!</v>
      </c>
      <c r="F202" s="153" t="e">
        <f>INDEX(#REF!, MATCH($A202,#REF!, 0), MATCH(F$4,#REF!, 0))</f>
        <v>#REF!</v>
      </c>
      <c r="G202" s="153" t="e">
        <f>INDEX(#REF!, MATCH($A202,#REF!, 0), MATCH(G$4,#REF!, 0))</f>
        <v>#REF!</v>
      </c>
      <c r="H202" s="153" t="e">
        <f>INDEX(#REF!, MATCH($A202,#REF!, 0), MATCH(H$4,#REF!, 0))</f>
        <v>#REF!</v>
      </c>
      <c r="I202" s="153" t="e">
        <f>INDEX(#REF!, MATCH($A202,#REF!, 0), MATCH(I$4,#REF!, 0))</f>
        <v>#REF!</v>
      </c>
      <c r="J202" s="153" t="e">
        <f>INDEX(#REF!, MATCH($A202,#REF!, 0), MATCH(J$4,#REF!, 0))</f>
        <v>#REF!</v>
      </c>
      <c r="K202" s="153" t="e">
        <f>INDEX(#REF!, MATCH($A202,#REF!, 0), MATCH(K$4,#REF!, 0))</f>
        <v>#REF!</v>
      </c>
      <c r="L202" s="153" t="e">
        <f>INDEX(#REF!, MATCH($A202,#REF!, 0), MATCH(L$4,#REF!, 0))</f>
        <v>#REF!</v>
      </c>
      <c r="M202" s="153" t="e">
        <f>INDEX(#REF!, MATCH($A202,#REF!, 0), MATCH(M$4,#REF!, 0))</f>
        <v>#REF!</v>
      </c>
      <c r="N202" s="153" t="e">
        <f>INDEX(#REF!, MATCH($A202,#REF!, 0), MATCH(N$4,#REF!, 0))</f>
        <v>#REF!</v>
      </c>
      <c r="O202" s="153" t="e">
        <f>INDEX(#REF!, MATCH($A202,#REF!, 0), MATCH(O$4,#REF!, 0))</f>
        <v>#REF!</v>
      </c>
      <c r="P202" s="153" t="e">
        <f>INDEX(#REF!, MATCH($A202,#REF!, 0), MATCH(P$4,#REF!, 0))</f>
        <v>#REF!</v>
      </c>
      <c r="Q202" s="153" t="e">
        <f>INDEX(#REF!, MATCH($A202,#REF!, 0), MATCH(Q$4,#REF!, 0))</f>
        <v>#REF!</v>
      </c>
      <c r="R202" s="153" t="e">
        <f>INDEX(#REF!, MATCH($A202,#REF!, 0), MATCH(R$4,#REF!, 0))</f>
        <v>#REF!</v>
      </c>
      <c r="S202" s="153" t="e">
        <f>INDEX(#REF!, MATCH($A202,#REF!, 0), MATCH(S$4,#REF!, 0))</f>
        <v>#REF!</v>
      </c>
      <c r="T202" s="153" t="e">
        <f>INDEX(#REF!, MATCH($A202,#REF!, 0), MATCH(T$4,#REF!, 0))</f>
        <v>#REF!</v>
      </c>
      <c r="U202" s="153" t="e">
        <f>INDEX(#REF!, MATCH($A202,#REF!, 0), MATCH(U$4,#REF!, 0))</f>
        <v>#REF!</v>
      </c>
      <c r="V202" s="344" t="e">
        <f>INDEX(#REF!, MATCH($A202,#REF!, 0), MATCH(V$4,#REF!, 0))</f>
        <v>#REF!</v>
      </c>
      <c r="W202" s="153" t="e">
        <f>INDEX(#REF!, MATCH($A202,#REF!, 0), MATCH(W$4,#REF!, 0))</f>
        <v>#REF!</v>
      </c>
      <c r="X202" s="153" t="e">
        <f>INDEX(#REF!, MATCH($A202,#REF!, 0), MATCH(X$4,#REF!, 0))</f>
        <v>#REF!</v>
      </c>
      <c r="Y202" s="153" t="e">
        <f>INDEX(#REF!, MATCH($A202,#REF!, 0), MATCH(Y$4,#REF!, 0))</f>
        <v>#REF!</v>
      </c>
      <c r="Z202" s="153" t="e">
        <f>INDEX(#REF!, MATCH($A202,#REF!, 0), MATCH(Z$4,#REF!, 0))</f>
        <v>#REF!</v>
      </c>
      <c r="AA202" s="153" t="e">
        <f>INDEX(#REF!, MATCH($A202,#REF!, 0), MATCH(AA$4,#REF!, 0))</f>
        <v>#REF!</v>
      </c>
      <c r="AB202" s="153" t="e">
        <f>INDEX(#REF!, MATCH($A202,#REF!, 0), MATCH(AB$4,#REF!, 0))</f>
        <v>#REF!</v>
      </c>
      <c r="AC202" s="344" t="e">
        <f>INDEX(#REF!, MATCH($A202,#REF!, 0), MATCH(AC$4,#REF!, 0))</f>
        <v>#REF!</v>
      </c>
      <c r="AD202" s="153" t="e">
        <f>INDEX(#REF!, MATCH($A202,#REF!, 0), MATCH(AD$4,#REF!, 0))</f>
        <v>#REF!</v>
      </c>
      <c r="AE202" s="153" t="e">
        <f>INDEX(#REF!, MATCH($A202,#REF!, 0), MATCH(AE$4,#REF!, 0))</f>
        <v>#REF!</v>
      </c>
      <c r="AF202" s="153" t="e">
        <f>INDEX(#REF!, MATCH($A202,#REF!, 0), MATCH(AF$4,#REF!, 0))</f>
        <v>#REF!</v>
      </c>
      <c r="AG202" s="153" t="e">
        <f>INDEX(#REF!, MATCH($A202,#REF!, 0), MATCH(AG$4,#REF!, 0))</f>
        <v>#REF!</v>
      </c>
      <c r="AH202" s="153" t="e">
        <f>INDEX(#REF!, MATCH($A202,#REF!, 0), MATCH(AH$4,#REF!, 0))</f>
        <v>#REF!</v>
      </c>
      <c r="AI202" s="153" t="e">
        <f>INDEX(#REF!, MATCH($A202,#REF!, 0), MATCH(AI$4,#REF!, 0))</f>
        <v>#REF!</v>
      </c>
      <c r="AJ202" s="344" t="e">
        <f>INDEX(#REF!, MATCH($A202,#REF!, 0), MATCH(AJ$4,#REF!, 0))</f>
        <v>#REF!</v>
      </c>
      <c r="AK202" s="153" t="e">
        <f>INDEX(#REF!, MATCH($A202,#REF!, 0), MATCH(AK$4,#REF!, 0))</f>
        <v>#REF!</v>
      </c>
      <c r="AL202" s="153" t="e">
        <f>INDEX(#REF!, MATCH($A202,#REF!, 0), MATCH(AL$4,#REF!, 0))</f>
        <v>#REF!</v>
      </c>
      <c r="AM202" s="153" t="e">
        <f>INDEX(#REF!, MATCH($A202,#REF!, 0), MATCH(AM$4,#REF!, 0))</f>
        <v>#REF!</v>
      </c>
      <c r="AN202" s="153" t="e">
        <f>INDEX(#REF!, MATCH($A202,#REF!, 0), MATCH(AN$4,#REF!, 0))</f>
        <v>#REF!</v>
      </c>
      <c r="AO202" s="153" t="e">
        <f>INDEX(#REF!, MATCH($A202,#REF!, 0), MATCH(AO$4,#REF!, 0))</f>
        <v>#REF!</v>
      </c>
      <c r="AP202" s="153" t="e">
        <f>INDEX(#REF!, MATCH($A202,#REF!, 0), MATCH(AP$4,#REF!, 0))</f>
        <v>#REF!</v>
      </c>
      <c r="AQ202" s="344" t="e">
        <f>INDEX(#REF!, MATCH($A202,#REF!, 0), MATCH(AQ$4,#REF!, 0))</f>
        <v>#REF!</v>
      </c>
      <c r="AR202" s="153" t="e">
        <f>INDEX(#REF!, MATCH($A202,#REF!, 0), MATCH(AR$4,#REF!, 0))</f>
        <v>#REF!</v>
      </c>
      <c r="AS202" s="153" t="e">
        <f>INDEX(#REF!, MATCH($A202,#REF!, 0), MATCH(AS$4,#REF!, 0))</f>
        <v>#REF!</v>
      </c>
      <c r="AT202" s="153" t="e">
        <f>INDEX(#REF!, MATCH($A202,#REF!, 0), MATCH(AT$4,#REF!, 0))</f>
        <v>#REF!</v>
      </c>
      <c r="AU202" s="153" t="e">
        <f>INDEX(#REF!, MATCH($A202,#REF!, 0), MATCH(AU$4,#REF!, 0))</f>
        <v>#REF!</v>
      </c>
      <c r="AV202" s="153" t="e">
        <f>INDEX(#REF!, MATCH($A202,#REF!, 0), MATCH(AV$4,#REF!, 0))</f>
        <v>#REF!</v>
      </c>
      <c r="AW202" s="153" t="e">
        <f>INDEX(#REF!, MATCH($A202,#REF!, 0), MATCH(AW$4,#REF!, 0))</f>
        <v>#REF!</v>
      </c>
      <c r="AX202" s="344" t="e">
        <f>INDEX(#REF!, MATCH($A202,#REF!, 0), MATCH(AX$4,#REF!, 0))</f>
        <v>#REF!</v>
      </c>
      <c r="AY202" s="153" t="e">
        <f>INDEX(#REF!, MATCH($A202,#REF!, 0), MATCH(AY$4,#REF!, 0))</f>
        <v>#REF!</v>
      </c>
      <c r="AZ202" s="153" t="e">
        <f>INDEX(#REF!, MATCH($A202,#REF!, 0), MATCH(AZ$4,#REF!, 0))</f>
        <v>#REF!</v>
      </c>
      <c r="BA202" s="153" t="e">
        <f>INDEX(#REF!, MATCH($A202,#REF!, 0), MATCH(BA$4,#REF!, 0))</f>
        <v>#REF!</v>
      </c>
      <c r="BB202" s="153" t="e">
        <f>INDEX(#REF!, MATCH($A202,#REF!, 0), MATCH(BB$4,#REF!, 0))</f>
        <v>#REF!</v>
      </c>
      <c r="BC202" s="153" t="e">
        <f>INDEX(#REF!, MATCH($A202,#REF!, 0), MATCH(BC$4,#REF!, 0))</f>
        <v>#REF!</v>
      </c>
      <c r="BD202" s="386" t="e">
        <f>INDEX(#REF!, MATCH($A202,#REF!, 0), MATCH(BD$4,#REF!, 0))</f>
        <v>#REF!</v>
      </c>
      <c r="BE202" s="344" t="e">
        <f>INDEX(#REF!, MATCH($A202,#REF!, 0), MATCH(BE$4,#REF!, 0))</f>
        <v>#REF!</v>
      </c>
      <c r="BF202" s="153" t="e">
        <f>INDEX(#REF!, MATCH($A202,#REF!, 0), MATCH(BF$4,#REF!, 0))</f>
        <v>#REF!</v>
      </c>
      <c r="BG202" s="153" t="e">
        <f>INDEX(#REF!, MATCH($A202,#REF!, 0), MATCH(BG$4,#REF!, 0))</f>
        <v>#REF!</v>
      </c>
      <c r="BH202" s="153" t="e">
        <f>INDEX(#REF!, MATCH($A202,#REF!, 0), MATCH(BH$4,#REF!, 0))</f>
        <v>#REF!</v>
      </c>
      <c r="BI202" s="153" t="e">
        <f>INDEX(#REF!, MATCH($A202,#REF!, 0), MATCH(BI$4,#REF!, 0))</f>
        <v>#REF!</v>
      </c>
      <c r="BJ202" s="153" t="e">
        <f>INDEX(#REF!, MATCH($A202,#REF!, 0), MATCH(BJ$4,#REF!, 0))</f>
        <v>#REF!</v>
      </c>
      <c r="BK202" s="386" t="e">
        <f>INDEX(#REF!, MATCH($A202,#REF!, 0), MATCH(BK$4,#REF!, 0))</f>
        <v>#REF!</v>
      </c>
      <c r="BL202"/>
      <c r="BM202"/>
      <c r="BN202"/>
      <c r="BO202"/>
      <c r="BP202"/>
      <c r="BQ202"/>
      <c r="BR202"/>
    </row>
    <row r="203" spans="1:91" ht="14.1">
      <c r="A203" s="111" t="s">
        <v>181</v>
      </c>
      <c r="B203" s="147"/>
      <c r="D203" s="153" t="e">
        <f>INDEX(#REF!, MATCH($A203,#REF!, 0), MATCH(D$4,#REF!, 0))</f>
        <v>#REF!</v>
      </c>
      <c r="E203" s="153" t="e">
        <f>INDEX(#REF!, MATCH($A203,#REF!, 0), MATCH(E$4,#REF!, 0))</f>
        <v>#REF!</v>
      </c>
      <c r="F203" s="153" t="e">
        <f>INDEX(#REF!, MATCH($A203,#REF!, 0), MATCH(F$4,#REF!, 0))</f>
        <v>#REF!</v>
      </c>
      <c r="G203" s="153" t="e">
        <f>INDEX(#REF!, MATCH($A203,#REF!, 0), MATCH(G$4,#REF!, 0))</f>
        <v>#REF!</v>
      </c>
      <c r="H203" s="153" t="e">
        <f>INDEX(#REF!, MATCH($A203,#REF!, 0), MATCH(H$4,#REF!, 0))</f>
        <v>#REF!</v>
      </c>
      <c r="I203" s="153" t="e">
        <f>INDEX(#REF!, MATCH($A203,#REF!, 0), MATCH(I$4,#REF!, 0))</f>
        <v>#REF!</v>
      </c>
      <c r="J203" s="153" t="e">
        <f>INDEX(#REF!, MATCH($A203,#REF!, 0), MATCH(J$4,#REF!, 0))</f>
        <v>#REF!</v>
      </c>
      <c r="K203" s="153" t="e">
        <f>INDEX(#REF!, MATCH($A203,#REF!, 0), MATCH(K$4,#REF!, 0))</f>
        <v>#REF!</v>
      </c>
      <c r="L203" s="153" t="e">
        <f>INDEX(#REF!, MATCH($A203,#REF!, 0), MATCH(L$4,#REF!, 0))</f>
        <v>#REF!</v>
      </c>
      <c r="M203" s="153" t="e">
        <f>INDEX(#REF!, MATCH($A203,#REF!, 0), MATCH(M$4,#REF!, 0))</f>
        <v>#REF!</v>
      </c>
      <c r="N203" s="153" t="e">
        <f>INDEX(#REF!, MATCH($A203,#REF!, 0), MATCH(N$4,#REF!, 0))</f>
        <v>#REF!</v>
      </c>
      <c r="O203" s="153" t="e">
        <f>INDEX(#REF!, MATCH($A203,#REF!, 0), MATCH(O$4,#REF!, 0))</f>
        <v>#REF!</v>
      </c>
      <c r="P203" s="153" t="e">
        <f>INDEX(#REF!, MATCH($A203,#REF!, 0), MATCH(P$4,#REF!, 0))</f>
        <v>#REF!</v>
      </c>
      <c r="Q203" s="153" t="e">
        <f>INDEX(#REF!, MATCH($A203,#REF!, 0), MATCH(Q$4,#REF!, 0))</f>
        <v>#REF!</v>
      </c>
      <c r="R203" s="153" t="e">
        <f>INDEX(#REF!, MATCH($A203,#REF!, 0), MATCH(R$4,#REF!, 0))</f>
        <v>#REF!</v>
      </c>
      <c r="S203" s="153" t="e">
        <f>INDEX(#REF!, MATCH($A203,#REF!, 0), MATCH(S$4,#REF!, 0))</f>
        <v>#REF!</v>
      </c>
      <c r="T203" s="153" t="e">
        <f>INDEX(#REF!, MATCH($A203,#REF!, 0), MATCH(T$4,#REF!, 0))</f>
        <v>#REF!</v>
      </c>
      <c r="U203" s="153" t="e">
        <f>INDEX(#REF!, MATCH($A203,#REF!, 0), MATCH(U$4,#REF!, 0))</f>
        <v>#REF!</v>
      </c>
      <c r="V203" s="344" t="e">
        <f>INDEX(#REF!, MATCH($A203,#REF!, 0), MATCH(V$4,#REF!, 0))</f>
        <v>#REF!</v>
      </c>
      <c r="W203" s="153" t="e">
        <f>INDEX(#REF!, MATCH($A203,#REF!, 0), MATCH(W$4,#REF!, 0))</f>
        <v>#REF!</v>
      </c>
      <c r="X203" s="153" t="e">
        <f>INDEX(#REF!, MATCH($A203,#REF!, 0), MATCH(X$4,#REF!, 0))</f>
        <v>#REF!</v>
      </c>
      <c r="Y203" s="153" t="e">
        <f>INDEX(#REF!, MATCH($A203,#REF!, 0), MATCH(Y$4,#REF!, 0))</f>
        <v>#REF!</v>
      </c>
      <c r="Z203" s="153" t="e">
        <f>INDEX(#REF!, MATCH($A203,#REF!, 0), MATCH(Z$4,#REF!, 0))</f>
        <v>#REF!</v>
      </c>
      <c r="AA203" s="153" t="e">
        <f>INDEX(#REF!, MATCH($A203,#REF!, 0), MATCH(AA$4,#REF!, 0))</f>
        <v>#REF!</v>
      </c>
      <c r="AB203" s="153" t="e">
        <f>INDEX(#REF!, MATCH($A203,#REF!, 0), MATCH(AB$4,#REF!, 0))</f>
        <v>#REF!</v>
      </c>
      <c r="AC203" s="344" t="e">
        <f>INDEX(#REF!, MATCH($A203,#REF!, 0), MATCH(AC$4,#REF!, 0))</f>
        <v>#REF!</v>
      </c>
      <c r="AD203" s="153" t="e">
        <f>INDEX(#REF!, MATCH($A203,#REF!, 0), MATCH(AD$4,#REF!, 0))</f>
        <v>#REF!</v>
      </c>
      <c r="AE203" s="153" t="e">
        <f>INDEX(#REF!, MATCH($A203,#REF!, 0), MATCH(AE$4,#REF!, 0))</f>
        <v>#REF!</v>
      </c>
      <c r="AF203" s="153" t="e">
        <f>INDEX(#REF!, MATCH($A203,#REF!, 0), MATCH(AF$4,#REF!, 0))</f>
        <v>#REF!</v>
      </c>
      <c r="AG203" s="153" t="e">
        <f>INDEX(#REF!, MATCH($A203,#REF!, 0), MATCH(AG$4,#REF!, 0))</f>
        <v>#REF!</v>
      </c>
      <c r="AH203" s="153" t="e">
        <f>INDEX(#REF!, MATCH($A203,#REF!, 0), MATCH(AH$4,#REF!, 0))</f>
        <v>#REF!</v>
      </c>
      <c r="AI203" s="153" t="e">
        <f>INDEX(#REF!, MATCH($A203,#REF!, 0), MATCH(AI$4,#REF!, 0))</f>
        <v>#REF!</v>
      </c>
      <c r="AJ203" s="344" t="e">
        <f>INDEX(#REF!, MATCH($A203,#REF!, 0), MATCH(AJ$4,#REF!, 0))</f>
        <v>#REF!</v>
      </c>
      <c r="AK203" s="153" t="e">
        <f>INDEX(#REF!, MATCH($A203,#REF!, 0), MATCH(AK$4,#REF!, 0))</f>
        <v>#REF!</v>
      </c>
      <c r="AL203" s="153" t="e">
        <f>INDEX(#REF!, MATCH($A203,#REF!, 0), MATCH(AL$4,#REF!, 0))</f>
        <v>#REF!</v>
      </c>
      <c r="AM203" s="153" t="e">
        <f>INDEX(#REF!, MATCH($A203,#REF!, 0), MATCH(AM$4,#REF!, 0))</f>
        <v>#REF!</v>
      </c>
      <c r="AN203" s="153" t="e">
        <f>INDEX(#REF!, MATCH($A203,#REF!, 0), MATCH(AN$4,#REF!, 0))</f>
        <v>#REF!</v>
      </c>
      <c r="AO203" s="153" t="e">
        <f>INDEX(#REF!, MATCH($A203,#REF!, 0), MATCH(AO$4,#REF!, 0))</f>
        <v>#REF!</v>
      </c>
      <c r="AP203" s="153" t="e">
        <f>INDEX(#REF!, MATCH($A203,#REF!, 0), MATCH(AP$4,#REF!, 0))</f>
        <v>#REF!</v>
      </c>
      <c r="AQ203" s="344" t="e">
        <f>INDEX(#REF!, MATCH($A203,#REF!, 0), MATCH(AQ$4,#REF!, 0))</f>
        <v>#REF!</v>
      </c>
      <c r="AR203" s="153" t="e">
        <f>INDEX(#REF!, MATCH($A203,#REF!, 0), MATCH(AR$4,#REF!, 0))</f>
        <v>#REF!</v>
      </c>
      <c r="AS203" s="153" t="e">
        <f>INDEX(#REF!, MATCH($A203,#REF!, 0), MATCH(AS$4,#REF!, 0))</f>
        <v>#REF!</v>
      </c>
      <c r="AT203" s="153" t="e">
        <f>INDEX(#REF!, MATCH($A203,#REF!, 0), MATCH(AT$4,#REF!, 0))</f>
        <v>#REF!</v>
      </c>
      <c r="AU203" s="153" t="e">
        <f>INDEX(#REF!, MATCH($A203,#REF!, 0), MATCH(AU$4,#REF!, 0))</f>
        <v>#REF!</v>
      </c>
      <c r="AV203" s="153" t="e">
        <f>INDEX(#REF!, MATCH($A203,#REF!, 0), MATCH(AV$4,#REF!, 0))</f>
        <v>#REF!</v>
      </c>
      <c r="AW203" s="153" t="e">
        <f>INDEX(#REF!, MATCH($A203,#REF!, 0), MATCH(AW$4,#REF!, 0))</f>
        <v>#REF!</v>
      </c>
      <c r="AX203" s="344" t="e">
        <f>INDEX(#REF!, MATCH($A203,#REF!, 0), MATCH(AX$4,#REF!, 0))</f>
        <v>#REF!</v>
      </c>
      <c r="AY203" s="153" t="e">
        <f>INDEX(#REF!, MATCH($A203,#REF!, 0), MATCH(AY$4,#REF!, 0))</f>
        <v>#REF!</v>
      </c>
      <c r="AZ203" s="153" t="e">
        <f>INDEX(#REF!, MATCH($A203,#REF!, 0), MATCH(AZ$4,#REF!, 0))</f>
        <v>#REF!</v>
      </c>
      <c r="BA203" s="153" t="e">
        <f>INDEX(#REF!, MATCH($A203,#REF!, 0), MATCH(BA$4,#REF!, 0))</f>
        <v>#REF!</v>
      </c>
      <c r="BB203" s="153" t="e">
        <f>INDEX(#REF!, MATCH($A203,#REF!, 0), MATCH(BB$4,#REF!, 0))</f>
        <v>#REF!</v>
      </c>
      <c r="BC203" s="153" t="e">
        <f>INDEX(#REF!, MATCH($A203,#REF!, 0), MATCH(BC$4,#REF!, 0))</f>
        <v>#REF!</v>
      </c>
      <c r="BD203" s="386" t="e">
        <f>INDEX(#REF!, MATCH($A203,#REF!, 0), MATCH(BD$4,#REF!, 0))</f>
        <v>#REF!</v>
      </c>
      <c r="BE203" s="344" t="e">
        <f>INDEX(#REF!, MATCH($A203,#REF!, 0), MATCH(BE$4,#REF!, 0))</f>
        <v>#REF!</v>
      </c>
      <c r="BF203" s="153" t="e">
        <f>INDEX(#REF!, MATCH($A203,#REF!, 0), MATCH(BF$4,#REF!, 0))</f>
        <v>#REF!</v>
      </c>
      <c r="BG203" s="153" t="e">
        <f>INDEX(#REF!, MATCH($A203,#REF!, 0), MATCH(BG$4,#REF!, 0))</f>
        <v>#REF!</v>
      </c>
      <c r="BH203" s="153" t="e">
        <f>INDEX(#REF!, MATCH($A203,#REF!, 0), MATCH(BH$4,#REF!, 0))</f>
        <v>#REF!</v>
      </c>
      <c r="BI203" s="153" t="e">
        <f>INDEX(#REF!, MATCH($A203,#REF!, 0), MATCH(BI$4,#REF!, 0))</f>
        <v>#REF!</v>
      </c>
      <c r="BJ203" s="153" t="e">
        <f>INDEX(#REF!, MATCH($A203,#REF!, 0), MATCH(BJ$4,#REF!, 0))</f>
        <v>#REF!</v>
      </c>
      <c r="BK203" s="386" t="e">
        <f>INDEX(#REF!, MATCH($A203,#REF!, 0), MATCH(BK$4,#REF!, 0))</f>
        <v>#REF!</v>
      </c>
      <c r="BL203"/>
      <c r="BM203"/>
      <c r="BN203"/>
      <c r="BO203"/>
      <c r="BP203"/>
      <c r="BQ203"/>
      <c r="BR203"/>
    </row>
    <row r="204" spans="1:91" ht="14.1">
      <c r="A204" s="202" t="s">
        <v>254</v>
      </c>
      <c r="B204" s="147"/>
      <c r="D204" s="153" t="e">
        <f>INDEX(#REF!, MATCH($A204,#REF!, 0), MATCH(D$4,#REF!, 0))</f>
        <v>#REF!</v>
      </c>
      <c r="E204" s="153" t="e">
        <f>INDEX(#REF!, MATCH($A204,#REF!, 0), MATCH(E$4,#REF!, 0))</f>
        <v>#REF!</v>
      </c>
      <c r="F204" s="153" t="e">
        <f>INDEX(#REF!, MATCH($A204,#REF!, 0), MATCH(F$4,#REF!, 0))</f>
        <v>#REF!</v>
      </c>
      <c r="G204" s="153" t="e">
        <f>INDEX(#REF!, MATCH($A204,#REF!, 0), MATCH(G$4,#REF!, 0))</f>
        <v>#REF!</v>
      </c>
      <c r="H204" s="153" t="e">
        <f>INDEX(#REF!, MATCH($A204,#REF!, 0), MATCH(H$4,#REF!, 0))</f>
        <v>#REF!</v>
      </c>
      <c r="I204" s="153" t="e">
        <f>INDEX(#REF!, MATCH($A204,#REF!, 0), MATCH(I$4,#REF!, 0))</f>
        <v>#REF!</v>
      </c>
      <c r="J204" s="153" t="e">
        <f>INDEX(#REF!, MATCH($A204,#REF!, 0), MATCH(J$4,#REF!, 0))</f>
        <v>#REF!</v>
      </c>
      <c r="K204" s="153" t="e">
        <f>INDEX(#REF!, MATCH($A204,#REF!, 0), MATCH(K$4,#REF!, 0))</f>
        <v>#REF!</v>
      </c>
      <c r="L204" s="153" t="e">
        <f>INDEX(#REF!, MATCH($A204,#REF!, 0), MATCH(L$4,#REF!, 0))</f>
        <v>#REF!</v>
      </c>
      <c r="M204" s="153" t="e">
        <f>INDEX(#REF!, MATCH($A204,#REF!, 0), MATCH(M$4,#REF!, 0))</f>
        <v>#REF!</v>
      </c>
      <c r="N204" s="153" t="e">
        <f>INDEX(#REF!, MATCH($A204,#REF!, 0), MATCH(N$4,#REF!, 0))</f>
        <v>#REF!</v>
      </c>
      <c r="O204" s="153" t="e">
        <f>INDEX(#REF!, MATCH($A204,#REF!, 0), MATCH(O$4,#REF!, 0))</f>
        <v>#REF!</v>
      </c>
      <c r="P204" s="153" t="e">
        <f>INDEX(#REF!, MATCH($A204,#REF!, 0), MATCH(P$4,#REF!, 0))</f>
        <v>#REF!</v>
      </c>
      <c r="Q204" s="153" t="e">
        <f>INDEX(#REF!, MATCH($A204,#REF!, 0), MATCH(Q$4,#REF!, 0))</f>
        <v>#REF!</v>
      </c>
      <c r="R204" s="153" t="e">
        <f>INDEX(#REF!, MATCH($A204,#REF!, 0), MATCH(R$4,#REF!, 0))</f>
        <v>#REF!</v>
      </c>
      <c r="S204" s="153" t="e">
        <f>INDEX(#REF!, MATCH($A204,#REF!, 0), MATCH(S$4,#REF!, 0))</f>
        <v>#REF!</v>
      </c>
      <c r="T204" s="153" t="e">
        <f>INDEX(#REF!, MATCH($A204,#REF!, 0), MATCH(T$4,#REF!, 0))</f>
        <v>#REF!</v>
      </c>
      <c r="U204" s="153" t="e">
        <f>INDEX(#REF!, MATCH($A204,#REF!, 0), MATCH(U$4,#REF!, 0))</f>
        <v>#REF!</v>
      </c>
      <c r="V204" s="344" t="e">
        <f>INDEX(#REF!, MATCH($A204,#REF!, 0), MATCH(V$4,#REF!, 0))</f>
        <v>#REF!</v>
      </c>
      <c r="W204" s="153" t="e">
        <f>INDEX(#REF!, MATCH($A204,#REF!, 0), MATCH(W$4,#REF!, 0))</f>
        <v>#REF!</v>
      </c>
      <c r="X204" s="153" t="e">
        <f>INDEX(#REF!, MATCH($A204,#REF!, 0), MATCH(X$4,#REF!, 0))</f>
        <v>#REF!</v>
      </c>
      <c r="Y204" s="153" t="e">
        <f>INDEX(#REF!, MATCH($A204,#REF!, 0), MATCH(Y$4,#REF!, 0))</f>
        <v>#REF!</v>
      </c>
      <c r="Z204" s="153" t="e">
        <f>INDEX(#REF!, MATCH($A204,#REF!, 0), MATCH(Z$4,#REF!, 0))</f>
        <v>#REF!</v>
      </c>
      <c r="AA204" s="153" t="e">
        <f>INDEX(#REF!, MATCH($A204,#REF!, 0), MATCH(AA$4,#REF!, 0))</f>
        <v>#REF!</v>
      </c>
      <c r="AB204" s="153" t="e">
        <f>INDEX(#REF!, MATCH($A204,#REF!, 0), MATCH(AB$4,#REF!, 0))</f>
        <v>#REF!</v>
      </c>
      <c r="AC204" s="344" t="e">
        <f>INDEX(#REF!, MATCH($A204,#REF!, 0), MATCH(AC$4,#REF!, 0))</f>
        <v>#REF!</v>
      </c>
      <c r="AD204" s="153" t="e">
        <f>INDEX(#REF!, MATCH($A204,#REF!, 0), MATCH(AD$4,#REF!, 0))</f>
        <v>#REF!</v>
      </c>
      <c r="AE204" s="153" t="e">
        <f>INDEX(#REF!, MATCH($A204,#REF!, 0), MATCH(AE$4,#REF!, 0))</f>
        <v>#REF!</v>
      </c>
      <c r="AF204" s="153" t="e">
        <f>INDEX(#REF!, MATCH($A204,#REF!, 0), MATCH(AF$4,#REF!, 0))</f>
        <v>#REF!</v>
      </c>
      <c r="AG204" s="153" t="e">
        <f>INDEX(#REF!, MATCH($A204,#REF!, 0), MATCH(AG$4,#REF!, 0))</f>
        <v>#REF!</v>
      </c>
      <c r="AH204" s="153" t="e">
        <f>INDEX(#REF!, MATCH($A204,#REF!, 0), MATCH(AH$4,#REF!, 0))</f>
        <v>#REF!</v>
      </c>
      <c r="AI204" s="153" t="e">
        <f>INDEX(#REF!, MATCH($A204,#REF!, 0), MATCH(AI$4,#REF!, 0))</f>
        <v>#REF!</v>
      </c>
      <c r="AJ204" s="344" t="e">
        <f>INDEX(#REF!, MATCH($A204,#REF!, 0), MATCH(AJ$4,#REF!, 0))</f>
        <v>#REF!</v>
      </c>
      <c r="AK204" s="153" t="e">
        <f>INDEX(#REF!, MATCH($A204,#REF!, 0), MATCH(AK$4,#REF!, 0))</f>
        <v>#REF!</v>
      </c>
      <c r="AL204" s="153" t="e">
        <f>INDEX(#REF!, MATCH($A204,#REF!, 0), MATCH(AL$4,#REF!, 0))</f>
        <v>#REF!</v>
      </c>
      <c r="AM204" s="153" t="e">
        <f>INDEX(#REF!, MATCH($A204,#REF!, 0), MATCH(AM$4,#REF!, 0))</f>
        <v>#REF!</v>
      </c>
      <c r="AN204" s="153" t="e">
        <f>INDEX(#REF!, MATCH($A204,#REF!, 0), MATCH(AN$4,#REF!, 0))</f>
        <v>#REF!</v>
      </c>
      <c r="AO204" s="153" t="e">
        <f>INDEX(#REF!, MATCH($A204,#REF!, 0), MATCH(AO$4,#REF!, 0))</f>
        <v>#REF!</v>
      </c>
      <c r="AP204" s="153" t="e">
        <f>INDEX(#REF!, MATCH($A204,#REF!, 0), MATCH(AP$4,#REF!, 0))</f>
        <v>#REF!</v>
      </c>
      <c r="AQ204" s="344" t="e">
        <f>INDEX(#REF!, MATCH($A204,#REF!, 0), MATCH(AQ$4,#REF!, 0))</f>
        <v>#REF!</v>
      </c>
      <c r="AR204" s="153" t="e">
        <f>INDEX(#REF!, MATCH($A204,#REF!, 0), MATCH(AR$4,#REF!, 0))</f>
        <v>#REF!</v>
      </c>
      <c r="AS204" s="153" t="e">
        <f>INDEX(#REF!, MATCH($A204,#REF!, 0), MATCH(AS$4,#REF!, 0))</f>
        <v>#REF!</v>
      </c>
      <c r="AT204" s="153" t="e">
        <f>INDEX(#REF!, MATCH($A204,#REF!, 0), MATCH(AT$4,#REF!, 0))</f>
        <v>#REF!</v>
      </c>
      <c r="AU204" s="153" t="e">
        <f>INDEX(#REF!, MATCH($A204,#REF!, 0), MATCH(AU$4,#REF!, 0))</f>
        <v>#REF!</v>
      </c>
      <c r="AV204" s="153" t="e">
        <f>INDEX(#REF!, MATCH($A204,#REF!, 0), MATCH(AV$4,#REF!, 0))</f>
        <v>#REF!</v>
      </c>
      <c r="AW204" s="153" t="e">
        <f>INDEX(#REF!, MATCH($A204,#REF!, 0), MATCH(AW$4,#REF!, 0))</f>
        <v>#REF!</v>
      </c>
      <c r="AX204" s="344" t="e">
        <f>INDEX(#REF!, MATCH($A204,#REF!, 0), MATCH(AX$4,#REF!, 0))</f>
        <v>#REF!</v>
      </c>
      <c r="AY204" s="153" t="e">
        <f>INDEX(#REF!, MATCH($A204,#REF!, 0), MATCH(AY$4,#REF!, 0))</f>
        <v>#REF!</v>
      </c>
      <c r="AZ204" s="153" t="e">
        <f>INDEX(#REF!, MATCH($A204,#REF!, 0), MATCH(AZ$4,#REF!, 0))</f>
        <v>#REF!</v>
      </c>
      <c r="BA204" s="153" t="e">
        <f>INDEX(#REF!, MATCH($A204,#REF!, 0), MATCH(BA$4,#REF!, 0))</f>
        <v>#REF!</v>
      </c>
      <c r="BB204" s="153" t="e">
        <f>INDEX(#REF!, MATCH($A204,#REF!, 0), MATCH(BB$4,#REF!, 0))</f>
        <v>#REF!</v>
      </c>
      <c r="BC204" s="153" t="e">
        <f>INDEX(#REF!, MATCH($A204,#REF!, 0), MATCH(BC$4,#REF!, 0))</f>
        <v>#REF!</v>
      </c>
      <c r="BD204" s="386" t="e">
        <f>INDEX(#REF!, MATCH($A204,#REF!, 0), MATCH(BD$4,#REF!, 0))</f>
        <v>#REF!</v>
      </c>
      <c r="BE204" s="344" t="e">
        <f>INDEX(#REF!, MATCH($A204,#REF!, 0), MATCH(BE$4,#REF!, 0))</f>
        <v>#REF!</v>
      </c>
      <c r="BF204" s="153" t="e">
        <f>INDEX(#REF!, MATCH($A204,#REF!, 0), MATCH(BF$4,#REF!, 0))</f>
        <v>#REF!</v>
      </c>
      <c r="BG204" s="153" t="e">
        <f>INDEX(#REF!, MATCH($A204,#REF!, 0), MATCH(BG$4,#REF!, 0))</f>
        <v>#REF!</v>
      </c>
      <c r="BH204" s="153" t="e">
        <f>INDEX(#REF!, MATCH($A204,#REF!, 0), MATCH(BH$4,#REF!, 0))</f>
        <v>#REF!</v>
      </c>
      <c r="BI204" s="153" t="e">
        <f>INDEX(#REF!, MATCH($A204,#REF!, 0), MATCH(BI$4,#REF!, 0))</f>
        <v>#REF!</v>
      </c>
      <c r="BJ204" s="153" t="e">
        <f>INDEX(#REF!, MATCH($A204,#REF!, 0), MATCH(BJ$4,#REF!, 0))</f>
        <v>#REF!</v>
      </c>
      <c r="BK204" s="386" t="e">
        <f>INDEX(#REF!, MATCH($A204,#REF!, 0), MATCH(BK$4,#REF!, 0))</f>
        <v>#REF!</v>
      </c>
      <c r="BL204"/>
      <c r="BM204"/>
      <c r="BN204"/>
      <c r="BO204"/>
      <c r="BP204"/>
      <c r="BQ204"/>
      <c r="BR204"/>
    </row>
    <row r="205" spans="1:91" ht="14.1">
      <c r="A205" s="111" t="s">
        <v>182</v>
      </c>
      <c r="B205" s="147"/>
      <c r="D205" s="153" t="e">
        <f>INDEX(#REF!, MATCH($A205,#REF!, 0), MATCH(D$4,#REF!, 0))</f>
        <v>#REF!</v>
      </c>
      <c r="E205" s="153" t="e">
        <f>INDEX(#REF!, MATCH($A205,#REF!, 0), MATCH(E$4,#REF!, 0))</f>
        <v>#REF!</v>
      </c>
      <c r="F205" s="153" t="e">
        <f>INDEX(#REF!, MATCH($A205,#REF!, 0), MATCH(F$4,#REF!, 0))</f>
        <v>#REF!</v>
      </c>
      <c r="G205" s="153" t="e">
        <f>INDEX(#REF!, MATCH($A205,#REF!, 0), MATCH(G$4,#REF!, 0))</f>
        <v>#REF!</v>
      </c>
      <c r="H205" s="153" t="e">
        <f>INDEX(#REF!, MATCH($A205,#REF!, 0), MATCH(H$4,#REF!, 0))</f>
        <v>#REF!</v>
      </c>
      <c r="I205" s="153" t="e">
        <f>INDEX(#REF!, MATCH($A205,#REF!, 0), MATCH(I$4,#REF!, 0))</f>
        <v>#REF!</v>
      </c>
      <c r="J205" s="153" t="e">
        <f>INDEX(#REF!, MATCH($A205,#REF!, 0), MATCH(J$4,#REF!, 0))</f>
        <v>#REF!</v>
      </c>
      <c r="K205" s="153" t="e">
        <f>INDEX(#REF!, MATCH($A205,#REF!, 0), MATCH(K$4,#REF!, 0))</f>
        <v>#REF!</v>
      </c>
      <c r="L205" s="153" t="e">
        <f>INDEX(#REF!, MATCH($A205,#REF!, 0), MATCH(L$4,#REF!, 0))</f>
        <v>#REF!</v>
      </c>
      <c r="M205" s="153" t="e">
        <f>INDEX(#REF!, MATCH($A205,#REF!, 0), MATCH(M$4,#REF!, 0))</f>
        <v>#REF!</v>
      </c>
      <c r="N205" s="153" t="e">
        <f>INDEX(#REF!, MATCH($A205,#REF!, 0), MATCH(N$4,#REF!, 0))</f>
        <v>#REF!</v>
      </c>
      <c r="O205" s="153" t="e">
        <f>INDEX(#REF!, MATCH($A205,#REF!, 0), MATCH(O$4,#REF!, 0))</f>
        <v>#REF!</v>
      </c>
      <c r="P205" s="153" t="e">
        <f>INDEX(#REF!, MATCH($A205,#REF!, 0), MATCH(P$4,#REF!, 0))</f>
        <v>#REF!</v>
      </c>
      <c r="Q205" s="153" t="e">
        <f>INDEX(#REF!, MATCH($A205,#REF!, 0), MATCH(Q$4,#REF!, 0))</f>
        <v>#REF!</v>
      </c>
      <c r="R205" s="153" t="e">
        <f>INDEX(#REF!, MATCH($A205,#REF!, 0), MATCH(R$4,#REF!, 0))</f>
        <v>#REF!</v>
      </c>
      <c r="S205" s="153" t="e">
        <f>INDEX(#REF!, MATCH($A205,#REF!, 0), MATCH(S$4,#REF!, 0))</f>
        <v>#REF!</v>
      </c>
      <c r="T205" s="153" t="e">
        <f>INDEX(#REF!, MATCH($A205,#REF!, 0), MATCH(T$4,#REF!, 0))</f>
        <v>#REF!</v>
      </c>
      <c r="U205" s="153" t="e">
        <f>INDEX(#REF!, MATCH($A205,#REF!, 0), MATCH(U$4,#REF!, 0))</f>
        <v>#REF!</v>
      </c>
      <c r="V205" s="344" t="e">
        <f>INDEX(#REF!, MATCH($A205,#REF!, 0), MATCH(V$4,#REF!, 0))</f>
        <v>#REF!</v>
      </c>
      <c r="W205" s="153" t="e">
        <f>INDEX(#REF!, MATCH($A205,#REF!, 0), MATCH(W$4,#REF!, 0))</f>
        <v>#REF!</v>
      </c>
      <c r="X205" s="153" t="e">
        <f>INDEX(#REF!, MATCH($A205,#REF!, 0), MATCH(X$4,#REF!, 0))</f>
        <v>#REF!</v>
      </c>
      <c r="Y205" s="153" t="e">
        <f>INDEX(#REF!, MATCH($A205,#REF!, 0), MATCH(Y$4,#REF!, 0))</f>
        <v>#REF!</v>
      </c>
      <c r="Z205" s="153" t="e">
        <f>INDEX(#REF!, MATCH($A205,#REF!, 0), MATCH(Z$4,#REF!, 0))</f>
        <v>#REF!</v>
      </c>
      <c r="AA205" s="153" t="e">
        <f>INDEX(#REF!, MATCH($A205,#REF!, 0), MATCH(AA$4,#REF!, 0))</f>
        <v>#REF!</v>
      </c>
      <c r="AB205" s="153" t="e">
        <f>INDEX(#REF!, MATCH($A205,#REF!, 0), MATCH(AB$4,#REF!, 0))</f>
        <v>#REF!</v>
      </c>
      <c r="AC205" s="344" t="e">
        <f>INDEX(#REF!, MATCH($A205,#REF!, 0), MATCH(AC$4,#REF!, 0))</f>
        <v>#REF!</v>
      </c>
      <c r="AD205" s="153" t="e">
        <f>INDEX(#REF!, MATCH($A205,#REF!, 0), MATCH(AD$4,#REF!, 0))</f>
        <v>#REF!</v>
      </c>
      <c r="AE205" s="153" t="e">
        <f>INDEX(#REF!, MATCH($A205,#REF!, 0), MATCH(AE$4,#REF!, 0))</f>
        <v>#REF!</v>
      </c>
      <c r="AF205" s="153" t="e">
        <f>INDEX(#REF!, MATCH($A205,#REF!, 0), MATCH(AF$4,#REF!, 0))</f>
        <v>#REF!</v>
      </c>
      <c r="AG205" s="153" t="e">
        <f>INDEX(#REF!, MATCH($A205,#REF!, 0), MATCH(AG$4,#REF!, 0))</f>
        <v>#REF!</v>
      </c>
      <c r="AH205" s="153" t="e">
        <f>INDEX(#REF!, MATCH($A205,#REF!, 0), MATCH(AH$4,#REF!, 0))</f>
        <v>#REF!</v>
      </c>
      <c r="AI205" s="153" t="e">
        <f>INDEX(#REF!, MATCH($A205,#REF!, 0), MATCH(AI$4,#REF!, 0))</f>
        <v>#REF!</v>
      </c>
      <c r="AJ205" s="344" t="e">
        <f>INDEX(#REF!, MATCH($A205,#REF!, 0), MATCH(AJ$4,#REF!, 0))</f>
        <v>#REF!</v>
      </c>
      <c r="AK205" s="153" t="e">
        <f>INDEX(#REF!, MATCH($A205,#REF!, 0), MATCH(AK$4,#REF!, 0))</f>
        <v>#REF!</v>
      </c>
      <c r="AL205" s="153" t="e">
        <f>INDEX(#REF!, MATCH($A205,#REF!, 0), MATCH(AL$4,#REF!, 0))</f>
        <v>#REF!</v>
      </c>
      <c r="AM205" s="153" t="e">
        <f>INDEX(#REF!, MATCH($A205,#REF!, 0), MATCH(AM$4,#REF!, 0))</f>
        <v>#REF!</v>
      </c>
      <c r="AN205" s="153" t="e">
        <f>INDEX(#REF!, MATCH($A205,#REF!, 0), MATCH(AN$4,#REF!, 0))</f>
        <v>#REF!</v>
      </c>
      <c r="AO205" s="153" t="e">
        <f>INDEX(#REF!, MATCH($A205,#REF!, 0), MATCH(AO$4,#REF!, 0))</f>
        <v>#REF!</v>
      </c>
      <c r="AP205" s="153" t="e">
        <f>INDEX(#REF!, MATCH($A205,#REF!, 0), MATCH(AP$4,#REF!, 0))</f>
        <v>#REF!</v>
      </c>
      <c r="AQ205" s="344" t="e">
        <f>INDEX(#REF!, MATCH($A205,#REF!, 0), MATCH(AQ$4,#REF!, 0))</f>
        <v>#REF!</v>
      </c>
      <c r="AR205" s="153" t="e">
        <f>INDEX(#REF!, MATCH($A205,#REF!, 0), MATCH(AR$4,#REF!, 0))</f>
        <v>#REF!</v>
      </c>
      <c r="AS205" s="153" t="e">
        <f>INDEX(#REF!, MATCH($A205,#REF!, 0), MATCH(AS$4,#REF!, 0))</f>
        <v>#REF!</v>
      </c>
      <c r="AT205" s="153" t="e">
        <f>INDEX(#REF!, MATCH($A205,#REF!, 0), MATCH(AT$4,#REF!, 0))</f>
        <v>#REF!</v>
      </c>
      <c r="AU205" s="153" t="e">
        <f>INDEX(#REF!, MATCH($A205,#REF!, 0), MATCH(AU$4,#REF!, 0))</f>
        <v>#REF!</v>
      </c>
      <c r="AV205" s="153" t="e">
        <f>INDEX(#REF!, MATCH($A205,#REF!, 0), MATCH(AV$4,#REF!, 0))</f>
        <v>#REF!</v>
      </c>
      <c r="AW205" s="153" t="e">
        <f>INDEX(#REF!, MATCH($A205,#REF!, 0), MATCH(AW$4,#REF!, 0))</f>
        <v>#REF!</v>
      </c>
      <c r="AX205" s="344" t="e">
        <f>INDEX(#REF!, MATCH($A205,#REF!, 0), MATCH(AX$4,#REF!, 0))</f>
        <v>#REF!</v>
      </c>
      <c r="AY205" s="153" t="e">
        <f>INDEX(#REF!, MATCH($A205,#REF!, 0), MATCH(AY$4,#REF!, 0))</f>
        <v>#REF!</v>
      </c>
      <c r="AZ205" s="153" t="e">
        <f>INDEX(#REF!, MATCH($A205,#REF!, 0), MATCH(AZ$4,#REF!, 0))</f>
        <v>#REF!</v>
      </c>
      <c r="BA205" s="153" t="e">
        <f>INDEX(#REF!, MATCH($A205,#REF!, 0), MATCH(BA$4,#REF!, 0))</f>
        <v>#REF!</v>
      </c>
      <c r="BB205" s="153" t="e">
        <f>INDEX(#REF!, MATCH($A205,#REF!, 0), MATCH(BB$4,#REF!, 0))</f>
        <v>#REF!</v>
      </c>
      <c r="BC205" s="153" t="e">
        <f>INDEX(#REF!, MATCH($A205,#REF!, 0), MATCH(BC$4,#REF!, 0))</f>
        <v>#REF!</v>
      </c>
      <c r="BD205" s="386" t="e">
        <f>INDEX(#REF!, MATCH($A205,#REF!, 0), MATCH(BD$4,#REF!, 0))</f>
        <v>#REF!</v>
      </c>
      <c r="BE205" s="344" t="e">
        <f>INDEX(#REF!, MATCH($A205,#REF!, 0), MATCH(BE$4,#REF!, 0))</f>
        <v>#REF!</v>
      </c>
      <c r="BF205" s="153" t="e">
        <f>INDEX(#REF!, MATCH($A205,#REF!, 0), MATCH(BF$4,#REF!, 0))</f>
        <v>#REF!</v>
      </c>
      <c r="BG205" s="153" t="e">
        <f>INDEX(#REF!, MATCH($A205,#REF!, 0), MATCH(BG$4,#REF!, 0))</f>
        <v>#REF!</v>
      </c>
      <c r="BH205" s="153" t="e">
        <f>INDEX(#REF!, MATCH($A205,#REF!, 0), MATCH(BH$4,#REF!, 0))</f>
        <v>#REF!</v>
      </c>
      <c r="BI205" s="153" t="e">
        <f>INDEX(#REF!, MATCH($A205,#REF!, 0), MATCH(BI$4,#REF!, 0))</f>
        <v>#REF!</v>
      </c>
      <c r="BJ205" s="153" t="e">
        <f>INDEX(#REF!, MATCH($A205,#REF!, 0), MATCH(BJ$4,#REF!, 0))</f>
        <v>#REF!</v>
      </c>
      <c r="BK205" s="386" t="e">
        <f>INDEX(#REF!, MATCH($A205,#REF!, 0), MATCH(BK$4,#REF!, 0))</f>
        <v>#REF!</v>
      </c>
      <c r="BL205"/>
      <c r="BM205"/>
      <c r="BN205"/>
      <c r="BO205"/>
      <c r="BP205"/>
      <c r="BQ205"/>
      <c r="BR205"/>
    </row>
    <row r="206" spans="1:91" ht="14.1">
      <c r="A206" s="111" t="s">
        <v>183</v>
      </c>
      <c r="B206" s="147"/>
      <c r="D206" s="153" t="e">
        <f>INDEX(#REF!, MATCH($A206,#REF!, 0), MATCH(D$4,#REF!, 0))</f>
        <v>#REF!</v>
      </c>
      <c r="E206" s="153" t="e">
        <f>INDEX(#REF!, MATCH($A206,#REF!, 0), MATCH(E$4,#REF!, 0))</f>
        <v>#REF!</v>
      </c>
      <c r="F206" s="153" t="e">
        <f>INDEX(#REF!, MATCH($A206,#REF!, 0), MATCH(F$4,#REF!, 0))</f>
        <v>#REF!</v>
      </c>
      <c r="G206" s="153" t="e">
        <f>INDEX(#REF!, MATCH($A206,#REF!, 0), MATCH(G$4,#REF!, 0))</f>
        <v>#REF!</v>
      </c>
      <c r="H206" s="153" t="e">
        <f>INDEX(#REF!, MATCH($A206,#REF!, 0), MATCH(H$4,#REF!, 0))</f>
        <v>#REF!</v>
      </c>
      <c r="I206" s="153" t="e">
        <f>INDEX(#REF!, MATCH($A206,#REF!, 0), MATCH(I$4,#REF!, 0))</f>
        <v>#REF!</v>
      </c>
      <c r="J206" s="153" t="e">
        <f>INDEX(#REF!, MATCH($A206,#REF!, 0), MATCH(J$4,#REF!, 0))</f>
        <v>#REF!</v>
      </c>
      <c r="K206" s="153" t="e">
        <f>INDEX(#REF!, MATCH($A206,#REF!, 0), MATCH(K$4,#REF!, 0))</f>
        <v>#REF!</v>
      </c>
      <c r="L206" s="153" t="e">
        <f>INDEX(#REF!, MATCH($A206,#REF!, 0), MATCH(L$4,#REF!, 0))</f>
        <v>#REF!</v>
      </c>
      <c r="M206" s="153" t="e">
        <f>INDEX(#REF!, MATCH($A206,#REF!, 0), MATCH(M$4,#REF!, 0))</f>
        <v>#REF!</v>
      </c>
      <c r="N206" s="153" t="e">
        <f>INDEX(#REF!, MATCH($A206,#REF!, 0), MATCH(N$4,#REF!, 0))</f>
        <v>#REF!</v>
      </c>
      <c r="O206" s="153" t="e">
        <f>INDEX(#REF!, MATCH($A206,#REF!, 0), MATCH(O$4,#REF!, 0))</f>
        <v>#REF!</v>
      </c>
      <c r="P206" s="153" t="e">
        <f>INDEX(#REF!, MATCH($A206,#REF!, 0), MATCH(P$4,#REF!, 0))</f>
        <v>#REF!</v>
      </c>
      <c r="Q206" s="153" t="e">
        <f>INDEX(#REF!, MATCH($A206,#REF!, 0), MATCH(Q$4,#REF!, 0))</f>
        <v>#REF!</v>
      </c>
      <c r="R206" s="153" t="e">
        <f>INDEX(#REF!, MATCH($A206,#REF!, 0), MATCH(R$4,#REF!, 0))</f>
        <v>#REF!</v>
      </c>
      <c r="S206" s="153" t="e">
        <f>INDEX(#REF!, MATCH($A206,#REF!, 0), MATCH(S$4,#REF!, 0))</f>
        <v>#REF!</v>
      </c>
      <c r="T206" s="153" t="e">
        <f>INDEX(#REF!, MATCH($A206,#REF!, 0), MATCH(T$4,#REF!, 0))</f>
        <v>#REF!</v>
      </c>
      <c r="U206" s="153" t="e">
        <f>INDEX(#REF!, MATCH($A206,#REF!, 0), MATCH(U$4,#REF!, 0))</f>
        <v>#REF!</v>
      </c>
      <c r="V206" s="344" t="e">
        <f>INDEX(#REF!, MATCH($A206,#REF!, 0), MATCH(V$4,#REF!, 0))</f>
        <v>#REF!</v>
      </c>
      <c r="W206" s="153" t="e">
        <f>INDEX(#REF!, MATCH($A206,#REF!, 0), MATCH(W$4,#REF!, 0))</f>
        <v>#REF!</v>
      </c>
      <c r="X206" s="153" t="e">
        <f>INDEX(#REF!, MATCH($A206,#REF!, 0), MATCH(X$4,#REF!, 0))</f>
        <v>#REF!</v>
      </c>
      <c r="Y206" s="153" t="e">
        <f>INDEX(#REF!, MATCH($A206,#REF!, 0), MATCH(Y$4,#REF!, 0))</f>
        <v>#REF!</v>
      </c>
      <c r="Z206" s="153" t="e">
        <f>INDEX(#REF!, MATCH($A206,#REF!, 0), MATCH(Z$4,#REF!, 0))</f>
        <v>#REF!</v>
      </c>
      <c r="AA206" s="153" t="e">
        <f>INDEX(#REF!, MATCH($A206,#REF!, 0), MATCH(AA$4,#REF!, 0))</f>
        <v>#REF!</v>
      </c>
      <c r="AB206" s="153" t="e">
        <f>INDEX(#REF!, MATCH($A206,#REF!, 0), MATCH(AB$4,#REF!, 0))</f>
        <v>#REF!</v>
      </c>
      <c r="AC206" s="344" t="e">
        <f>INDEX(#REF!, MATCH($A206,#REF!, 0), MATCH(AC$4,#REF!, 0))</f>
        <v>#REF!</v>
      </c>
      <c r="AD206" s="153" t="e">
        <f>INDEX(#REF!, MATCH($A206,#REF!, 0), MATCH(AD$4,#REF!, 0))</f>
        <v>#REF!</v>
      </c>
      <c r="AE206" s="153" t="e">
        <f>INDEX(#REF!, MATCH($A206,#REF!, 0), MATCH(AE$4,#REF!, 0))</f>
        <v>#REF!</v>
      </c>
      <c r="AF206" s="153" t="e">
        <f>INDEX(#REF!, MATCH($A206,#REF!, 0), MATCH(AF$4,#REF!, 0))</f>
        <v>#REF!</v>
      </c>
      <c r="AG206" s="153" t="e">
        <f>INDEX(#REF!, MATCH($A206,#REF!, 0), MATCH(AG$4,#REF!, 0))</f>
        <v>#REF!</v>
      </c>
      <c r="AH206" s="153" t="e">
        <f>INDEX(#REF!, MATCH($A206,#REF!, 0), MATCH(AH$4,#REF!, 0))</f>
        <v>#REF!</v>
      </c>
      <c r="AI206" s="153" t="e">
        <f>INDEX(#REF!, MATCH($A206,#REF!, 0), MATCH(AI$4,#REF!, 0))</f>
        <v>#REF!</v>
      </c>
      <c r="AJ206" s="344" t="e">
        <f>INDEX(#REF!, MATCH($A206,#REF!, 0), MATCH(AJ$4,#REF!, 0))</f>
        <v>#REF!</v>
      </c>
      <c r="AK206" s="153" t="e">
        <f>INDEX(#REF!, MATCH($A206,#REF!, 0), MATCH(AK$4,#REF!, 0))</f>
        <v>#REF!</v>
      </c>
      <c r="AL206" s="153" t="e">
        <f>INDEX(#REF!, MATCH($A206,#REF!, 0), MATCH(AL$4,#REF!, 0))</f>
        <v>#REF!</v>
      </c>
      <c r="AM206" s="153" t="e">
        <f>INDEX(#REF!, MATCH($A206,#REF!, 0), MATCH(AM$4,#REF!, 0))</f>
        <v>#REF!</v>
      </c>
      <c r="AN206" s="153" t="e">
        <f>INDEX(#REF!, MATCH($A206,#REF!, 0), MATCH(AN$4,#REF!, 0))</f>
        <v>#REF!</v>
      </c>
      <c r="AO206" s="153" t="e">
        <f>INDEX(#REF!, MATCH($A206,#REF!, 0), MATCH(AO$4,#REF!, 0))</f>
        <v>#REF!</v>
      </c>
      <c r="AP206" s="153" t="e">
        <f>INDEX(#REF!, MATCH($A206,#REF!, 0), MATCH(AP$4,#REF!, 0))</f>
        <v>#REF!</v>
      </c>
      <c r="AQ206" s="344" t="e">
        <f>INDEX(#REF!, MATCH($A206,#REF!, 0), MATCH(AQ$4,#REF!, 0))</f>
        <v>#REF!</v>
      </c>
      <c r="AR206" s="153" t="e">
        <f>INDEX(#REF!, MATCH($A206,#REF!, 0), MATCH(AR$4,#REF!, 0))</f>
        <v>#REF!</v>
      </c>
      <c r="AS206" s="153" t="e">
        <f>INDEX(#REF!, MATCH($A206,#REF!, 0), MATCH(AS$4,#REF!, 0))</f>
        <v>#REF!</v>
      </c>
      <c r="AT206" s="153" t="e">
        <f>INDEX(#REF!, MATCH($A206,#REF!, 0), MATCH(AT$4,#REF!, 0))</f>
        <v>#REF!</v>
      </c>
      <c r="AU206" s="153" t="e">
        <f>INDEX(#REF!, MATCH($A206,#REF!, 0), MATCH(AU$4,#REF!, 0))</f>
        <v>#REF!</v>
      </c>
      <c r="AV206" s="153" t="e">
        <f>INDEX(#REF!, MATCH($A206,#REF!, 0), MATCH(AV$4,#REF!, 0))</f>
        <v>#REF!</v>
      </c>
      <c r="AW206" s="153" t="e">
        <f>INDEX(#REF!, MATCH($A206,#REF!, 0), MATCH(AW$4,#REF!, 0))</f>
        <v>#REF!</v>
      </c>
      <c r="AX206" s="344" t="e">
        <f>INDEX(#REF!, MATCH($A206,#REF!, 0), MATCH(AX$4,#REF!, 0))</f>
        <v>#REF!</v>
      </c>
      <c r="AY206" s="153" t="e">
        <f>INDEX(#REF!, MATCH($A206,#REF!, 0), MATCH(AY$4,#REF!, 0))</f>
        <v>#REF!</v>
      </c>
      <c r="AZ206" s="153" t="e">
        <f>INDEX(#REF!, MATCH($A206,#REF!, 0), MATCH(AZ$4,#REF!, 0))</f>
        <v>#REF!</v>
      </c>
      <c r="BA206" s="153" t="e">
        <f>INDEX(#REF!, MATCH($A206,#REF!, 0), MATCH(BA$4,#REF!, 0))</f>
        <v>#REF!</v>
      </c>
      <c r="BB206" s="153" t="e">
        <f>INDEX(#REF!, MATCH($A206,#REF!, 0), MATCH(BB$4,#REF!, 0))</f>
        <v>#REF!</v>
      </c>
      <c r="BC206" s="153" t="e">
        <f>INDEX(#REF!, MATCH($A206,#REF!, 0), MATCH(BC$4,#REF!, 0))</f>
        <v>#REF!</v>
      </c>
      <c r="BD206" s="386" t="e">
        <f>INDEX(#REF!, MATCH($A206,#REF!, 0), MATCH(BD$4,#REF!, 0))</f>
        <v>#REF!</v>
      </c>
      <c r="BE206" s="344" t="e">
        <f>INDEX(#REF!, MATCH($A206,#REF!, 0), MATCH(BE$4,#REF!, 0))</f>
        <v>#REF!</v>
      </c>
      <c r="BF206" s="153" t="e">
        <f>INDEX(#REF!, MATCH($A206,#REF!, 0), MATCH(BF$4,#REF!, 0))</f>
        <v>#REF!</v>
      </c>
      <c r="BG206" s="153" t="e">
        <f>INDEX(#REF!, MATCH($A206,#REF!, 0), MATCH(BG$4,#REF!, 0))</f>
        <v>#REF!</v>
      </c>
      <c r="BH206" s="153" t="e">
        <f>INDEX(#REF!, MATCH($A206,#REF!, 0), MATCH(BH$4,#REF!, 0))</f>
        <v>#REF!</v>
      </c>
      <c r="BI206" s="153" t="e">
        <f>INDEX(#REF!, MATCH($A206,#REF!, 0), MATCH(BI$4,#REF!, 0))</f>
        <v>#REF!</v>
      </c>
      <c r="BJ206" s="153" t="e">
        <f>INDEX(#REF!, MATCH($A206,#REF!, 0), MATCH(BJ$4,#REF!, 0))</f>
        <v>#REF!</v>
      </c>
      <c r="BK206" s="386" t="e">
        <f>INDEX(#REF!, MATCH($A206,#REF!, 0), MATCH(BK$4,#REF!, 0))</f>
        <v>#REF!</v>
      </c>
      <c r="BL206"/>
      <c r="BM206"/>
      <c r="BN206"/>
      <c r="BO206"/>
      <c r="BP206"/>
      <c r="BQ206"/>
      <c r="BR206"/>
    </row>
    <row r="207" spans="1:91" ht="14.1">
      <c r="A207" s="111" t="s">
        <v>184</v>
      </c>
      <c r="B207" s="147"/>
      <c r="D207" s="153" t="e">
        <f>INDEX(#REF!, MATCH($A207,#REF!, 0), MATCH(D$4,#REF!, 0))</f>
        <v>#REF!</v>
      </c>
      <c r="E207" s="153" t="e">
        <f>INDEX(#REF!, MATCH($A207,#REF!, 0), MATCH(E$4,#REF!, 0))</f>
        <v>#REF!</v>
      </c>
      <c r="F207" s="153" t="e">
        <f>INDEX(#REF!, MATCH($A207,#REF!, 0), MATCH(F$4,#REF!, 0))</f>
        <v>#REF!</v>
      </c>
      <c r="G207" s="153" t="e">
        <f>INDEX(#REF!, MATCH($A207,#REF!, 0), MATCH(G$4,#REF!, 0))</f>
        <v>#REF!</v>
      </c>
      <c r="H207" s="153" t="e">
        <f>INDEX(#REF!, MATCH($A207,#REF!, 0), MATCH(H$4,#REF!, 0))</f>
        <v>#REF!</v>
      </c>
      <c r="I207" s="153" t="e">
        <f>INDEX(#REF!, MATCH($A207,#REF!, 0), MATCH(I$4,#REF!, 0))</f>
        <v>#REF!</v>
      </c>
      <c r="J207" s="153" t="e">
        <f>INDEX(#REF!, MATCH($A207,#REF!, 0), MATCH(J$4,#REF!, 0))</f>
        <v>#REF!</v>
      </c>
      <c r="K207" s="153" t="e">
        <f>INDEX(#REF!, MATCH($A207,#REF!, 0), MATCH(K$4,#REF!, 0))</f>
        <v>#REF!</v>
      </c>
      <c r="L207" s="153" t="e">
        <f>INDEX(#REF!, MATCH($A207,#REF!, 0), MATCH(L$4,#REF!, 0))</f>
        <v>#REF!</v>
      </c>
      <c r="M207" s="153" t="e">
        <f>INDEX(#REF!, MATCH($A207,#REF!, 0), MATCH(M$4,#REF!, 0))</f>
        <v>#REF!</v>
      </c>
      <c r="N207" s="153" t="e">
        <f>INDEX(#REF!, MATCH($A207,#REF!, 0), MATCH(N$4,#REF!, 0))</f>
        <v>#REF!</v>
      </c>
      <c r="O207" s="153" t="e">
        <f>INDEX(#REF!, MATCH($A207,#REF!, 0), MATCH(O$4,#REF!, 0))</f>
        <v>#REF!</v>
      </c>
      <c r="P207" s="153" t="e">
        <f>INDEX(#REF!, MATCH($A207,#REF!, 0), MATCH(P$4,#REF!, 0))</f>
        <v>#REF!</v>
      </c>
      <c r="Q207" s="153" t="e">
        <f>INDEX(#REF!, MATCH($A207,#REF!, 0), MATCH(Q$4,#REF!, 0))</f>
        <v>#REF!</v>
      </c>
      <c r="R207" s="153" t="e">
        <f>INDEX(#REF!, MATCH($A207,#REF!, 0), MATCH(R$4,#REF!, 0))</f>
        <v>#REF!</v>
      </c>
      <c r="S207" s="153" t="e">
        <f>INDEX(#REF!, MATCH($A207,#REF!, 0), MATCH(S$4,#REF!, 0))</f>
        <v>#REF!</v>
      </c>
      <c r="T207" s="153" t="e">
        <f>INDEX(#REF!, MATCH($A207,#REF!, 0), MATCH(T$4,#REF!, 0))</f>
        <v>#REF!</v>
      </c>
      <c r="U207" s="153" t="e">
        <f>INDEX(#REF!, MATCH($A207,#REF!, 0), MATCH(U$4,#REF!, 0))</f>
        <v>#REF!</v>
      </c>
      <c r="V207" s="344" t="e">
        <f>INDEX(#REF!, MATCH($A207,#REF!, 0), MATCH(V$4,#REF!, 0))</f>
        <v>#REF!</v>
      </c>
      <c r="W207" s="153" t="e">
        <f>INDEX(#REF!, MATCH($A207,#REF!, 0), MATCH(W$4,#REF!, 0))</f>
        <v>#REF!</v>
      </c>
      <c r="X207" s="153" t="e">
        <f>INDEX(#REF!, MATCH($A207,#REF!, 0), MATCH(X$4,#REF!, 0))</f>
        <v>#REF!</v>
      </c>
      <c r="Y207" s="153" t="e">
        <f>INDEX(#REF!, MATCH($A207,#REF!, 0), MATCH(Y$4,#REF!, 0))</f>
        <v>#REF!</v>
      </c>
      <c r="Z207" s="153" t="e">
        <f>INDEX(#REF!, MATCH($A207,#REF!, 0), MATCH(Z$4,#REF!, 0))</f>
        <v>#REF!</v>
      </c>
      <c r="AA207" s="153" t="e">
        <f>INDEX(#REF!, MATCH($A207,#REF!, 0), MATCH(AA$4,#REF!, 0))</f>
        <v>#REF!</v>
      </c>
      <c r="AB207" s="153" t="e">
        <f>INDEX(#REF!, MATCH($A207,#REF!, 0), MATCH(AB$4,#REF!, 0))</f>
        <v>#REF!</v>
      </c>
      <c r="AC207" s="344" t="e">
        <f>INDEX(#REF!, MATCH($A207,#REF!, 0), MATCH(AC$4,#REF!, 0))</f>
        <v>#REF!</v>
      </c>
      <c r="AD207" s="153" t="e">
        <f>INDEX(#REF!, MATCH($A207,#REF!, 0), MATCH(AD$4,#REF!, 0))</f>
        <v>#REF!</v>
      </c>
      <c r="AE207" s="153" t="e">
        <f>INDEX(#REF!, MATCH($A207,#REF!, 0), MATCH(AE$4,#REF!, 0))</f>
        <v>#REF!</v>
      </c>
      <c r="AF207" s="153" t="e">
        <f>INDEX(#REF!, MATCH($A207,#REF!, 0), MATCH(AF$4,#REF!, 0))</f>
        <v>#REF!</v>
      </c>
      <c r="AG207" s="153" t="e">
        <f>INDEX(#REF!, MATCH($A207,#REF!, 0), MATCH(AG$4,#REF!, 0))</f>
        <v>#REF!</v>
      </c>
      <c r="AH207" s="153" t="e">
        <f>INDEX(#REF!, MATCH($A207,#REF!, 0), MATCH(AH$4,#REF!, 0))</f>
        <v>#REF!</v>
      </c>
      <c r="AI207" s="153" t="e">
        <f>INDEX(#REF!, MATCH($A207,#REF!, 0), MATCH(AI$4,#REF!, 0))</f>
        <v>#REF!</v>
      </c>
      <c r="AJ207" s="344" t="e">
        <f>INDEX(#REF!, MATCH($A207,#REF!, 0), MATCH(AJ$4,#REF!, 0))</f>
        <v>#REF!</v>
      </c>
      <c r="AK207" s="153" t="e">
        <f>INDEX(#REF!, MATCH($A207,#REF!, 0), MATCH(AK$4,#REF!, 0))</f>
        <v>#REF!</v>
      </c>
      <c r="AL207" s="153" t="e">
        <f>INDEX(#REF!, MATCH($A207,#REF!, 0), MATCH(AL$4,#REF!, 0))</f>
        <v>#REF!</v>
      </c>
      <c r="AM207" s="153" t="e">
        <f>INDEX(#REF!, MATCH($A207,#REF!, 0), MATCH(AM$4,#REF!, 0))</f>
        <v>#REF!</v>
      </c>
      <c r="AN207" s="153" t="e">
        <f>INDEX(#REF!, MATCH($A207,#REF!, 0), MATCH(AN$4,#REF!, 0))</f>
        <v>#REF!</v>
      </c>
      <c r="AO207" s="153" t="e">
        <f>INDEX(#REF!, MATCH($A207,#REF!, 0), MATCH(AO$4,#REF!, 0))</f>
        <v>#REF!</v>
      </c>
      <c r="AP207" s="153" t="e">
        <f>INDEX(#REF!, MATCH($A207,#REF!, 0), MATCH(AP$4,#REF!, 0))</f>
        <v>#REF!</v>
      </c>
      <c r="AQ207" s="344" t="e">
        <f>INDEX(#REF!, MATCH($A207,#REF!, 0), MATCH(AQ$4,#REF!, 0))</f>
        <v>#REF!</v>
      </c>
      <c r="AR207" s="153" t="e">
        <f>INDEX(#REF!, MATCH($A207,#REF!, 0), MATCH(AR$4,#REF!, 0))</f>
        <v>#REF!</v>
      </c>
      <c r="AS207" s="153" t="e">
        <f>INDEX(#REF!, MATCH($A207,#REF!, 0), MATCH(AS$4,#REF!, 0))</f>
        <v>#REF!</v>
      </c>
      <c r="AT207" s="153" t="e">
        <f>INDEX(#REF!, MATCH($A207,#REF!, 0), MATCH(AT$4,#REF!, 0))</f>
        <v>#REF!</v>
      </c>
      <c r="AU207" s="153" t="e">
        <f>INDEX(#REF!, MATCH($A207,#REF!, 0), MATCH(AU$4,#REF!, 0))</f>
        <v>#REF!</v>
      </c>
      <c r="AV207" s="153" t="e">
        <f>INDEX(#REF!, MATCH($A207,#REF!, 0), MATCH(AV$4,#REF!, 0))</f>
        <v>#REF!</v>
      </c>
      <c r="AW207" s="153" t="e">
        <f>INDEX(#REF!, MATCH($A207,#REF!, 0), MATCH(AW$4,#REF!, 0))</f>
        <v>#REF!</v>
      </c>
      <c r="AX207" s="344" t="e">
        <f>INDEX(#REF!, MATCH($A207,#REF!, 0), MATCH(AX$4,#REF!, 0))</f>
        <v>#REF!</v>
      </c>
      <c r="AY207" s="153" t="e">
        <f>INDEX(#REF!, MATCH($A207,#REF!, 0), MATCH(AY$4,#REF!, 0))</f>
        <v>#REF!</v>
      </c>
      <c r="AZ207" s="153" t="e">
        <f>INDEX(#REF!, MATCH($A207,#REF!, 0), MATCH(AZ$4,#REF!, 0))</f>
        <v>#REF!</v>
      </c>
      <c r="BA207" s="153" t="e">
        <f>INDEX(#REF!, MATCH($A207,#REF!, 0), MATCH(BA$4,#REF!, 0))</f>
        <v>#REF!</v>
      </c>
      <c r="BB207" s="153" t="e">
        <f>INDEX(#REF!, MATCH($A207,#REF!, 0), MATCH(BB$4,#REF!, 0))</f>
        <v>#REF!</v>
      </c>
      <c r="BC207" s="153" t="e">
        <f>INDEX(#REF!, MATCH($A207,#REF!, 0), MATCH(BC$4,#REF!, 0))</f>
        <v>#REF!</v>
      </c>
      <c r="BD207" s="386" t="e">
        <f>INDEX(#REF!, MATCH($A207,#REF!, 0), MATCH(BD$4,#REF!, 0))</f>
        <v>#REF!</v>
      </c>
      <c r="BE207" s="344" t="e">
        <f>INDEX(#REF!, MATCH($A207,#REF!, 0), MATCH(BE$4,#REF!, 0))</f>
        <v>#REF!</v>
      </c>
      <c r="BF207" s="153" t="e">
        <f>INDEX(#REF!, MATCH($A207,#REF!, 0), MATCH(BF$4,#REF!, 0))</f>
        <v>#REF!</v>
      </c>
      <c r="BG207" s="153" t="e">
        <f>INDEX(#REF!, MATCH($A207,#REF!, 0), MATCH(BG$4,#REF!, 0))</f>
        <v>#REF!</v>
      </c>
      <c r="BH207" s="153" t="e">
        <f>INDEX(#REF!, MATCH($A207,#REF!, 0), MATCH(BH$4,#REF!, 0))</f>
        <v>#REF!</v>
      </c>
      <c r="BI207" s="153" t="e">
        <f>INDEX(#REF!, MATCH($A207,#REF!, 0), MATCH(BI$4,#REF!, 0))</f>
        <v>#REF!</v>
      </c>
      <c r="BJ207" s="153" t="e">
        <f>INDEX(#REF!, MATCH($A207,#REF!, 0), MATCH(BJ$4,#REF!, 0))</f>
        <v>#REF!</v>
      </c>
      <c r="BK207" s="386" t="e">
        <f>INDEX(#REF!, MATCH($A207,#REF!, 0), MATCH(BK$4,#REF!, 0))</f>
        <v>#REF!</v>
      </c>
      <c r="BL207"/>
      <c r="BM207"/>
      <c r="BN207"/>
      <c r="BO207"/>
      <c r="BP207"/>
      <c r="BQ207"/>
      <c r="BR207"/>
    </row>
    <row r="208" spans="1:91" ht="14.1">
      <c r="A208" s="111" t="s">
        <v>340</v>
      </c>
      <c r="B208" s="147"/>
      <c r="D208" s="153" t="e">
        <f>INDEX(#REF!, MATCH($A208,#REF!, 0), MATCH(D$4,#REF!, 0))</f>
        <v>#REF!</v>
      </c>
      <c r="E208" s="153" t="e">
        <f>INDEX(#REF!, MATCH($A208,#REF!, 0), MATCH(E$4,#REF!, 0))</f>
        <v>#REF!</v>
      </c>
      <c r="F208" s="153" t="e">
        <f>INDEX(#REF!, MATCH($A208,#REF!, 0), MATCH(F$4,#REF!, 0))</f>
        <v>#REF!</v>
      </c>
      <c r="G208" s="153" t="e">
        <f>INDEX(#REF!, MATCH($A208,#REF!, 0), MATCH(G$4,#REF!, 0))</f>
        <v>#REF!</v>
      </c>
      <c r="H208" s="153" t="e">
        <f>INDEX(#REF!, MATCH($A208,#REF!, 0), MATCH(H$4,#REF!, 0))</f>
        <v>#REF!</v>
      </c>
      <c r="I208" s="153" t="e">
        <f>INDEX(#REF!, MATCH($A208,#REF!, 0), MATCH(I$4,#REF!, 0))</f>
        <v>#REF!</v>
      </c>
      <c r="J208" s="153" t="e">
        <f>INDEX(#REF!, MATCH($A208,#REF!, 0), MATCH(J$4,#REF!, 0))</f>
        <v>#REF!</v>
      </c>
      <c r="K208" s="153" t="e">
        <f>INDEX(#REF!, MATCH($A208,#REF!, 0), MATCH(K$4,#REF!, 0))</f>
        <v>#REF!</v>
      </c>
      <c r="L208" s="153" t="e">
        <f>INDEX(#REF!, MATCH($A208,#REF!, 0), MATCH(L$4,#REF!, 0))</f>
        <v>#REF!</v>
      </c>
      <c r="M208" s="153" t="e">
        <f>INDEX(#REF!, MATCH($A208,#REF!, 0), MATCH(M$4,#REF!, 0))</f>
        <v>#REF!</v>
      </c>
      <c r="N208" s="153" t="e">
        <f>INDEX(#REF!, MATCH($A208,#REF!, 0), MATCH(N$4,#REF!, 0))</f>
        <v>#REF!</v>
      </c>
      <c r="O208" s="153" t="e">
        <f>INDEX(#REF!, MATCH($A208,#REF!, 0), MATCH(O$4,#REF!, 0))</f>
        <v>#REF!</v>
      </c>
      <c r="P208" s="153" t="e">
        <f>INDEX(#REF!, MATCH($A208,#REF!, 0), MATCH(P$4,#REF!, 0))</f>
        <v>#REF!</v>
      </c>
      <c r="Q208" s="153" t="e">
        <f>INDEX(#REF!, MATCH($A208,#REF!, 0), MATCH(Q$4,#REF!, 0))</f>
        <v>#REF!</v>
      </c>
      <c r="R208" s="153" t="e">
        <f>INDEX(#REF!, MATCH($A208,#REF!, 0), MATCH(R$4,#REF!, 0))</f>
        <v>#REF!</v>
      </c>
      <c r="S208" s="153" t="e">
        <f>INDEX(#REF!, MATCH($A208,#REF!, 0), MATCH(S$4,#REF!, 0))</f>
        <v>#REF!</v>
      </c>
      <c r="T208" s="153" t="e">
        <f>INDEX(#REF!, MATCH($A208,#REF!, 0), MATCH(T$4,#REF!, 0))</f>
        <v>#REF!</v>
      </c>
      <c r="U208" s="153" t="e">
        <f>INDEX(#REF!, MATCH($A208,#REF!, 0), MATCH(U$4,#REF!, 0))</f>
        <v>#REF!</v>
      </c>
      <c r="V208" s="344" t="e">
        <f>INDEX(#REF!, MATCH($A208,#REF!, 0), MATCH(V$4,#REF!, 0))</f>
        <v>#REF!</v>
      </c>
      <c r="W208" s="153" t="e">
        <f>INDEX(#REF!, MATCH($A208,#REF!, 0), MATCH(W$4,#REF!, 0))</f>
        <v>#REF!</v>
      </c>
      <c r="X208" s="153" t="e">
        <f>INDEX(#REF!, MATCH($A208,#REF!, 0), MATCH(X$4,#REF!, 0))</f>
        <v>#REF!</v>
      </c>
      <c r="Y208" s="153" t="e">
        <f>INDEX(#REF!, MATCH($A208,#REF!, 0), MATCH(Y$4,#REF!, 0))</f>
        <v>#REF!</v>
      </c>
      <c r="Z208" s="153" t="e">
        <f>INDEX(#REF!, MATCH($A208,#REF!, 0), MATCH(Z$4,#REF!, 0))</f>
        <v>#REF!</v>
      </c>
      <c r="AA208" s="153" t="e">
        <f>INDEX(#REF!, MATCH($A208,#REF!, 0), MATCH(AA$4,#REF!, 0))</f>
        <v>#REF!</v>
      </c>
      <c r="AB208" s="153" t="e">
        <f>INDEX(#REF!, MATCH($A208,#REF!, 0), MATCH(AB$4,#REF!, 0))</f>
        <v>#REF!</v>
      </c>
      <c r="AC208" s="344" t="e">
        <f>INDEX(#REF!, MATCH($A208,#REF!, 0), MATCH(AC$4,#REF!, 0))</f>
        <v>#REF!</v>
      </c>
      <c r="AD208" s="153" t="e">
        <f>INDEX(#REF!, MATCH($A208,#REF!, 0), MATCH(AD$4,#REF!, 0))</f>
        <v>#REF!</v>
      </c>
      <c r="AE208" s="153" t="e">
        <f>INDEX(#REF!, MATCH($A208,#REF!, 0), MATCH(AE$4,#REF!, 0))</f>
        <v>#REF!</v>
      </c>
      <c r="AF208" s="153" t="e">
        <f>INDEX(#REF!, MATCH($A208,#REF!, 0), MATCH(AF$4,#REF!, 0))</f>
        <v>#REF!</v>
      </c>
      <c r="AG208" s="153" t="e">
        <f>INDEX(#REF!, MATCH($A208,#REF!, 0), MATCH(AG$4,#REF!, 0))</f>
        <v>#REF!</v>
      </c>
      <c r="AH208" s="153" t="e">
        <f>INDEX(#REF!, MATCH($A208,#REF!, 0), MATCH(AH$4,#REF!, 0))</f>
        <v>#REF!</v>
      </c>
      <c r="AI208" s="153" t="e">
        <f>INDEX(#REF!, MATCH($A208,#REF!, 0), MATCH(AI$4,#REF!, 0))</f>
        <v>#REF!</v>
      </c>
      <c r="AJ208" s="344" t="e">
        <f>INDEX(#REF!, MATCH($A208,#REF!, 0), MATCH(AJ$4,#REF!, 0))</f>
        <v>#REF!</v>
      </c>
      <c r="AK208" s="153" t="e">
        <f>INDEX(#REF!, MATCH($A208,#REF!, 0), MATCH(AK$4,#REF!, 0))</f>
        <v>#REF!</v>
      </c>
      <c r="AL208" s="153" t="e">
        <f>INDEX(#REF!, MATCH($A208,#REF!, 0), MATCH(AL$4,#REF!, 0))</f>
        <v>#REF!</v>
      </c>
      <c r="AM208" s="153" t="e">
        <f>INDEX(#REF!, MATCH($A208,#REF!, 0), MATCH(AM$4,#REF!, 0))</f>
        <v>#REF!</v>
      </c>
      <c r="AN208" s="153" t="e">
        <f>INDEX(#REF!, MATCH($A208,#REF!, 0), MATCH(AN$4,#REF!, 0))</f>
        <v>#REF!</v>
      </c>
      <c r="AO208" s="153" t="e">
        <f>INDEX(#REF!, MATCH($A208,#REF!, 0), MATCH(AO$4,#REF!, 0))</f>
        <v>#REF!</v>
      </c>
      <c r="AP208" s="153" t="e">
        <f>INDEX(#REF!, MATCH($A208,#REF!, 0), MATCH(AP$4,#REF!, 0))</f>
        <v>#REF!</v>
      </c>
      <c r="AQ208" s="344" t="e">
        <f>INDEX(#REF!, MATCH($A208,#REF!, 0), MATCH(AQ$4,#REF!, 0))</f>
        <v>#REF!</v>
      </c>
      <c r="AR208" s="153" t="e">
        <f>INDEX(#REF!, MATCH($A208,#REF!, 0), MATCH(AR$4,#REF!, 0))</f>
        <v>#REF!</v>
      </c>
      <c r="AS208" s="153" t="e">
        <f>INDEX(#REF!, MATCH($A208,#REF!, 0), MATCH(AS$4,#REF!, 0))</f>
        <v>#REF!</v>
      </c>
      <c r="AT208" s="153" t="e">
        <f>INDEX(#REF!, MATCH($A208,#REF!, 0), MATCH(AT$4,#REF!, 0))</f>
        <v>#REF!</v>
      </c>
      <c r="AU208" s="153" t="e">
        <f>INDEX(#REF!, MATCH($A208,#REF!, 0), MATCH(AU$4,#REF!, 0))</f>
        <v>#REF!</v>
      </c>
      <c r="AV208" s="153" t="e">
        <f>INDEX(#REF!, MATCH($A208,#REF!, 0), MATCH(AV$4,#REF!, 0))</f>
        <v>#REF!</v>
      </c>
      <c r="AW208" s="153" t="e">
        <f>INDEX(#REF!, MATCH($A208,#REF!, 0), MATCH(AW$4,#REF!, 0))</f>
        <v>#REF!</v>
      </c>
      <c r="AX208" s="344" t="e">
        <f>INDEX(#REF!, MATCH($A208,#REF!, 0), MATCH(AX$4,#REF!, 0))</f>
        <v>#REF!</v>
      </c>
      <c r="AY208" s="153" t="e">
        <f>INDEX(#REF!, MATCH($A208,#REF!, 0), MATCH(AY$4,#REF!, 0))</f>
        <v>#REF!</v>
      </c>
      <c r="AZ208" s="153" t="e">
        <f>INDEX(#REF!, MATCH($A208,#REF!, 0), MATCH(AZ$4,#REF!, 0))</f>
        <v>#REF!</v>
      </c>
      <c r="BA208" s="153" t="e">
        <f>INDEX(#REF!, MATCH($A208,#REF!, 0), MATCH(BA$4,#REF!, 0))</f>
        <v>#REF!</v>
      </c>
      <c r="BB208" s="153" t="e">
        <f>INDEX(#REF!, MATCH($A208,#REF!, 0), MATCH(BB$4,#REF!, 0))</f>
        <v>#REF!</v>
      </c>
      <c r="BC208" s="153" t="e">
        <f>INDEX(#REF!, MATCH($A208,#REF!, 0), MATCH(BC$4,#REF!, 0))</f>
        <v>#REF!</v>
      </c>
      <c r="BD208" s="386" t="e">
        <f>INDEX(#REF!, MATCH($A208,#REF!, 0), MATCH(BD$4,#REF!, 0))</f>
        <v>#REF!</v>
      </c>
      <c r="BE208" s="344" t="e">
        <f>INDEX(#REF!, MATCH($A208,#REF!, 0), MATCH(BE$4,#REF!, 0))</f>
        <v>#REF!</v>
      </c>
      <c r="BF208" s="153" t="e">
        <f>INDEX(#REF!, MATCH($A208,#REF!, 0), MATCH(BF$4,#REF!, 0))</f>
        <v>#REF!</v>
      </c>
      <c r="BG208" s="153" t="e">
        <f>INDEX(#REF!, MATCH($A208,#REF!, 0), MATCH(BG$4,#REF!, 0))</f>
        <v>#REF!</v>
      </c>
      <c r="BH208" s="153" t="e">
        <f>INDEX(#REF!, MATCH($A208,#REF!, 0), MATCH(BH$4,#REF!, 0))</f>
        <v>#REF!</v>
      </c>
      <c r="BI208" s="153" t="e">
        <f>INDEX(#REF!, MATCH($A208,#REF!, 0), MATCH(BI$4,#REF!, 0))</f>
        <v>#REF!</v>
      </c>
      <c r="BJ208" s="153" t="e">
        <f>INDEX(#REF!, MATCH($A208,#REF!, 0), MATCH(BJ$4,#REF!, 0))</f>
        <v>#REF!</v>
      </c>
      <c r="BK208" s="386" t="e">
        <f>INDEX(#REF!, MATCH($A208,#REF!, 0), MATCH(BK$4,#REF!, 0))</f>
        <v>#REF!</v>
      </c>
      <c r="BL208"/>
      <c r="BM208"/>
      <c r="BN208"/>
      <c r="BO208"/>
      <c r="BP208"/>
      <c r="BQ208"/>
      <c r="BR208"/>
    </row>
    <row r="209" spans="1:91" ht="14.1">
      <c r="A209" s="111" t="s">
        <v>341</v>
      </c>
      <c r="B209" s="147"/>
      <c r="D209" s="153" t="e">
        <f>INDEX(#REF!, MATCH($A209,#REF!, 0), MATCH(D$4,#REF!, 0))</f>
        <v>#REF!</v>
      </c>
      <c r="E209" s="153" t="e">
        <f>INDEX(#REF!, MATCH($A209,#REF!, 0), MATCH(E$4,#REF!, 0))</f>
        <v>#REF!</v>
      </c>
      <c r="F209" s="153" t="e">
        <f>INDEX(#REF!, MATCH($A209,#REF!, 0), MATCH(F$4,#REF!, 0))</f>
        <v>#REF!</v>
      </c>
      <c r="G209" s="153" t="e">
        <f>INDEX(#REF!, MATCH($A209,#REF!, 0), MATCH(G$4,#REF!, 0))</f>
        <v>#REF!</v>
      </c>
      <c r="H209" s="153" t="e">
        <f>INDEX(#REF!, MATCH($A209,#REF!, 0), MATCH(H$4,#REF!, 0))</f>
        <v>#REF!</v>
      </c>
      <c r="I209" s="153" t="e">
        <f>INDEX(#REF!, MATCH($A209,#REF!, 0), MATCH(I$4,#REF!, 0))</f>
        <v>#REF!</v>
      </c>
      <c r="J209" s="153" t="e">
        <f>INDEX(#REF!, MATCH($A209,#REF!, 0), MATCH(J$4,#REF!, 0))</f>
        <v>#REF!</v>
      </c>
      <c r="K209" s="153" t="e">
        <f>INDEX(#REF!, MATCH($A209,#REF!, 0), MATCH(K$4,#REF!, 0))</f>
        <v>#REF!</v>
      </c>
      <c r="L209" s="153" t="e">
        <f>INDEX(#REF!, MATCH($A209,#REF!, 0), MATCH(L$4,#REF!, 0))</f>
        <v>#REF!</v>
      </c>
      <c r="M209" s="153" t="e">
        <f>INDEX(#REF!, MATCH($A209,#REF!, 0), MATCH(M$4,#REF!, 0))</f>
        <v>#REF!</v>
      </c>
      <c r="N209" s="153" t="e">
        <f>INDEX(#REF!, MATCH($A209,#REF!, 0), MATCH(N$4,#REF!, 0))</f>
        <v>#REF!</v>
      </c>
      <c r="O209" s="153" t="e">
        <f>INDEX(#REF!, MATCH($A209,#REF!, 0), MATCH(O$4,#REF!, 0))</f>
        <v>#REF!</v>
      </c>
      <c r="P209" s="153" t="e">
        <f>INDEX(#REF!, MATCH($A209,#REF!, 0), MATCH(P$4,#REF!, 0))</f>
        <v>#REF!</v>
      </c>
      <c r="Q209" s="153" t="e">
        <f>INDEX(#REF!, MATCH($A209,#REF!, 0), MATCH(Q$4,#REF!, 0))</f>
        <v>#REF!</v>
      </c>
      <c r="R209" s="153" t="e">
        <f>INDEX(#REF!, MATCH($A209,#REF!, 0), MATCH(R$4,#REF!, 0))</f>
        <v>#REF!</v>
      </c>
      <c r="S209" s="153" t="e">
        <f>INDEX(#REF!, MATCH($A209,#REF!, 0), MATCH(S$4,#REF!, 0))</f>
        <v>#REF!</v>
      </c>
      <c r="T209" s="153" t="e">
        <f>INDEX(#REF!, MATCH($A209,#REF!, 0), MATCH(T$4,#REF!, 0))</f>
        <v>#REF!</v>
      </c>
      <c r="U209" s="153" t="e">
        <f>INDEX(#REF!, MATCH($A209,#REF!, 0), MATCH(U$4,#REF!, 0))</f>
        <v>#REF!</v>
      </c>
      <c r="V209" s="344" t="e">
        <f>INDEX(#REF!, MATCH($A209,#REF!, 0), MATCH(V$4,#REF!, 0))</f>
        <v>#REF!</v>
      </c>
      <c r="W209" s="153" t="e">
        <f>INDEX(#REF!, MATCH($A209,#REF!, 0), MATCH(W$4,#REF!, 0))</f>
        <v>#REF!</v>
      </c>
      <c r="X209" s="153" t="e">
        <f>INDEX(#REF!, MATCH($A209,#REF!, 0), MATCH(X$4,#REF!, 0))</f>
        <v>#REF!</v>
      </c>
      <c r="Y209" s="153" t="e">
        <f>INDEX(#REF!, MATCH($A209,#REF!, 0), MATCH(Y$4,#REF!, 0))</f>
        <v>#REF!</v>
      </c>
      <c r="Z209" s="153" t="e">
        <f>INDEX(#REF!, MATCH($A209,#REF!, 0), MATCH(Z$4,#REF!, 0))</f>
        <v>#REF!</v>
      </c>
      <c r="AA209" s="153" t="e">
        <f>INDEX(#REF!, MATCH($A209,#REF!, 0), MATCH(AA$4,#REF!, 0))</f>
        <v>#REF!</v>
      </c>
      <c r="AB209" s="153" t="e">
        <f>INDEX(#REF!, MATCH($A209,#REF!, 0), MATCH(AB$4,#REF!, 0))</f>
        <v>#REF!</v>
      </c>
      <c r="AC209" s="344" t="e">
        <f>INDEX(#REF!, MATCH($A209,#REF!, 0), MATCH(AC$4,#REF!, 0))</f>
        <v>#REF!</v>
      </c>
      <c r="AD209" s="153" t="e">
        <f>INDEX(#REF!, MATCH($A209,#REF!, 0), MATCH(AD$4,#REF!, 0))</f>
        <v>#REF!</v>
      </c>
      <c r="AE209" s="153" t="e">
        <f>INDEX(#REF!, MATCH($A209,#REF!, 0), MATCH(AE$4,#REF!, 0))</f>
        <v>#REF!</v>
      </c>
      <c r="AF209" s="153" t="e">
        <f>INDEX(#REF!, MATCH($A209,#REF!, 0), MATCH(AF$4,#REF!, 0))</f>
        <v>#REF!</v>
      </c>
      <c r="AG209" s="153" t="e">
        <f>INDEX(#REF!, MATCH($A209,#REF!, 0), MATCH(AG$4,#REF!, 0))</f>
        <v>#REF!</v>
      </c>
      <c r="AH209" s="153" t="e">
        <f>INDEX(#REF!, MATCH($A209,#REF!, 0), MATCH(AH$4,#REF!, 0))</f>
        <v>#REF!</v>
      </c>
      <c r="AI209" s="153" t="e">
        <f>INDEX(#REF!, MATCH($A209,#REF!, 0), MATCH(AI$4,#REF!, 0))</f>
        <v>#REF!</v>
      </c>
      <c r="AJ209" s="344" t="e">
        <f>INDEX(#REF!, MATCH($A209,#REF!, 0), MATCH(AJ$4,#REF!, 0))</f>
        <v>#REF!</v>
      </c>
      <c r="AK209" s="153" t="e">
        <f>INDEX(#REF!, MATCH($A209,#REF!, 0), MATCH(AK$4,#REF!, 0))</f>
        <v>#REF!</v>
      </c>
      <c r="AL209" s="153" t="e">
        <f>INDEX(#REF!, MATCH($A209,#REF!, 0), MATCH(AL$4,#REF!, 0))</f>
        <v>#REF!</v>
      </c>
      <c r="AM209" s="153" t="e">
        <f>INDEX(#REF!, MATCH($A209,#REF!, 0), MATCH(AM$4,#REF!, 0))</f>
        <v>#REF!</v>
      </c>
      <c r="AN209" s="153" t="e">
        <f>INDEX(#REF!, MATCH($A209,#REF!, 0), MATCH(AN$4,#REF!, 0))</f>
        <v>#REF!</v>
      </c>
      <c r="AO209" s="153" t="e">
        <f>INDEX(#REF!, MATCH($A209,#REF!, 0), MATCH(AO$4,#REF!, 0))</f>
        <v>#REF!</v>
      </c>
      <c r="AP209" s="153" t="e">
        <f>INDEX(#REF!, MATCH($A209,#REF!, 0), MATCH(AP$4,#REF!, 0))</f>
        <v>#REF!</v>
      </c>
      <c r="AQ209" s="344" t="e">
        <f>INDEX(#REF!, MATCH($A209,#REF!, 0), MATCH(AQ$4,#REF!, 0))</f>
        <v>#REF!</v>
      </c>
      <c r="AR209" s="153" t="e">
        <f>INDEX(#REF!, MATCH($A209,#REF!, 0), MATCH(AR$4,#REF!, 0))</f>
        <v>#REF!</v>
      </c>
      <c r="AS209" s="153" t="e">
        <f>INDEX(#REF!, MATCH($A209,#REF!, 0), MATCH(AS$4,#REF!, 0))</f>
        <v>#REF!</v>
      </c>
      <c r="AT209" s="153" t="e">
        <f>INDEX(#REF!, MATCH($A209,#REF!, 0), MATCH(AT$4,#REF!, 0))</f>
        <v>#REF!</v>
      </c>
      <c r="AU209" s="153" t="e">
        <f>INDEX(#REF!, MATCH($A209,#REF!, 0), MATCH(AU$4,#REF!, 0))</f>
        <v>#REF!</v>
      </c>
      <c r="AV209" s="153" t="e">
        <f>INDEX(#REF!, MATCH($A209,#REF!, 0), MATCH(AV$4,#REF!, 0))</f>
        <v>#REF!</v>
      </c>
      <c r="AW209" s="153" t="e">
        <f>INDEX(#REF!, MATCH($A209,#REF!, 0), MATCH(AW$4,#REF!, 0))</f>
        <v>#REF!</v>
      </c>
      <c r="AX209" s="344" t="e">
        <f>INDEX(#REF!, MATCH($A209,#REF!, 0), MATCH(AX$4,#REF!, 0))</f>
        <v>#REF!</v>
      </c>
      <c r="AY209" s="153" t="e">
        <f>INDEX(#REF!, MATCH($A209,#REF!, 0), MATCH(AY$4,#REF!, 0))</f>
        <v>#REF!</v>
      </c>
      <c r="AZ209" s="153" t="e">
        <f>INDEX(#REF!, MATCH($A209,#REF!, 0), MATCH(AZ$4,#REF!, 0))</f>
        <v>#REF!</v>
      </c>
      <c r="BA209" s="153" t="e">
        <f>INDEX(#REF!, MATCH($A209,#REF!, 0), MATCH(BA$4,#REF!, 0))</f>
        <v>#REF!</v>
      </c>
      <c r="BB209" s="153" t="e">
        <f>INDEX(#REF!, MATCH($A209,#REF!, 0), MATCH(BB$4,#REF!, 0))</f>
        <v>#REF!</v>
      </c>
      <c r="BC209" s="153" t="e">
        <f>INDEX(#REF!, MATCH($A209,#REF!, 0), MATCH(BC$4,#REF!, 0))</f>
        <v>#REF!</v>
      </c>
      <c r="BD209" s="386" t="e">
        <f>INDEX(#REF!, MATCH($A209,#REF!, 0), MATCH(BD$4,#REF!, 0))</f>
        <v>#REF!</v>
      </c>
      <c r="BE209" s="344" t="e">
        <f>INDEX(#REF!, MATCH($A209,#REF!, 0), MATCH(BE$4,#REF!, 0))</f>
        <v>#REF!</v>
      </c>
      <c r="BF209" s="153" t="e">
        <f>INDEX(#REF!, MATCH($A209,#REF!, 0), MATCH(BF$4,#REF!, 0))</f>
        <v>#REF!</v>
      </c>
      <c r="BG209" s="153" t="e">
        <f>INDEX(#REF!, MATCH($A209,#REF!, 0), MATCH(BG$4,#REF!, 0))</f>
        <v>#REF!</v>
      </c>
      <c r="BH209" s="153" t="e">
        <f>INDEX(#REF!, MATCH($A209,#REF!, 0), MATCH(BH$4,#REF!, 0))</f>
        <v>#REF!</v>
      </c>
      <c r="BI209" s="153" t="e">
        <f>INDEX(#REF!, MATCH($A209,#REF!, 0), MATCH(BI$4,#REF!, 0))</f>
        <v>#REF!</v>
      </c>
      <c r="BJ209" s="153" t="e">
        <f>INDEX(#REF!, MATCH($A209,#REF!, 0), MATCH(BJ$4,#REF!, 0))</f>
        <v>#REF!</v>
      </c>
      <c r="BK209" s="386" t="e">
        <f>INDEX(#REF!, MATCH($A209,#REF!, 0), MATCH(BK$4,#REF!, 0))</f>
        <v>#REF!</v>
      </c>
      <c r="BL209"/>
      <c r="BM209"/>
      <c r="BN209"/>
      <c r="BO209"/>
      <c r="BP209"/>
      <c r="BQ209"/>
      <c r="BR209"/>
    </row>
    <row r="210" spans="1:91" ht="14.1">
      <c r="A210" s="111" t="s">
        <v>342</v>
      </c>
      <c r="B210" s="147"/>
      <c r="D210" s="153" t="e">
        <f>INDEX(#REF!, MATCH($A210,#REF!, 0), MATCH(D$4,#REF!, 0))</f>
        <v>#REF!</v>
      </c>
      <c r="E210" s="153" t="e">
        <f>INDEX(#REF!, MATCH($A210,#REF!, 0), MATCH(E$4,#REF!, 0))</f>
        <v>#REF!</v>
      </c>
      <c r="F210" s="153" t="e">
        <f>INDEX(#REF!, MATCH($A210,#REF!, 0), MATCH(F$4,#REF!, 0))</f>
        <v>#REF!</v>
      </c>
      <c r="G210" s="153" t="e">
        <f>INDEX(#REF!, MATCH($A210,#REF!, 0), MATCH(G$4,#REF!, 0))</f>
        <v>#REF!</v>
      </c>
      <c r="H210" s="153" t="e">
        <f>INDEX(#REF!, MATCH($A210,#REF!, 0), MATCH(H$4,#REF!, 0))</f>
        <v>#REF!</v>
      </c>
      <c r="I210" s="153" t="e">
        <f>INDEX(#REF!, MATCH($A210,#REF!, 0), MATCH(I$4,#REF!, 0))</f>
        <v>#REF!</v>
      </c>
      <c r="J210" s="153" t="e">
        <f>INDEX(#REF!, MATCH($A210,#REF!, 0), MATCH(J$4,#REF!, 0))</f>
        <v>#REF!</v>
      </c>
      <c r="K210" s="153" t="e">
        <f>INDEX(#REF!, MATCH($A210,#REF!, 0), MATCH(K$4,#REF!, 0))</f>
        <v>#REF!</v>
      </c>
      <c r="L210" s="153" t="e">
        <f>INDEX(#REF!, MATCH($A210,#REF!, 0), MATCH(L$4,#REF!, 0))</f>
        <v>#REF!</v>
      </c>
      <c r="M210" s="153" t="e">
        <f>INDEX(#REF!, MATCH($A210,#REF!, 0), MATCH(M$4,#REF!, 0))</f>
        <v>#REF!</v>
      </c>
      <c r="N210" s="153" t="e">
        <f>INDEX(#REF!, MATCH($A210,#REF!, 0), MATCH(N$4,#REF!, 0))</f>
        <v>#REF!</v>
      </c>
      <c r="O210" s="153" t="e">
        <f>INDEX(#REF!, MATCH($A210,#REF!, 0), MATCH(O$4,#REF!, 0))</f>
        <v>#REF!</v>
      </c>
      <c r="P210" s="153" t="e">
        <f>INDEX(#REF!, MATCH($A210,#REF!, 0), MATCH(P$4,#REF!, 0))</f>
        <v>#REF!</v>
      </c>
      <c r="Q210" s="153" t="e">
        <f>INDEX(#REF!, MATCH($A210,#REF!, 0), MATCH(Q$4,#REF!, 0))</f>
        <v>#REF!</v>
      </c>
      <c r="R210" s="153" t="e">
        <f>INDEX(#REF!, MATCH($A210,#REF!, 0), MATCH(R$4,#REF!, 0))</f>
        <v>#REF!</v>
      </c>
      <c r="S210" s="153" t="e">
        <f>INDEX(#REF!, MATCH($A210,#REF!, 0), MATCH(S$4,#REF!, 0))</f>
        <v>#REF!</v>
      </c>
      <c r="T210" s="153" t="e">
        <f>INDEX(#REF!, MATCH($A210,#REF!, 0), MATCH(T$4,#REF!, 0))</f>
        <v>#REF!</v>
      </c>
      <c r="U210" s="153" t="e">
        <f>INDEX(#REF!, MATCH($A210,#REF!, 0), MATCH(U$4,#REF!, 0))</f>
        <v>#REF!</v>
      </c>
      <c r="V210" s="344" t="e">
        <f>INDEX(#REF!, MATCH($A210,#REF!, 0), MATCH(V$4,#REF!, 0))</f>
        <v>#REF!</v>
      </c>
      <c r="W210" s="153" t="e">
        <f>INDEX(#REF!, MATCH($A210,#REF!, 0), MATCH(W$4,#REF!, 0))</f>
        <v>#REF!</v>
      </c>
      <c r="X210" s="153" t="e">
        <f>INDEX(#REF!, MATCH($A210,#REF!, 0), MATCH(X$4,#REF!, 0))</f>
        <v>#REF!</v>
      </c>
      <c r="Y210" s="153" t="e">
        <f>INDEX(#REF!, MATCH($A210,#REF!, 0), MATCH(Y$4,#REF!, 0))</f>
        <v>#REF!</v>
      </c>
      <c r="Z210" s="153" t="e">
        <f>INDEX(#REF!, MATCH($A210,#REF!, 0), MATCH(Z$4,#REF!, 0))</f>
        <v>#REF!</v>
      </c>
      <c r="AA210" s="153" t="e">
        <f>INDEX(#REF!, MATCH($A210,#REF!, 0), MATCH(AA$4,#REF!, 0))</f>
        <v>#REF!</v>
      </c>
      <c r="AB210" s="153" t="e">
        <f>INDEX(#REF!, MATCH($A210,#REF!, 0), MATCH(AB$4,#REF!, 0))</f>
        <v>#REF!</v>
      </c>
      <c r="AC210" s="344" t="e">
        <f>INDEX(#REF!, MATCH($A210,#REF!, 0), MATCH(AC$4,#REF!, 0))</f>
        <v>#REF!</v>
      </c>
      <c r="AD210" s="153" t="e">
        <f>INDEX(#REF!, MATCH($A210,#REF!, 0), MATCH(AD$4,#REF!, 0))</f>
        <v>#REF!</v>
      </c>
      <c r="AE210" s="153" t="e">
        <f>INDEX(#REF!, MATCH($A210,#REF!, 0), MATCH(AE$4,#REF!, 0))</f>
        <v>#REF!</v>
      </c>
      <c r="AF210" s="153" t="e">
        <f>INDEX(#REF!, MATCH($A210,#REF!, 0), MATCH(AF$4,#REF!, 0))</f>
        <v>#REF!</v>
      </c>
      <c r="AG210" s="153" t="e">
        <f>INDEX(#REF!, MATCH($A210,#REF!, 0), MATCH(AG$4,#REF!, 0))</f>
        <v>#REF!</v>
      </c>
      <c r="AH210" s="153" t="e">
        <f>INDEX(#REF!, MATCH($A210,#REF!, 0), MATCH(AH$4,#REF!, 0))</f>
        <v>#REF!</v>
      </c>
      <c r="AI210" s="153" t="e">
        <f>INDEX(#REF!, MATCH($A210,#REF!, 0), MATCH(AI$4,#REF!, 0))</f>
        <v>#REF!</v>
      </c>
      <c r="AJ210" s="344" t="e">
        <f>INDEX(#REF!, MATCH($A210,#REF!, 0), MATCH(AJ$4,#REF!, 0))</f>
        <v>#REF!</v>
      </c>
      <c r="AK210" s="153" t="e">
        <f>INDEX(#REF!, MATCH($A210,#REF!, 0), MATCH(AK$4,#REF!, 0))</f>
        <v>#REF!</v>
      </c>
      <c r="AL210" s="153" t="e">
        <f>INDEX(#REF!, MATCH($A210,#REF!, 0), MATCH(AL$4,#REF!, 0))</f>
        <v>#REF!</v>
      </c>
      <c r="AM210" s="153" t="e">
        <f>INDEX(#REF!, MATCH($A210,#REF!, 0), MATCH(AM$4,#REF!, 0))</f>
        <v>#REF!</v>
      </c>
      <c r="AN210" s="153" t="e">
        <f>INDEX(#REF!, MATCH($A210,#REF!, 0), MATCH(AN$4,#REF!, 0))</f>
        <v>#REF!</v>
      </c>
      <c r="AO210" s="153" t="e">
        <f>INDEX(#REF!, MATCH($A210,#REF!, 0), MATCH(AO$4,#REF!, 0))</f>
        <v>#REF!</v>
      </c>
      <c r="AP210" s="153" t="e">
        <f>INDEX(#REF!, MATCH($A210,#REF!, 0), MATCH(AP$4,#REF!, 0))</f>
        <v>#REF!</v>
      </c>
      <c r="AQ210" s="344" t="e">
        <f>INDEX(#REF!, MATCH($A210,#REF!, 0), MATCH(AQ$4,#REF!, 0))</f>
        <v>#REF!</v>
      </c>
      <c r="AR210" s="153" t="e">
        <f>INDEX(#REF!, MATCH($A210,#REF!, 0), MATCH(AR$4,#REF!, 0))</f>
        <v>#REF!</v>
      </c>
      <c r="AS210" s="153" t="e">
        <f>INDEX(#REF!, MATCH($A210,#REF!, 0), MATCH(AS$4,#REF!, 0))</f>
        <v>#REF!</v>
      </c>
      <c r="AT210" s="153" t="e">
        <f>INDEX(#REF!, MATCH($A210,#REF!, 0), MATCH(AT$4,#REF!, 0))</f>
        <v>#REF!</v>
      </c>
      <c r="AU210" s="153" t="e">
        <f>INDEX(#REF!, MATCH($A210,#REF!, 0), MATCH(AU$4,#REF!, 0))</f>
        <v>#REF!</v>
      </c>
      <c r="AV210" s="153" t="e">
        <f>INDEX(#REF!, MATCH($A210,#REF!, 0), MATCH(AV$4,#REF!, 0))</f>
        <v>#REF!</v>
      </c>
      <c r="AW210" s="153" t="e">
        <f>INDEX(#REF!, MATCH($A210,#REF!, 0), MATCH(AW$4,#REF!, 0))</f>
        <v>#REF!</v>
      </c>
      <c r="AX210" s="344" t="e">
        <f>INDEX(#REF!, MATCH($A210,#REF!, 0), MATCH(AX$4,#REF!, 0))</f>
        <v>#REF!</v>
      </c>
      <c r="AY210" s="153" t="e">
        <f>INDEX(#REF!, MATCH($A210,#REF!, 0), MATCH(AY$4,#REF!, 0))</f>
        <v>#REF!</v>
      </c>
      <c r="AZ210" s="153" t="e">
        <f>INDEX(#REF!, MATCH($A210,#REF!, 0), MATCH(AZ$4,#REF!, 0))</f>
        <v>#REF!</v>
      </c>
      <c r="BA210" s="153" t="e">
        <f>INDEX(#REF!, MATCH($A210,#REF!, 0), MATCH(BA$4,#REF!, 0))</f>
        <v>#REF!</v>
      </c>
      <c r="BB210" s="153" t="e">
        <f>INDEX(#REF!, MATCH($A210,#REF!, 0), MATCH(BB$4,#REF!, 0))</f>
        <v>#REF!</v>
      </c>
      <c r="BC210" s="153" t="e">
        <f>INDEX(#REF!, MATCH($A210,#REF!, 0), MATCH(BC$4,#REF!, 0))</f>
        <v>#REF!</v>
      </c>
      <c r="BD210" s="386" t="e">
        <f>INDEX(#REF!, MATCH($A210,#REF!, 0), MATCH(BD$4,#REF!, 0))</f>
        <v>#REF!</v>
      </c>
      <c r="BE210" s="344" t="e">
        <f>INDEX(#REF!, MATCH($A210,#REF!, 0), MATCH(BE$4,#REF!, 0))</f>
        <v>#REF!</v>
      </c>
      <c r="BF210" s="153" t="e">
        <f>INDEX(#REF!, MATCH($A210,#REF!, 0), MATCH(BF$4,#REF!, 0))</f>
        <v>#REF!</v>
      </c>
      <c r="BG210" s="153" t="e">
        <f>INDEX(#REF!, MATCH($A210,#REF!, 0), MATCH(BG$4,#REF!, 0))</f>
        <v>#REF!</v>
      </c>
      <c r="BH210" s="153" t="e">
        <f>INDEX(#REF!, MATCH($A210,#REF!, 0), MATCH(BH$4,#REF!, 0))</f>
        <v>#REF!</v>
      </c>
      <c r="BI210" s="153" t="e">
        <f>INDEX(#REF!, MATCH($A210,#REF!, 0), MATCH(BI$4,#REF!, 0))</f>
        <v>#REF!</v>
      </c>
      <c r="BJ210" s="153" t="e">
        <f>INDEX(#REF!, MATCH($A210,#REF!, 0), MATCH(BJ$4,#REF!, 0))</f>
        <v>#REF!</v>
      </c>
      <c r="BK210" s="386" t="e">
        <f>INDEX(#REF!, MATCH($A210,#REF!, 0), MATCH(BK$4,#REF!, 0))</f>
        <v>#REF!</v>
      </c>
      <c r="BL210"/>
      <c r="BM210"/>
      <c r="BN210"/>
      <c r="BO210"/>
      <c r="BP210"/>
      <c r="BQ210"/>
      <c r="BR210"/>
    </row>
    <row r="211" spans="1:91" ht="14.1">
      <c r="A211" s="111"/>
      <c r="B211" s="147"/>
      <c r="D211" s="153"/>
      <c r="E211" s="153"/>
      <c r="F211" s="153"/>
      <c r="G211" s="153"/>
      <c r="H211" s="153"/>
      <c r="I211" s="153"/>
      <c r="J211" s="153"/>
      <c r="K211" s="153"/>
      <c r="L211" s="153"/>
      <c r="M211" s="153"/>
      <c r="N211" s="153"/>
      <c r="O211" s="153"/>
      <c r="P211" s="153"/>
      <c r="Q211" s="153"/>
      <c r="R211" s="153"/>
      <c r="S211" s="153"/>
      <c r="T211" s="153"/>
      <c r="U211" s="153"/>
      <c r="V211" s="344"/>
      <c r="W211" s="153"/>
      <c r="X211" s="153"/>
      <c r="Y211" s="153"/>
      <c r="Z211" s="153"/>
      <c r="AA211" s="153"/>
      <c r="AB211" s="153"/>
      <c r="AC211" s="344"/>
      <c r="AD211" s="153"/>
      <c r="AE211" s="153"/>
      <c r="AF211" s="153"/>
      <c r="AG211" s="153"/>
      <c r="AH211" s="153"/>
      <c r="AI211" s="153"/>
      <c r="AJ211" s="344"/>
      <c r="AK211" s="153"/>
      <c r="AL211" s="153"/>
      <c r="AM211" s="153"/>
      <c r="AN211" s="153"/>
      <c r="AO211" s="153"/>
      <c r="AP211" s="153"/>
      <c r="AQ211" s="344"/>
      <c r="AR211" s="153"/>
      <c r="AS211" s="153"/>
      <c r="AT211" s="153"/>
      <c r="AU211" s="153"/>
      <c r="AV211" s="153"/>
      <c r="AW211" s="153"/>
      <c r="AX211" s="344"/>
      <c r="AY211" s="153"/>
      <c r="AZ211" s="153"/>
      <c r="BA211" s="153"/>
      <c r="BB211" s="153"/>
      <c r="BC211" s="153"/>
      <c r="BD211" s="386"/>
      <c r="BE211" s="344"/>
      <c r="BF211" s="153"/>
      <c r="BG211" s="153"/>
      <c r="BH211" s="153"/>
      <c r="BI211" s="153"/>
      <c r="BJ211" s="153"/>
      <c r="BK211" s="386"/>
      <c r="BL211"/>
      <c r="BM211"/>
      <c r="BN211"/>
      <c r="BO211"/>
      <c r="BP211"/>
      <c r="BQ211"/>
      <c r="BR211"/>
    </row>
    <row r="212" spans="1:91" ht="14.1">
      <c r="A212" s="111"/>
      <c r="B212" s="147"/>
      <c r="D212" s="153"/>
      <c r="E212" s="153"/>
      <c r="F212" s="153"/>
      <c r="G212" s="153"/>
      <c r="H212" s="153"/>
      <c r="I212" s="153"/>
      <c r="J212" s="153"/>
      <c r="K212" s="153"/>
      <c r="L212" s="153"/>
      <c r="M212" s="153"/>
      <c r="N212" s="153"/>
      <c r="O212" s="153"/>
      <c r="P212" s="153"/>
      <c r="Q212" s="153"/>
      <c r="R212" s="153"/>
      <c r="S212" s="153"/>
      <c r="T212" s="153"/>
      <c r="U212" s="153"/>
      <c r="V212" s="344"/>
      <c r="W212" s="153"/>
      <c r="X212" s="153"/>
      <c r="Y212" s="153"/>
      <c r="Z212" s="153"/>
      <c r="AA212" s="153"/>
      <c r="AB212" s="153"/>
      <c r="AC212" s="344"/>
      <c r="AD212" s="153"/>
      <c r="AE212" s="153"/>
      <c r="AF212" s="153"/>
      <c r="AG212" s="153"/>
      <c r="AH212" s="153"/>
      <c r="AI212" s="153"/>
      <c r="AJ212" s="344"/>
      <c r="AK212" s="153"/>
      <c r="AL212" s="153"/>
      <c r="AM212" s="153"/>
      <c r="AN212" s="153"/>
      <c r="AO212" s="153"/>
      <c r="AP212" s="153"/>
      <c r="AQ212" s="344"/>
      <c r="AR212" s="153"/>
      <c r="AS212" s="153"/>
      <c r="AT212" s="153"/>
      <c r="AU212" s="153"/>
      <c r="AV212" s="153"/>
      <c r="AW212" s="153"/>
      <c r="AX212" s="344"/>
      <c r="AY212" s="153"/>
      <c r="AZ212" s="153"/>
      <c r="BA212" s="153"/>
      <c r="BB212" s="153"/>
      <c r="BC212" s="153"/>
      <c r="BD212" s="386"/>
      <c r="BE212" s="344"/>
      <c r="BF212" s="153"/>
      <c r="BG212" s="153"/>
      <c r="BH212" s="153"/>
      <c r="BI212" s="153"/>
      <c r="BJ212" s="153"/>
      <c r="BK212" s="386"/>
      <c r="BL212"/>
      <c r="BM212"/>
      <c r="BN212"/>
      <c r="BO212"/>
      <c r="BP212"/>
      <c r="BQ212"/>
      <c r="BR212"/>
    </row>
    <row r="213" spans="1:91" s="244" customFormat="1" ht="14.1">
      <c r="A213" s="239" t="s">
        <v>189</v>
      </c>
      <c r="B213" s="240" t="s">
        <v>294</v>
      </c>
      <c r="C213" s="241"/>
      <c r="D213" s="242" t="e">
        <f>INDEX(#REF!, MATCH($A213,#REF!, 0), MATCH(D$4,#REF!, 0))</f>
        <v>#REF!</v>
      </c>
      <c r="E213" s="242" t="e">
        <f>INDEX(#REF!, MATCH($A213,#REF!, 0), MATCH(E$4,#REF!, 0))</f>
        <v>#REF!</v>
      </c>
      <c r="F213" s="242" t="e">
        <f>INDEX(#REF!, MATCH($A213,#REF!, 0), MATCH(F$4,#REF!, 0))</f>
        <v>#REF!</v>
      </c>
      <c r="G213" s="242" t="e">
        <f>INDEX(#REF!, MATCH($A213,#REF!, 0), MATCH(G$4,#REF!, 0))</f>
        <v>#REF!</v>
      </c>
      <c r="H213" s="242" t="e">
        <f>INDEX(#REF!, MATCH($A213,#REF!, 0), MATCH(H$4,#REF!, 0))</f>
        <v>#REF!</v>
      </c>
      <c r="I213" s="242" t="e">
        <f>INDEX(#REF!, MATCH($A213,#REF!, 0), MATCH(I$4,#REF!, 0))</f>
        <v>#REF!</v>
      </c>
      <c r="J213" s="242" t="e">
        <f>INDEX(#REF!, MATCH($A213,#REF!, 0), MATCH(J$4,#REF!, 0))</f>
        <v>#REF!</v>
      </c>
      <c r="K213" s="242" t="e">
        <f>INDEX(#REF!, MATCH($A213,#REF!, 0), MATCH(K$4,#REF!, 0))</f>
        <v>#REF!</v>
      </c>
      <c r="L213" s="242" t="e">
        <f>INDEX(#REF!, MATCH($A213,#REF!, 0), MATCH(L$4,#REF!, 0))</f>
        <v>#REF!</v>
      </c>
      <c r="M213" s="242" t="e">
        <f>INDEX(#REF!, MATCH($A213,#REF!, 0), MATCH(M$4,#REF!, 0))</f>
        <v>#REF!</v>
      </c>
      <c r="N213" s="242" t="e">
        <f>INDEX(#REF!, MATCH($A213,#REF!, 0), MATCH(N$4,#REF!, 0))</f>
        <v>#REF!</v>
      </c>
      <c r="O213" s="242" t="e">
        <f>INDEX(#REF!, MATCH($A213,#REF!, 0), MATCH(O$4,#REF!, 0))</f>
        <v>#REF!</v>
      </c>
      <c r="P213" s="242" t="e">
        <f>INDEX(#REF!, MATCH($A213,#REF!, 0), MATCH(P$4,#REF!, 0))</f>
        <v>#REF!</v>
      </c>
      <c r="Q213" s="242" t="e">
        <f>INDEX(#REF!, MATCH($A213,#REF!, 0), MATCH(Q$4,#REF!, 0))</f>
        <v>#REF!</v>
      </c>
      <c r="R213" s="242" t="e">
        <f>INDEX(#REF!, MATCH($A213,#REF!, 0), MATCH(R$4,#REF!, 0))</f>
        <v>#REF!</v>
      </c>
      <c r="S213" s="242" t="e">
        <f>INDEX(#REF!, MATCH($A213,#REF!, 0), MATCH(S$4,#REF!, 0))</f>
        <v>#REF!</v>
      </c>
      <c r="T213" s="242" t="e">
        <f>INDEX(#REF!, MATCH($A213,#REF!, 0), MATCH(T$4,#REF!, 0))</f>
        <v>#REF!</v>
      </c>
      <c r="U213" s="242" t="e">
        <f>INDEX(#REF!, MATCH($A213,#REF!, 0), MATCH(U$4,#REF!, 0))</f>
        <v>#REF!</v>
      </c>
      <c r="V213" s="321" t="e">
        <f>INDEX(#REF!, MATCH($A213,#REF!, 0), MATCH(V$4,#REF!, 0))</f>
        <v>#REF!</v>
      </c>
      <c r="W213" s="242" t="e">
        <f>INDEX(#REF!, MATCH($A213,#REF!, 0), MATCH(W$4,#REF!, 0))</f>
        <v>#REF!</v>
      </c>
      <c r="X213" s="242" t="e">
        <f>INDEX(#REF!, MATCH($A213,#REF!, 0), MATCH(X$4,#REF!, 0))</f>
        <v>#REF!</v>
      </c>
      <c r="Y213" s="242" t="e">
        <f>INDEX(#REF!, MATCH($A213,#REF!, 0), MATCH(Y$4,#REF!, 0))</f>
        <v>#REF!</v>
      </c>
      <c r="Z213" s="242" t="e">
        <f>INDEX(#REF!, MATCH($A213,#REF!, 0), MATCH(Z$4,#REF!, 0))</f>
        <v>#REF!</v>
      </c>
      <c r="AA213" s="242" t="e">
        <f>INDEX(#REF!, MATCH($A213,#REF!, 0), MATCH(AA$4,#REF!, 0))</f>
        <v>#REF!</v>
      </c>
      <c r="AB213" s="242" t="e">
        <f>INDEX(#REF!, MATCH($A213,#REF!, 0), MATCH(AB$4,#REF!, 0))</f>
        <v>#REF!</v>
      </c>
      <c r="AC213" s="321" t="e">
        <f>INDEX(#REF!, MATCH($A213,#REF!, 0), MATCH(AC$4,#REF!, 0))</f>
        <v>#REF!</v>
      </c>
      <c r="AD213" s="242" t="e">
        <f>INDEX(#REF!, MATCH($A213,#REF!, 0), MATCH(AD$4,#REF!, 0))</f>
        <v>#REF!</v>
      </c>
      <c r="AE213" s="242" t="e">
        <f>INDEX(#REF!, MATCH($A213,#REF!, 0), MATCH(AE$4,#REF!, 0))</f>
        <v>#REF!</v>
      </c>
      <c r="AF213" s="242" t="e">
        <f>INDEX(#REF!, MATCH($A213,#REF!, 0), MATCH(AF$4,#REF!, 0))</f>
        <v>#REF!</v>
      </c>
      <c r="AG213" s="242" t="e">
        <f>INDEX(#REF!, MATCH($A213,#REF!, 0), MATCH(AG$4,#REF!, 0))</f>
        <v>#REF!</v>
      </c>
      <c r="AH213" s="242" t="e">
        <f>INDEX(#REF!, MATCH($A213,#REF!, 0), MATCH(AH$4,#REF!, 0))</f>
        <v>#REF!</v>
      </c>
      <c r="AI213" s="242" t="e">
        <f>INDEX(#REF!, MATCH($A213,#REF!, 0), MATCH(AI$4,#REF!, 0))</f>
        <v>#REF!</v>
      </c>
      <c r="AJ213" s="321" t="e">
        <f>INDEX(#REF!, MATCH($A213,#REF!, 0), MATCH(AJ$4,#REF!, 0))</f>
        <v>#REF!</v>
      </c>
      <c r="AK213" s="242" t="e">
        <f>INDEX(#REF!, MATCH($A213,#REF!, 0), MATCH(AK$4,#REF!, 0))</f>
        <v>#REF!</v>
      </c>
      <c r="AL213" s="242" t="e">
        <f>INDEX(#REF!, MATCH($A213,#REF!, 0), MATCH(AL$4,#REF!, 0))</f>
        <v>#REF!</v>
      </c>
      <c r="AM213" s="242" t="e">
        <f>INDEX(#REF!, MATCH($A213,#REF!, 0), MATCH(AM$4,#REF!, 0))</f>
        <v>#REF!</v>
      </c>
      <c r="AN213" s="242" t="e">
        <f>INDEX(#REF!, MATCH($A213,#REF!, 0), MATCH(AN$4,#REF!, 0))</f>
        <v>#REF!</v>
      </c>
      <c r="AO213" s="242" t="e">
        <f>INDEX(#REF!, MATCH($A213,#REF!, 0), MATCH(AO$4,#REF!, 0))</f>
        <v>#REF!</v>
      </c>
      <c r="AP213" s="242" t="e">
        <f>INDEX(#REF!, MATCH($A213,#REF!, 0), MATCH(AP$4,#REF!, 0))</f>
        <v>#REF!</v>
      </c>
      <c r="AQ213" s="321" t="e">
        <f>INDEX(#REF!, MATCH($A213,#REF!, 0), MATCH(AQ$4,#REF!, 0))</f>
        <v>#REF!</v>
      </c>
      <c r="AR213" s="242" t="e">
        <f>INDEX(#REF!, MATCH($A213,#REF!, 0), MATCH(AR$4,#REF!, 0))</f>
        <v>#REF!</v>
      </c>
      <c r="AS213" s="242" t="e">
        <f>INDEX(#REF!, MATCH($A213,#REF!, 0), MATCH(AS$4,#REF!, 0))</f>
        <v>#REF!</v>
      </c>
      <c r="AT213" s="242" t="e">
        <f>INDEX(#REF!, MATCH($A213,#REF!, 0), MATCH(AT$4,#REF!, 0))</f>
        <v>#REF!</v>
      </c>
      <c r="AU213" s="242" t="e">
        <f>INDEX(#REF!, MATCH($A213,#REF!, 0), MATCH(AU$4,#REF!, 0))</f>
        <v>#REF!</v>
      </c>
      <c r="AV213" s="242" t="e">
        <f>INDEX(#REF!, MATCH($A213,#REF!, 0), MATCH(AV$4,#REF!, 0))</f>
        <v>#REF!</v>
      </c>
      <c r="AW213" s="242" t="e">
        <f>INDEX(#REF!, MATCH($A213,#REF!, 0), MATCH(AW$4,#REF!, 0))</f>
        <v>#REF!</v>
      </c>
      <c r="AX213" s="321" t="e">
        <f>INDEX(#REF!, MATCH($A213,#REF!, 0), MATCH(AX$4,#REF!, 0))</f>
        <v>#REF!</v>
      </c>
      <c r="AY213" s="242" t="e">
        <f>INDEX(#REF!, MATCH($A213,#REF!, 0), MATCH(AY$4,#REF!, 0))</f>
        <v>#REF!</v>
      </c>
      <c r="AZ213" s="242" t="e">
        <f>INDEX(#REF!, MATCH($A213,#REF!, 0), MATCH(AZ$4,#REF!, 0))</f>
        <v>#REF!</v>
      </c>
      <c r="BA213" s="242" t="e">
        <f>INDEX(#REF!, MATCH($A213,#REF!, 0), MATCH(BA$4,#REF!, 0))</f>
        <v>#REF!</v>
      </c>
      <c r="BB213" s="242" t="e">
        <f>INDEX(#REF!, MATCH($A213,#REF!, 0), MATCH(BB$4,#REF!, 0))</f>
        <v>#REF!</v>
      </c>
      <c r="BC213" s="242" t="e">
        <f>INDEX(#REF!, MATCH($A213,#REF!, 0), MATCH(BC$4,#REF!, 0))</f>
        <v>#REF!</v>
      </c>
      <c r="BD213" s="365" t="e">
        <f>INDEX(#REF!, MATCH($A213,#REF!, 0), MATCH(BD$4,#REF!, 0))</f>
        <v>#REF!</v>
      </c>
      <c r="BE213" s="321" t="e">
        <f>INDEX(#REF!, MATCH($A213,#REF!, 0), MATCH(BE$4,#REF!, 0))</f>
        <v>#REF!</v>
      </c>
      <c r="BF213" s="242" t="e">
        <f>INDEX(#REF!, MATCH($A213,#REF!, 0), MATCH(BF$4,#REF!, 0))</f>
        <v>#REF!</v>
      </c>
      <c r="BG213" s="242" t="e">
        <f>INDEX(#REF!, MATCH($A213,#REF!, 0), MATCH(BG$4,#REF!, 0))</f>
        <v>#REF!</v>
      </c>
      <c r="BH213" s="242" t="e">
        <f>INDEX(#REF!, MATCH($A213,#REF!, 0), MATCH(BH$4,#REF!, 0))</f>
        <v>#REF!</v>
      </c>
      <c r="BI213" s="242" t="e">
        <f>INDEX(#REF!, MATCH($A213,#REF!, 0), MATCH(BI$4,#REF!, 0))</f>
        <v>#REF!</v>
      </c>
      <c r="BJ213" s="242" t="e">
        <f>INDEX(#REF!, MATCH($A213,#REF!, 0), MATCH(BJ$4,#REF!, 0))</f>
        <v>#REF!</v>
      </c>
      <c r="BK213" s="365" t="e">
        <f>INDEX(#REF!, MATCH($A213,#REF!, 0), MATCH(BK$4,#REF!, 0))</f>
        <v>#REF!</v>
      </c>
      <c r="BL213" s="94" t="e">
        <f t="shared" ref="BL213:BR213" si="614">BL215+BL219</f>
        <v>#REF!</v>
      </c>
      <c r="BM213" s="94" t="e">
        <f t="shared" si="614"/>
        <v>#REF!</v>
      </c>
      <c r="BN213" s="94" t="e">
        <f t="shared" si="614"/>
        <v>#REF!</v>
      </c>
      <c r="BO213" s="94" t="e">
        <f t="shared" si="614"/>
        <v>#REF!</v>
      </c>
      <c r="BP213" s="94" t="e">
        <f t="shared" si="614"/>
        <v>#REF!</v>
      </c>
      <c r="BQ213" s="94" t="e">
        <f t="shared" si="614"/>
        <v>#REF!</v>
      </c>
      <c r="BR213" s="94" t="e">
        <f t="shared" si="614"/>
        <v>#REF!</v>
      </c>
      <c r="BS213" s="235"/>
      <c r="BT213" s="243"/>
      <c r="BU213" s="235"/>
      <c r="BV213" s="235"/>
      <c r="BW213" s="235"/>
      <c r="BX213" s="235"/>
      <c r="BY213" s="235"/>
      <c r="BZ213" s="235"/>
      <c r="CA213" s="235"/>
      <c r="CB213" s="235"/>
      <c r="CC213" s="235"/>
      <c r="CD213" s="235"/>
      <c r="CE213" s="235"/>
      <c r="CF213" s="235"/>
      <c r="CG213" s="235"/>
      <c r="CH213" s="235"/>
      <c r="CI213" s="235"/>
      <c r="CJ213" s="235"/>
      <c r="CK213" s="235"/>
      <c r="CL213" s="235"/>
      <c r="CM213" s="235"/>
    </row>
    <row r="214" spans="1:91" ht="14.1">
      <c r="A214" s="111"/>
      <c r="B214" s="147"/>
      <c r="D214" s="153"/>
      <c r="E214" s="153"/>
      <c r="F214" s="153"/>
      <c r="G214" s="153"/>
      <c r="H214" s="153"/>
      <c r="I214" s="153"/>
      <c r="J214" s="153"/>
      <c r="K214" s="153"/>
      <c r="L214" s="153"/>
      <c r="M214" s="153"/>
      <c r="N214" s="153"/>
      <c r="O214" s="153"/>
      <c r="P214" s="153"/>
      <c r="Q214" s="153"/>
      <c r="R214" s="153"/>
      <c r="S214" s="153"/>
      <c r="T214" s="153"/>
      <c r="U214" s="153"/>
      <c r="V214" s="344"/>
      <c r="W214" s="153"/>
      <c r="X214" s="153"/>
      <c r="Y214" s="153"/>
      <c r="Z214" s="153"/>
      <c r="AA214" s="153"/>
      <c r="AB214" s="153"/>
      <c r="AC214" s="344"/>
      <c r="AD214" s="153"/>
      <c r="AE214" s="153"/>
      <c r="AF214" s="153"/>
      <c r="AG214" s="153"/>
      <c r="AH214" s="153"/>
      <c r="AI214" s="153"/>
      <c r="AJ214" s="344"/>
      <c r="AK214" s="153"/>
      <c r="AL214" s="153"/>
      <c r="AM214" s="153"/>
      <c r="AN214" s="153"/>
      <c r="AO214" s="153"/>
      <c r="AP214" s="153"/>
      <c r="AQ214" s="344"/>
      <c r="AR214" s="153"/>
      <c r="AS214" s="153"/>
      <c r="AT214" s="153"/>
      <c r="AU214" s="153"/>
      <c r="AV214" s="153"/>
      <c r="AW214" s="153"/>
      <c r="AX214" s="344"/>
      <c r="AY214" s="153"/>
      <c r="AZ214" s="153"/>
      <c r="BA214" s="153"/>
      <c r="BB214" s="153"/>
      <c r="BC214" s="153"/>
      <c r="BD214" s="386"/>
      <c r="BE214" s="344"/>
      <c r="BF214" s="153"/>
      <c r="BG214" s="153"/>
      <c r="BH214" s="153"/>
      <c r="BI214" s="153"/>
      <c r="BJ214" s="153"/>
      <c r="BK214" s="386"/>
      <c r="BL214"/>
      <c r="BM214"/>
      <c r="BN214"/>
      <c r="BO214"/>
      <c r="BP214"/>
      <c r="BQ214"/>
      <c r="BR214"/>
    </row>
    <row r="215" spans="1:91" ht="12.9">
      <c r="A215" s="111"/>
      <c r="B215" s="203" t="s">
        <v>296</v>
      </c>
      <c r="D215" s="93" t="e">
        <f t="shared" ref="D215:BR215" si="615">D216+D217</f>
        <v>#REF!</v>
      </c>
      <c r="E215" s="93" t="e">
        <f t="shared" si="615"/>
        <v>#REF!</v>
      </c>
      <c r="F215" s="93" t="e">
        <f t="shared" si="615"/>
        <v>#REF!</v>
      </c>
      <c r="G215" s="93" t="e">
        <f t="shared" si="615"/>
        <v>#REF!</v>
      </c>
      <c r="H215" s="93" t="e">
        <f t="shared" si="615"/>
        <v>#REF!</v>
      </c>
      <c r="I215" s="93" t="e">
        <f t="shared" si="615"/>
        <v>#REF!</v>
      </c>
      <c r="J215" s="93" t="e">
        <f t="shared" si="615"/>
        <v>#REF!</v>
      </c>
      <c r="K215" s="93" t="e">
        <f t="shared" si="615"/>
        <v>#REF!</v>
      </c>
      <c r="L215" s="93" t="e">
        <f t="shared" si="615"/>
        <v>#REF!</v>
      </c>
      <c r="M215" s="93" t="e">
        <f t="shared" si="615"/>
        <v>#REF!</v>
      </c>
      <c r="N215" s="93" t="e">
        <f t="shared" si="615"/>
        <v>#REF!</v>
      </c>
      <c r="O215" s="93" t="e">
        <f t="shared" si="615"/>
        <v>#REF!</v>
      </c>
      <c r="P215" s="93" t="e">
        <f t="shared" si="615"/>
        <v>#REF!</v>
      </c>
      <c r="Q215" s="93" t="e">
        <f t="shared" si="615"/>
        <v>#REF!</v>
      </c>
      <c r="R215" s="93" t="e">
        <f t="shared" si="615"/>
        <v>#REF!</v>
      </c>
      <c r="S215" s="93" t="e">
        <f t="shared" si="615"/>
        <v>#REF!</v>
      </c>
      <c r="T215" s="93" t="e">
        <f t="shared" si="615"/>
        <v>#REF!</v>
      </c>
      <c r="U215" s="93" t="e">
        <f t="shared" si="615"/>
        <v>#REF!</v>
      </c>
      <c r="V215" s="141" t="e">
        <f t="shared" ref="V215:AA215" si="616">V216+V217</f>
        <v>#REF!</v>
      </c>
      <c r="W215" s="93" t="e">
        <f t="shared" si="616"/>
        <v>#REF!</v>
      </c>
      <c r="X215" s="93" t="e">
        <f t="shared" si="616"/>
        <v>#REF!</v>
      </c>
      <c r="Y215" s="93" t="e">
        <f t="shared" si="616"/>
        <v>#REF!</v>
      </c>
      <c r="Z215" s="93" t="e">
        <f t="shared" si="616"/>
        <v>#REF!</v>
      </c>
      <c r="AA215" s="93" t="e">
        <f t="shared" si="616"/>
        <v>#REF!</v>
      </c>
      <c r="AB215" s="93" t="e">
        <f t="shared" si="615"/>
        <v>#REF!</v>
      </c>
      <c r="AC215" s="141" t="e">
        <f t="shared" ref="AC215:AH215" si="617">AC216+AC217</f>
        <v>#REF!</v>
      </c>
      <c r="AD215" s="93" t="e">
        <f t="shared" si="617"/>
        <v>#REF!</v>
      </c>
      <c r="AE215" s="93" t="e">
        <f t="shared" si="617"/>
        <v>#REF!</v>
      </c>
      <c r="AF215" s="93" t="e">
        <f t="shared" si="617"/>
        <v>#REF!</v>
      </c>
      <c r="AG215" s="93" t="e">
        <f t="shared" si="617"/>
        <v>#REF!</v>
      </c>
      <c r="AH215" s="93" t="e">
        <f t="shared" si="617"/>
        <v>#REF!</v>
      </c>
      <c r="AI215" s="93" t="e">
        <f t="shared" si="615"/>
        <v>#REF!</v>
      </c>
      <c r="AJ215" s="141" t="e">
        <f t="shared" ref="AJ215:AO215" si="618">AJ216+AJ217</f>
        <v>#REF!</v>
      </c>
      <c r="AK215" s="93" t="e">
        <f t="shared" si="618"/>
        <v>#REF!</v>
      </c>
      <c r="AL215" s="93" t="e">
        <f t="shared" si="618"/>
        <v>#REF!</v>
      </c>
      <c r="AM215" s="93" t="e">
        <f t="shared" si="618"/>
        <v>#REF!</v>
      </c>
      <c r="AN215" s="93" t="e">
        <f t="shared" si="618"/>
        <v>#REF!</v>
      </c>
      <c r="AO215" s="93" t="e">
        <f t="shared" si="618"/>
        <v>#REF!</v>
      </c>
      <c r="AP215" s="93" t="e">
        <f t="shared" si="615"/>
        <v>#REF!</v>
      </c>
      <c r="AQ215" s="141" t="e">
        <f t="shared" ref="AQ215:AV215" si="619">AQ216+AQ217</f>
        <v>#REF!</v>
      </c>
      <c r="AR215" s="93" t="e">
        <f t="shared" si="619"/>
        <v>#REF!</v>
      </c>
      <c r="AS215" s="93" t="e">
        <f t="shared" si="619"/>
        <v>#REF!</v>
      </c>
      <c r="AT215" s="93" t="e">
        <f t="shared" si="619"/>
        <v>#REF!</v>
      </c>
      <c r="AU215" s="93" t="e">
        <f t="shared" si="619"/>
        <v>#REF!</v>
      </c>
      <c r="AV215" s="93" t="e">
        <f t="shared" si="619"/>
        <v>#REF!</v>
      </c>
      <c r="AW215" s="93" t="e">
        <f t="shared" si="615"/>
        <v>#REF!</v>
      </c>
      <c r="AX215" s="141" t="e">
        <f t="shared" si="615"/>
        <v>#REF!</v>
      </c>
      <c r="AY215" s="93" t="e">
        <f t="shared" ref="AY215:AZ215" si="620">AY216+AY217</f>
        <v>#REF!</v>
      </c>
      <c r="AZ215" s="93" t="e">
        <f t="shared" si="620"/>
        <v>#REF!</v>
      </c>
      <c r="BA215" s="93" t="e">
        <f t="shared" ref="BA215:BC215" si="621">BA216+BA217</f>
        <v>#REF!</v>
      </c>
      <c r="BB215" s="93" t="e">
        <f t="shared" si="621"/>
        <v>#REF!</v>
      </c>
      <c r="BC215" s="93" t="e">
        <f t="shared" si="621"/>
        <v>#REF!</v>
      </c>
      <c r="BD215" s="139" t="e">
        <f t="shared" ref="BD215:BJ215" si="622">BD216+BD217</f>
        <v>#REF!</v>
      </c>
      <c r="BE215" s="141" t="e">
        <f t="shared" si="622"/>
        <v>#REF!</v>
      </c>
      <c r="BF215" s="93" t="e">
        <f t="shared" si="622"/>
        <v>#REF!</v>
      </c>
      <c r="BG215" s="93" t="e">
        <f t="shared" si="622"/>
        <v>#REF!</v>
      </c>
      <c r="BH215" s="93" t="e">
        <f t="shared" si="622"/>
        <v>#REF!</v>
      </c>
      <c r="BI215" s="93" t="e">
        <f t="shared" si="622"/>
        <v>#REF!</v>
      </c>
      <c r="BJ215" s="93" t="e">
        <f t="shared" si="622"/>
        <v>#REF!</v>
      </c>
      <c r="BK215" s="139" t="e">
        <f t="shared" ref="BK215" si="623">BK216+BK217</f>
        <v>#REF!</v>
      </c>
      <c r="BL215" s="93" t="e">
        <f t="shared" si="615"/>
        <v>#REF!</v>
      </c>
      <c r="BM215" s="93" t="e">
        <f t="shared" si="615"/>
        <v>#REF!</v>
      </c>
      <c r="BN215" s="93" t="e">
        <f t="shared" si="615"/>
        <v>#REF!</v>
      </c>
      <c r="BO215" s="93" t="e">
        <f t="shared" si="615"/>
        <v>#REF!</v>
      </c>
      <c r="BP215" s="93" t="e">
        <f t="shared" si="615"/>
        <v>#REF!</v>
      </c>
      <c r="BQ215" s="93" t="e">
        <f t="shared" si="615"/>
        <v>#REF!</v>
      </c>
      <c r="BR215" s="93" t="e">
        <f t="shared" si="615"/>
        <v>#REF!</v>
      </c>
    </row>
    <row r="216" spans="1:91" ht="14.25" customHeight="1">
      <c r="A216" s="105" t="s">
        <v>186</v>
      </c>
      <c r="B216" s="117" t="s">
        <v>125</v>
      </c>
      <c r="C216" s="117"/>
      <c r="D216" s="146" t="e">
        <f>INDEX(#REF!, MATCH($A216,#REF!, 0), MATCH(D$4,#REF!, 0))</f>
        <v>#REF!</v>
      </c>
      <c r="E216" s="146" t="e">
        <f>INDEX(#REF!, MATCH($A216,#REF!, 0), MATCH(E$4,#REF!, 0))</f>
        <v>#REF!</v>
      </c>
      <c r="F216" s="146" t="e">
        <f>INDEX(#REF!, MATCH($A216,#REF!, 0), MATCH(F$4,#REF!, 0))</f>
        <v>#REF!</v>
      </c>
      <c r="G216" s="146" t="e">
        <f>INDEX(#REF!, MATCH($A216,#REF!, 0), MATCH(G$4,#REF!, 0))</f>
        <v>#REF!</v>
      </c>
      <c r="H216" s="146" t="e">
        <f>INDEX(#REF!, MATCH($A216,#REF!, 0), MATCH(H$4,#REF!, 0))</f>
        <v>#REF!</v>
      </c>
      <c r="I216" s="146" t="e">
        <f>INDEX(#REF!, MATCH($A216,#REF!, 0), MATCH(I$4,#REF!, 0))</f>
        <v>#REF!</v>
      </c>
      <c r="J216" s="146" t="e">
        <f>INDEX(#REF!, MATCH($A216,#REF!, 0), MATCH(J$4,#REF!, 0))</f>
        <v>#REF!</v>
      </c>
      <c r="K216" s="146" t="e">
        <f>INDEX(#REF!, MATCH($A216,#REF!, 0), MATCH(K$4,#REF!, 0))</f>
        <v>#REF!</v>
      </c>
      <c r="L216" s="146" t="e">
        <f>INDEX(#REF!, MATCH($A216,#REF!, 0), MATCH(L$4,#REF!, 0))</f>
        <v>#REF!</v>
      </c>
      <c r="M216" s="146" t="e">
        <f>INDEX(#REF!, MATCH($A216,#REF!, 0), MATCH(M$4,#REF!, 0))</f>
        <v>#REF!</v>
      </c>
      <c r="N216" s="146" t="e">
        <f>INDEX(#REF!, MATCH($A216,#REF!, 0), MATCH(N$4,#REF!, 0))</f>
        <v>#REF!</v>
      </c>
      <c r="O216" s="146" t="e">
        <f>INDEX(#REF!, MATCH($A216,#REF!, 0), MATCH(O$4,#REF!, 0))</f>
        <v>#REF!</v>
      </c>
      <c r="P216" s="146" t="e">
        <f>INDEX(#REF!, MATCH($A216,#REF!, 0), MATCH(P$4,#REF!, 0))</f>
        <v>#REF!</v>
      </c>
      <c r="Q216" s="146" t="e">
        <f>INDEX(#REF!, MATCH($A216,#REF!, 0), MATCH(Q$4,#REF!, 0))</f>
        <v>#REF!</v>
      </c>
      <c r="R216" s="146" t="e">
        <f>INDEX(#REF!, MATCH($A216,#REF!, 0), MATCH(R$4,#REF!, 0))</f>
        <v>#REF!</v>
      </c>
      <c r="S216" s="146" t="e">
        <f>INDEX(#REF!, MATCH($A216,#REF!, 0), MATCH(S$4,#REF!, 0))</f>
        <v>#REF!</v>
      </c>
      <c r="T216" s="146" t="e">
        <f>INDEX(#REF!, MATCH($A216,#REF!, 0), MATCH(T$4,#REF!, 0))</f>
        <v>#REF!</v>
      </c>
      <c r="U216" s="146" t="e">
        <f>INDEX(#REF!, MATCH($A216,#REF!, 0), MATCH(U$4,#REF!, 0))</f>
        <v>#REF!</v>
      </c>
      <c r="V216" s="320" t="e">
        <f>INDEX(#REF!, MATCH($A216,#REF!, 0), MATCH(V$4,#REF!, 0))</f>
        <v>#REF!</v>
      </c>
      <c r="W216" s="146" t="e">
        <f>INDEX(#REF!, MATCH($A216,#REF!, 0), MATCH(W$4,#REF!, 0))</f>
        <v>#REF!</v>
      </c>
      <c r="X216" s="146" t="e">
        <f>INDEX(#REF!, MATCH($A216,#REF!, 0), MATCH(X$4,#REF!, 0))</f>
        <v>#REF!</v>
      </c>
      <c r="Y216" s="146" t="e">
        <f>INDEX(#REF!, MATCH($A216,#REF!, 0), MATCH(Y$4,#REF!, 0))</f>
        <v>#REF!</v>
      </c>
      <c r="Z216" s="146" t="e">
        <f>INDEX(#REF!, MATCH($A216,#REF!, 0), MATCH(Z$4,#REF!, 0))</f>
        <v>#REF!</v>
      </c>
      <c r="AA216" s="146" t="e">
        <f>INDEX(#REF!, MATCH($A216,#REF!, 0), MATCH(AA$4,#REF!, 0))</f>
        <v>#REF!</v>
      </c>
      <c r="AB216" s="146" t="e">
        <f>INDEX(#REF!, MATCH($A216,#REF!, 0), MATCH(AB$4,#REF!, 0))</f>
        <v>#REF!</v>
      </c>
      <c r="AC216" s="320" t="e">
        <f>INDEX(#REF!, MATCH($A216,#REF!, 0), MATCH(AC$4,#REF!, 0))</f>
        <v>#REF!</v>
      </c>
      <c r="AD216" s="146" t="e">
        <f>INDEX(#REF!, MATCH($A216,#REF!, 0), MATCH(AD$4,#REF!, 0))</f>
        <v>#REF!</v>
      </c>
      <c r="AE216" s="146" t="e">
        <f>INDEX(#REF!, MATCH($A216,#REF!, 0), MATCH(AE$4,#REF!, 0))</f>
        <v>#REF!</v>
      </c>
      <c r="AF216" s="146" t="e">
        <f>INDEX(#REF!, MATCH($A216,#REF!, 0), MATCH(AF$4,#REF!, 0))</f>
        <v>#REF!</v>
      </c>
      <c r="AG216" s="146" t="e">
        <f>INDEX(#REF!, MATCH($A216,#REF!, 0), MATCH(AG$4,#REF!, 0))</f>
        <v>#REF!</v>
      </c>
      <c r="AH216" s="146" t="e">
        <f>INDEX(#REF!, MATCH($A216,#REF!, 0), MATCH(AH$4,#REF!, 0))</f>
        <v>#REF!</v>
      </c>
      <c r="AI216" s="146" t="e">
        <f>INDEX(#REF!, MATCH($A216,#REF!, 0), MATCH(AI$4,#REF!, 0))</f>
        <v>#REF!</v>
      </c>
      <c r="AJ216" s="320" t="e">
        <f>INDEX(#REF!, MATCH($A216,#REF!, 0), MATCH(AJ$4,#REF!, 0))</f>
        <v>#REF!</v>
      </c>
      <c r="AK216" s="146" t="e">
        <f>INDEX(#REF!, MATCH($A216,#REF!, 0), MATCH(AK$4,#REF!, 0))</f>
        <v>#REF!</v>
      </c>
      <c r="AL216" s="146" t="e">
        <f>INDEX(#REF!, MATCH($A216,#REF!, 0), MATCH(AL$4,#REF!, 0))</f>
        <v>#REF!</v>
      </c>
      <c r="AM216" s="146" t="e">
        <f>INDEX(#REF!, MATCH($A216,#REF!, 0), MATCH(AM$4,#REF!, 0))</f>
        <v>#REF!</v>
      </c>
      <c r="AN216" s="146" t="e">
        <f>INDEX(#REF!, MATCH($A216,#REF!, 0), MATCH(AN$4,#REF!, 0))</f>
        <v>#REF!</v>
      </c>
      <c r="AO216" s="146" t="e">
        <f>INDEX(#REF!, MATCH($A216,#REF!, 0), MATCH(AO$4,#REF!, 0))</f>
        <v>#REF!</v>
      </c>
      <c r="AP216" s="146" t="e">
        <f>INDEX(#REF!, MATCH($A216,#REF!, 0), MATCH(AP$4,#REF!, 0))</f>
        <v>#REF!</v>
      </c>
      <c r="AQ216" s="320" t="e">
        <f>INDEX(#REF!, MATCH($A216,#REF!, 0), MATCH(AQ$4,#REF!, 0))</f>
        <v>#REF!</v>
      </c>
      <c r="AR216" s="146" t="e">
        <f>INDEX(#REF!, MATCH($A216,#REF!, 0), MATCH(AR$4,#REF!, 0))</f>
        <v>#REF!</v>
      </c>
      <c r="AS216" s="146" t="e">
        <f>INDEX(#REF!, MATCH($A216,#REF!, 0), MATCH(AS$4,#REF!, 0))</f>
        <v>#REF!</v>
      </c>
      <c r="AT216" s="146" t="e">
        <f>INDEX(#REF!, MATCH($A216,#REF!, 0), MATCH(AT$4,#REF!, 0))</f>
        <v>#REF!</v>
      </c>
      <c r="AU216" s="146" t="e">
        <f>INDEX(#REF!, MATCH($A216,#REF!, 0), MATCH(AU$4,#REF!, 0))</f>
        <v>#REF!</v>
      </c>
      <c r="AV216" s="146" t="e">
        <f>INDEX(#REF!, MATCH($A216,#REF!, 0), MATCH(AV$4,#REF!, 0))</f>
        <v>#REF!</v>
      </c>
      <c r="AW216" s="146" t="e">
        <f>INDEX(#REF!, MATCH($A216,#REF!, 0), MATCH(AW$4,#REF!, 0))</f>
        <v>#REF!</v>
      </c>
      <c r="AX216" s="320" t="e">
        <f>INDEX(#REF!, MATCH($A216,#REF!, 0), MATCH(AX$4,#REF!, 0))</f>
        <v>#REF!</v>
      </c>
      <c r="AY216" s="146" t="e">
        <f>INDEX(#REF!, MATCH($A216,#REF!, 0), MATCH(AY$4,#REF!, 0))</f>
        <v>#REF!</v>
      </c>
      <c r="AZ216" s="146" t="e">
        <f>INDEX(#REF!, MATCH($A216,#REF!, 0), MATCH(AZ$4,#REF!, 0))</f>
        <v>#REF!</v>
      </c>
      <c r="BA216" s="146" t="e">
        <f>INDEX(#REF!, MATCH($A216,#REF!, 0), MATCH(BA$4,#REF!, 0))</f>
        <v>#REF!</v>
      </c>
      <c r="BB216" s="146" t="e">
        <f>INDEX(#REF!, MATCH($A216,#REF!, 0), MATCH(BB$4,#REF!, 0))</f>
        <v>#REF!</v>
      </c>
      <c r="BC216" s="146" t="e">
        <f>INDEX(#REF!, MATCH($A216,#REF!, 0), MATCH(BC$4,#REF!, 0))</f>
        <v>#REF!</v>
      </c>
      <c r="BD216" s="364" t="e">
        <f>INDEX(#REF!, MATCH($A216,#REF!, 0), MATCH(BD$4,#REF!, 0))</f>
        <v>#REF!</v>
      </c>
      <c r="BE216" s="320" t="e">
        <f>INDEX(#REF!, MATCH($A216,#REF!, 0), MATCH(BE$4,#REF!, 0))</f>
        <v>#REF!</v>
      </c>
      <c r="BF216" s="146" t="e">
        <f>INDEX(#REF!, MATCH($A216,#REF!, 0), MATCH(BF$4,#REF!, 0))</f>
        <v>#REF!</v>
      </c>
      <c r="BG216" s="146" t="e">
        <f>INDEX(#REF!, MATCH($A216,#REF!, 0), MATCH(BG$4,#REF!, 0))</f>
        <v>#REF!</v>
      </c>
      <c r="BH216" s="146" t="e">
        <f>INDEX(#REF!, MATCH($A216,#REF!, 0), MATCH(BH$4,#REF!, 0))</f>
        <v>#REF!</v>
      </c>
      <c r="BI216" s="146" t="e">
        <f>INDEX(#REF!, MATCH($A216,#REF!, 0), MATCH(BI$4,#REF!, 0))</f>
        <v>#REF!</v>
      </c>
      <c r="BJ216" s="146" t="e">
        <f>INDEX(#REF!, MATCH($A216,#REF!, 0), MATCH(BJ$4,#REF!, 0))</f>
        <v>#REF!</v>
      </c>
      <c r="BK216" s="364" t="e">
        <f>INDEX(#REF!, MATCH($A216,#REF!, 0), MATCH(BK$4,#REF!, 0))</f>
        <v>#REF!</v>
      </c>
      <c r="BL216" s="112" t="e">
        <f>BK216</f>
        <v>#REF!</v>
      </c>
      <c r="BM216" s="112" t="e">
        <f t="shared" ref="BM216:BO217" si="624">BL216</f>
        <v>#REF!</v>
      </c>
      <c r="BN216" s="112" t="e">
        <f t="shared" si="624"/>
        <v>#REF!</v>
      </c>
      <c r="BO216" s="112" t="e">
        <f t="shared" si="624"/>
        <v>#REF!</v>
      </c>
      <c r="BP216" s="112" t="e">
        <f t="shared" ref="BP216:BR217" si="625">BO216</f>
        <v>#REF!</v>
      </c>
      <c r="BQ216" s="112" t="e">
        <f>BP216</f>
        <v>#REF!</v>
      </c>
      <c r="BR216" s="112" t="e">
        <f t="shared" si="625"/>
        <v>#REF!</v>
      </c>
      <c r="BT216" s="121"/>
    </row>
    <row r="217" spans="1:91">
      <c r="A217" s="111" t="s">
        <v>187</v>
      </c>
      <c r="B217" s="117" t="s">
        <v>295</v>
      </c>
      <c r="D217" s="146" t="e">
        <f>INDEX(#REF!, MATCH($A217,#REF!, 0), MATCH(D$4,#REF!, 0))</f>
        <v>#REF!</v>
      </c>
      <c r="E217" s="146" t="e">
        <f>INDEX(#REF!, MATCH($A217,#REF!, 0), MATCH(E$4,#REF!, 0))</f>
        <v>#REF!</v>
      </c>
      <c r="F217" s="146" t="e">
        <f>INDEX(#REF!, MATCH($A217,#REF!, 0), MATCH(F$4,#REF!, 0))</f>
        <v>#REF!</v>
      </c>
      <c r="G217" s="146" t="e">
        <f>INDEX(#REF!, MATCH($A217,#REF!, 0), MATCH(G$4,#REF!, 0))</f>
        <v>#REF!</v>
      </c>
      <c r="H217" s="146" t="e">
        <f>INDEX(#REF!, MATCH($A217,#REF!, 0), MATCH(H$4,#REF!, 0))</f>
        <v>#REF!</v>
      </c>
      <c r="I217" s="146" t="e">
        <f>INDEX(#REF!, MATCH($A217,#REF!, 0), MATCH(I$4,#REF!, 0))</f>
        <v>#REF!</v>
      </c>
      <c r="J217" s="146" t="e">
        <f>INDEX(#REF!, MATCH($A217,#REF!, 0), MATCH(J$4,#REF!, 0))</f>
        <v>#REF!</v>
      </c>
      <c r="K217" s="146" t="e">
        <f>INDEX(#REF!, MATCH($A217,#REF!, 0), MATCH(K$4,#REF!, 0))</f>
        <v>#REF!</v>
      </c>
      <c r="L217" s="146" t="e">
        <f>INDEX(#REF!, MATCH($A217,#REF!, 0), MATCH(L$4,#REF!, 0))</f>
        <v>#REF!</v>
      </c>
      <c r="M217" s="146" t="e">
        <f>INDEX(#REF!, MATCH($A217,#REF!, 0), MATCH(M$4,#REF!, 0))</f>
        <v>#REF!</v>
      </c>
      <c r="N217" s="146" t="e">
        <f>INDEX(#REF!, MATCH($A217,#REF!, 0), MATCH(N$4,#REF!, 0))</f>
        <v>#REF!</v>
      </c>
      <c r="O217" s="146" t="e">
        <f>INDEX(#REF!, MATCH($A217,#REF!, 0), MATCH(O$4,#REF!, 0))</f>
        <v>#REF!</v>
      </c>
      <c r="P217" s="146" t="e">
        <f>INDEX(#REF!, MATCH($A217,#REF!, 0), MATCH(P$4,#REF!, 0))</f>
        <v>#REF!</v>
      </c>
      <c r="Q217" s="146" t="e">
        <f>INDEX(#REF!, MATCH($A217,#REF!, 0), MATCH(Q$4,#REF!, 0))</f>
        <v>#REF!</v>
      </c>
      <c r="R217" s="146" t="e">
        <f>INDEX(#REF!, MATCH($A217,#REF!, 0), MATCH(R$4,#REF!, 0))</f>
        <v>#REF!</v>
      </c>
      <c r="S217" s="146" t="e">
        <f>INDEX(#REF!, MATCH($A217,#REF!, 0), MATCH(S$4,#REF!, 0))</f>
        <v>#REF!</v>
      </c>
      <c r="T217" s="146" t="e">
        <f>INDEX(#REF!, MATCH($A217,#REF!, 0), MATCH(T$4,#REF!, 0))</f>
        <v>#REF!</v>
      </c>
      <c r="U217" s="146" t="e">
        <f>INDEX(#REF!, MATCH($A217,#REF!, 0), MATCH(U$4,#REF!, 0))</f>
        <v>#REF!</v>
      </c>
      <c r="V217" s="320" t="e">
        <f>INDEX(#REF!, MATCH($A217,#REF!, 0), MATCH(V$4,#REF!, 0))</f>
        <v>#REF!</v>
      </c>
      <c r="W217" s="146" t="e">
        <f>INDEX(#REF!, MATCH($A217,#REF!, 0), MATCH(W$4,#REF!, 0))</f>
        <v>#REF!</v>
      </c>
      <c r="X217" s="146" t="e">
        <f>INDEX(#REF!, MATCH($A217,#REF!, 0), MATCH(X$4,#REF!, 0))</f>
        <v>#REF!</v>
      </c>
      <c r="Y217" s="146" t="e">
        <f>INDEX(#REF!, MATCH($A217,#REF!, 0), MATCH(Y$4,#REF!, 0))</f>
        <v>#REF!</v>
      </c>
      <c r="Z217" s="146" t="e">
        <f>INDEX(#REF!, MATCH($A217,#REF!, 0), MATCH(Z$4,#REF!, 0))</f>
        <v>#REF!</v>
      </c>
      <c r="AA217" s="146" t="e">
        <f>INDEX(#REF!, MATCH($A217,#REF!, 0), MATCH(AA$4,#REF!, 0))</f>
        <v>#REF!</v>
      </c>
      <c r="AB217" s="146" t="e">
        <f>INDEX(#REF!, MATCH($A217,#REF!, 0), MATCH(AB$4,#REF!, 0))</f>
        <v>#REF!</v>
      </c>
      <c r="AC217" s="320" t="e">
        <f>INDEX(#REF!, MATCH($A217,#REF!, 0), MATCH(AC$4,#REF!, 0))</f>
        <v>#REF!</v>
      </c>
      <c r="AD217" s="146" t="e">
        <f>INDEX(#REF!, MATCH($A217,#REF!, 0), MATCH(AD$4,#REF!, 0))</f>
        <v>#REF!</v>
      </c>
      <c r="AE217" s="146" t="e">
        <f>INDEX(#REF!, MATCH($A217,#REF!, 0), MATCH(AE$4,#REF!, 0))</f>
        <v>#REF!</v>
      </c>
      <c r="AF217" s="146" t="e">
        <f>INDEX(#REF!, MATCH($A217,#REF!, 0), MATCH(AF$4,#REF!, 0))</f>
        <v>#REF!</v>
      </c>
      <c r="AG217" s="146" t="e">
        <f>INDEX(#REF!, MATCH($A217,#REF!, 0), MATCH(AG$4,#REF!, 0))</f>
        <v>#REF!</v>
      </c>
      <c r="AH217" s="146" t="e">
        <f>INDEX(#REF!, MATCH($A217,#REF!, 0), MATCH(AH$4,#REF!, 0))</f>
        <v>#REF!</v>
      </c>
      <c r="AI217" s="146" t="e">
        <f>INDEX(#REF!, MATCH($A217,#REF!, 0), MATCH(AI$4,#REF!, 0))</f>
        <v>#REF!</v>
      </c>
      <c r="AJ217" s="320" t="e">
        <f>INDEX(#REF!, MATCH($A217,#REF!, 0), MATCH(AJ$4,#REF!, 0))</f>
        <v>#REF!</v>
      </c>
      <c r="AK217" s="146" t="e">
        <f>INDEX(#REF!, MATCH($A217,#REF!, 0), MATCH(AK$4,#REF!, 0))</f>
        <v>#REF!</v>
      </c>
      <c r="AL217" s="146" t="e">
        <f>INDEX(#REF!, MATCH($A217,#REF!, 0), MATCH(AL$4,#REF!, 0))</f>
        <v>#REF!</v>
      </c>
      <c r="AM217" s="146" t="e">
        <f>INDEX(#REF!, MATCH($A217,#REF!, 0), MATCH(AM$4,#REF!, 0))</f>
        <v>#REF!</v>
      </c>
      <c r="AN217" s="146" t="e">
        <f>INDEX(#REF!, MATCH($A217,#REF!, 0), MATCH(AN$4,#REF!, 0))</f>
        <v>#REF!</v>
      </c>
      <c r="AO217" s="146" t="e">
        <f>INDEX(#REF!, MATCH($A217,#REF!, 0), MATCH(AO$4,#REF!, 0))</f>
        <v>#REF!</v>
      </c>
      <c r="AP217" s="146" t="e">
        <f>INDEX(#REF!, MATCH($A217,#REF!, 0), MATCH(AP$4,#REF!, 0))</f>
        <v>#REF!</v>
      </c>
      <c r="AQ217" s="320" t="e">
        <f>INDEX(#REF!, MATCH($A217,#REF!, 0), MATCH(AQ$4,#REF!, 0))</f>
        <v>#REF!</v>
      </c>
      <c r="AR217" s="146" t="e">
        <f>INDEX(#REF!, MATCH($A217,#REF!, 0), MATCH(AR$4,#REF!, 0))</f>
        <v>#REF!</v>
      </c>
      <c r="AS217" s="146" t="e">
        <f>INDEX(#REF!, MATCH($A217,#REF!, 0), MATCH(AS$4,#REF!, 0))</f>
        <v>#REF!</v>
      </c>
      <c r="AT217" s="146" t="e">
        <f>INDEX(#REF!, MATCH($A217,#REF!, 0), MATCH(AT$4,#REF!, 0))</f>
        <v>#REF!</v>
      </c>
      <c r="AU217" s="146" t="e">
        <f>INDEX(#REF!, MATCH($A217,#REF!, 0), MATCH(AU$4,#REF!, 0))</f>
        <v>#REF!</v>
      </c>
      <c r="AV217" s="146" t="e">
        <f>INDEX(#REF!, MATCH($A217,#REF!, 0), MATCH(AV$4,#REF!, 0))</f>
        <v>#REF!</v>
      </c>
      <c r="AW217" s="146" t="e">
        <f>INDEX(#REF!, MATCH($A217,#REF!, 0), MATCH(AW$4,#REF!, 0))</f>
        <v>#REF!</v>
      </c>
      <c r="AX217" s="320" t="e">
        <f>INDEX(#REF!, MATCH($A217,#REF!, 0), MATCH(AX$4,#REF!, 0))</f>
        <v>#REF!</v>
      </c>
      <c r="AY217" s="146" t="e">
        <f>INDEX(#REF!, MATCH($A217,#REF!, 0), MATCH(AY$4,#REF!, 0))</f>
        <v>#REF!</v>
      </c>
      <c r="AZ217" s="146" t="e">
        <f>INDEX(#REF!, MATCH($A217,#REF!, 0), MATCH(AZ$4,#REF!, 0))</f>
        <v>#REF!</v>
      </c>
      <c r="BA217" s="146" t="e">
        <f>INDEX(#REF!, MATCH($A217,#REF!, 0), MATCH(BA$4,#REF!, 0))</f>
        <v>#REF!</v>
      </c>
      <c r="BB217" s="146" t="e">
        <f>INDEX(#REF!, MATCH($A217,#REF!, 0), MATCH(BB$4,#REF!, 0))</f>
        <v>#REF!</v>
      </c>
      <c r="BC217" s="146" t="e">
        <f>INDEX(#REF!, MATCH($A217,#REF!, 0), MATCH(BC$4,#REF!, 0))</f>
        <v>#REF!</v>
      </c>
      <c r="BD217" s="364" t="e">
        <f>INDEX(#REF!, MATCH($A217,#REF!, 0), MATCH(BD$4,#REF!, 0))</f>
        <v>#REF!</v>
      </c>
      <c r="BE217" s="320" t="e">
        <f>INDEX(#REF!, MATCH($A217,#REF!, 0), MATCH(BE$4,#REF!, 0))</f>
        <v>#REF!</v>
      </c>
      <c r="BF217" s="146" t="e">
        <f>INDEX(#REF!, MATCH($A217,#REF!, 0), MATCH(BF$4,#REF!, 0))</f>
        <v>#REF!</v>
      </c>
      <c r="BG217" s="146" t="e">
        <f>INDEX(#REF!, MATCH($A217,#REF!, 0), MATCH(BG$4,#REF!, 0))</f>
        <v>#REF!</v>
      </c>
      <c r="BH217" s="146" t="e">
        <f>INDEX(#REF!, MATCH($A217,#REF!, 0), MATCH(BH$4,#REF!, 0))</f>
        <v>#REF!</v>
      </c>
      <c r="BI217" s="146" t="e">
        <f>INDEX(#REF!, MATCH($A217,#REF!, 0), MATCH(BI$4,#REF!, 0))</f>
        <v>#REF!</v>
      </c>
      <c r="BJ217" s="146" t="e">
        <f>INDEX(#REF!, MATCH($A217,#REF!, 0), MATCH(BJ$4,#REF!, 0))</f>
        <v>#REF!</v>
      </c>
      <c r="BK217" s="364" t="e">
        <f>INDEX(#REF!, MATCH($A217,#REF!, 0), MATCH(BK$4,#REF!, 0))</f>
        <v>#REF!</v>
      </c>
      <c r="BL217" s="112" t="e">
        <f>BK217</f>
        <v>#REF!</v>
      </c>
      <c r="BM217" s="112" t="e">
        <f t="shared" si="624"/>
        <v>#REF!</v>
      </c>
      <c r="BN217" s="112" t="e">
        <f t="shared" si="624"/>
        <v>#REF!</v>
      </c>
      <c r="BO217" s="112" t="e">
        <f t="shared" si="624"/>
        <v>#REF!</v>
      </c>
      <c r="BP217" s="112" t="e">
        <f t="shared" si="625"/>
        <v>#REF!</v>
      </c>
      <c r="BQ217" s="112" t="e">
        <f>BP217</f>
        <v>#REF!</v>
      </c>
      <c r="BR217" s="112" t="e">
        <f t="shared" si="625"/>
        <v>#REF!</v>
      </c>
    </row>
    <row r="218" spans="1:91" ht="14.1">
      <c r="A218" s="111"/>
      <c r="B218" s="147"/>
      <c r="D218" s="153"/>
      <c r="E218" s="153"/>
      <c r="F218" s="153"/>
      <c r="G218" s="153"/>
      <c r="H218" s="153"/>
      <c r="I218" s="153"/>
      <c r="J218" s="153"/>
      <c r="K218" s="153"/>
      <c r="L218" s="153"/>
      <c r="M218" s="153"/>
      <c r="N218" s="153"/>
      <c r="O218" s="153"/>
      <c r="P218" s="153"/>
      <c r="Q218" s="153"/>
      <c r="R218" s="153"/>
      <c r="S218" s="153"/>
      <c r="T218" s="153"/>
      <c r="U218" s="153"/>
      <c r="V218" s="344"/>
      <c r="W218" s="153"/>
      <c r="X218" s="153"/>
      <c r="Y218" s="153"/>
      <c r="Z218" s="153"/>
      <c r="AA218" s="153"/>
      <c r="AB218" s="153"/>
      <c r="AC218" s="344"/>
      <c r="AD218" s="153"/>
      <c r="AE218" s="153"/>
      <c r="AF218" s="153"/>
      <c r="AG218" s="153"/>
      <c r="AH218" s="153"/>
      <c r="AI218" s="153"/>
      <c r="AJ218" s="344"/>
      <c r="AK218" s="153"/>
      <c r="AL218" s="153"/>
      <c r="AM218" s="153"/>
      <c r="AN218" s="153"/>
      <c r="AO218" s="153"/>
      <c r="AP218" s="153"/>
      <c r="AQ218" s="344"/>
      <c r="AR218" s="153"/>
      <c r="AS218" s="153"/>
      <c r="AT218" s="153"/>
      <c r="AU218" s="153"/>
      <c r="AV218" s="153"/>
      <c r="AW218" s="153"/>
      <c r="AX218" s="344"/>
      <c r="AY218" s="153"/>
      <c r="AZ218" s="153"/>
      <c r="BA218" s="153"/>
      <c r="BB218" s="153"/>
      <c r="BC218" s="153"/>
      <c r="BD218" s="386"/>
      <c r="BE218" s="344"/>
      <c r="BF218" s="153"/>
      <c r="BG218" s="153"/>
      <c r="BH218" s="153"/>
      <c r="BI218" s="153"/>
      <c r="BJ218" s="153"/>
      <c r="BK218" s="386"/>
      <c r="BL218"/>
      <c r="BM218"/>
      <c r="BN218"/>
      <c r="BO218"/>
      <c r="BP218"/>
      <c r="BQ218"/>
      <c r="BR218"/>
    </row>
    <row r="219" spans="1:91" ht="12.9">
      <c r="A219" s="111"/>
      <c r="B219" s="93" t="s">
        <v>297</v>
      </c>
      <c r="D219" s="93" t="e">
        <f t="shared" ref="D219:P219" si="626">D213-D215</f>
        <v>#REF!</v>
      </c>
      <c r="E219" s="93" t="e">
        <f t="shared" si="626"/>
        <v>#REF!</v>
      </c>
      <c r="F219" s="93" t="e">
        <f t="shared" si="626"/>
        <v>#REF!</v>
      </c>
      <c r="G219" s="93" t="e">
        <f t="shared" si="626"/>
        <v>#REF!</v>
      </c>
      <c r="H219" s="93" t="e">
        <f t="shared" si="626"/>
        <v>#REF!</v>
      </c>
      <c r="I219" s="93" t="e">
        <f t="shared" si="626"/>
        <v>#REF!</v>
      </c>
      <c r="J219" s="93" t="e">
        <f t="shared" si="626"/>
        <v>#REF!</v>
      </c>
      <c r="K219" s="93" t="e">
        <f t="shared" si="626"/>
        <v>#REF!</v>
      </c>
      <c r="L219" s="93" t="e">
        <f t="shared" si="626"/>
        <v>#REF!</v>
      </c>
      <c r="M219" s="93" t="e">
        <f t="shared" si="626"/>
        <v>#REF!</v>
      </c>
      <c r="N219" s="93" t="e">
        <f t="shared" si="626"/>
        <v>#REF!</v>
      </c>
      <c r="O219" s="93" t="e">
        <f t="shared" si="626"/>
        <v>#REF!</v>
      </c>
      <c r="P219" s="93" t="e">
        <f t="shared" si="626"/>
        <v>#REF!</v>
      </c>
      <c r="Q219" s="93" t="e">
        <f t="shared" ref="Q219:AX219" si="627">Q213-Q215</f>
        <v>#REF!</v>
      </c>
      <c r="R219" s="93" t="e">
        <f t="shared" si="627"/>
        <v>#REF!</v>
      </c>
      <c r="S219" s="93" t="e">
        <f t="shared" si="627"/>
        <v>#REF!</v>
      </c>
      <c r="T219" s="93" t="e">
        <f t="shared" si="627"/>
        <v>#REF!</v>
      </c>
      <c r="U219" s="93" t="e">
        <f t="shared" si="627"/>
        <v>#REF!</v>
      </c>
      <c r="V219" s="141" t="e">
        <f t="shared" ref="V219:AA219" si="628">V213-V215</f>
        <v>#REF!</v>
      </c>
      <c r="W219" s="93" t="e">
        <f t="shared" si="628"/>
        <v>#REF!</v>
      </c>
      <c r="X219" s="93" t="e">
        <f t="shared" si="628"/>
        <v>#REF!</v>
      </c>
      <c r="Y219" s="93" t="e">
        <f t="shared" si="628"/>
        <v>#REF!</v>
      </c>
      <c r="Z219" s="93" t="e">
        <f t="shared" si="628"/>
        <v>#REF!</v>
      </c>
      <c r="AA219" s="93" t="e">
        <f t="shared" si="628"/>
        <v>#REF!</v>
      </c>
      <c r="AB219" s="93" t="e">
        <f t="shared" si="627"/>
        <v>#REF!</v>
      </c>
      <c r="AC219" s="141" t="e">
        <f t="shared" ref="AC219:AH219" si="629">AC213-AC215</f>
        <v>#REF!</v>
      </c>
      <c r="AD219" s="93" t="e">
        <f t="shared" si="629"/>
        <v>#REF!</v>
      </c>
      <c r="AE219" s="93" t="e">
        <f t="shared" si="629"/>
        <v>#REF!</v>
      </c>
      <c r="AF219" s="93" t="e">
        <f t="shared" si="629"/>
        <v>#REF!</v>
      </c>
      <c r="AG219" s="93" t="e">
        <f t="shared" si="629"/>
        <v>#REF!</v>
      </c>
      <c r="AH219" s="93" t="e">
        <f t="shared" si="629"/>
        <v>#REF!</v>
      </c>
      <c r="AI219" s="93" t="e">
        <f t="shared" si="627"/>
        <v>#REF!</v>
      </c>
      <c r="AJ219" s="141" t="e">
        <f t="shared" ref="AJ219:AO219" si="630">AJ213-AJ215</f>
        <v>#REF!</v>
      </c>
      <c r="AK219" s="93" t="e">
        <f t="shared" si="630"/>
        <v>#REF!</v>
      </c>
      <c r="AL219" s="93" t="e">
        <f t="shared" si="630"/>
        <v>#REF!</v>
      </c>
      <c r="AM219" s="93" t="e">
        <f t="shared" si="630"/>
        <v>#REF!</v>
      </c>
      <c r="AN219" s="93" t="e">
        <f t="shared" si="630"/>
        <v>#REF!</v>
      </c>
      <c r="AO219" s="93" t="e">
        <f t="shared" si="630"/>
        <v>#REF!</v>
      </c>
      <c r="AP219" s="93" t="e">
        <f t="shared" si="627"/>
        <v>#REF!</v>
      </c>
      <c r="AQ219" s="141" t="e">
        <f t="shared" ref="AQ219:AV219" si="631">AQ213-AQ215</f>
        <v>#REF!</v>
      </c>
      <c r="AR219" s="93" t="e">
        <f t="shared" si="631"/>
        <v>#REF!</v>
      </c>
      <c r="AS219" s="93" t="e">
        <f t="shared" si="631"/>
        <v>#REF!</v>
      </c>
      <c r="AT219" s="93" t="e">
        <f t="shared" si="631"/>
        <v>#REF!</v>
      </c>
      <c r="AU219" s="93" t="e">
        <f t="shared" si="631"/>
        <v>#REF!</v>
      </c>
      <c r="AV219" s="93" t="e">
        <f t="shared" si="631"/>
        <v>#REF!</v>
      </c>
      <c r="AW219" s="93" t="e">
        <f t="shared" si="627"/>
        <v>#REF!</v>
      </c>
      <c r="AX219" s="141" t="e">
        <f t="shared" si="627"/>
        <v>#REF!</v>
      </c>
      <c r="AY219" s="93" t="e">
        <f t="shared" ref="AY219:AZ219" si="632">AY213-AY215</f>
        <v>#REF!</v>
      </c>
      <c r="AZ219" s="93" t="e">
        <f t="shared" si="632"/>
        <v>#REF!</v>
      </c>
      <c r="BA219" s="93" t="e">
        <f t="shared" ref="BA219:BC219" si="633">BA213-BA215</f>
        <v>#REF!</v>
      </c>
      <c r="BB219" s="93" t="e">
        <f t="shared" si="633"/>
        <v>#REF!</v>
      </c>
      <c r="BC219" s="93" t="e">
        <f t="shared" si="633"/>
        <v>#REF!</v>
      </c>
      <c r="BD219" s="139" t="e">
        <f t="shared" ref="BD219:BJ219" si="634">BD213-BD215</f>
        <v>#REF!</v>
      </c>
      <c r="BE219" s="141" t="e">
        <f t="shared" si="634"/>
        <v>#REF!</v>
      </c>
      <c r="BF219" s="93" t="e">
        <f t="shared" si="634"/>
        <v>#REF!</v>
      </c>
      <c r="BG219" s="93" t="e">
        <f t="shared" si="634"/>
        <v>#REF!</v>
      </c>
      <c r="BH219" s="93" t="e">
        <f t="shared" si="634"/>
        <v>#REF!</v>
      </c>
      <c r="BI219" s="93" t="e">
        <f t="shared" si="634"/>
        <v>#REF!</v>
      </c>
      <c r="BJ219" s="93" t="e">
        <f t="shared" si="634"/>
        <v>#REF!</v>
      </c>
      <c r="BK219" s="139" t="e">
        <f t="shared" ref="BK219" si="635">BK213-BK215</f>
        <v>#REF!</v>
      </c>
      <c r="BL219" s="112" t="e">
        <f>BK219</f>
        <v>#REF!</v>
      </c>
      <c r="BM219" s="112" t="e">
        <f t="shared" ref="BM219:BR219" si="636">BL219</f>
        <v>#REF!</v>
      </c>
      <c r="BN219" s="112" t="e">
        <f t="shared" si="636"/>
        <v>#REF!</v>
      </c>
      <c r="BO219" s="112" t="e">
        <f t="shared" si="636"/>
        <v>#REF!</v>
      </c>
      <c r="BP219" s="112" t="e">
        <f t="shared" si="636"/>
        <v>#REF!</v>
      </c>
      <c r="BQ219" s="112" t="e">
        <f t="shared" si="636"/>
        <v>#REF!</v>
      </c>
      <c r="BR219" s="112" t="e">
        <f t="shared" si="636"/>
        <v>#REF!</v>
      </c>
    </row>
    <row r="220" spans="1:91" ht="14.1">
      <c r="A220" s="111"/>
      <c r="B220" s="147"/>
      <c r="D220" s="153"/>
      <c r="E220" s="153"/>
      <c r="F220" s="153"/>
      <c r="G220" s="153"/>
      <c r="H220" s="153"/>
      <c r="I220" s="153"/>
      <c r="J220" s="153"/>
      <c r="K220" s="153"/>
      <c r="L220" s="153"/>
      <c r="M220" s="153"/>
      <c r="N220" s="153"/>
      <c r="O220" s="153"/>
      <c r="P220" s="153"/>
      <c r="Q220" s="153"/>
      <c r="R220" s="153"/>
      <c r="S220" s="153"/>
      <c r="T220" s="153"/>
      <c r="U220" s="153"/>
      <c r="V220" s="344"/>
      <c r="W220" s="153"/>
      <c r="X220" s="153"/>
      <c r="Y220" s="153"/>
      <c r="Z220" s="153"/>
      <c r="AA220" s="153"/>
      <c r="AB220" s="153"/>
      <c r="AC220" s="344"/>
      <c r="AD220" s="153"/>
      <c r="AE220" s="153"/>
      <c r="AF220" s="153"/>
      <c r="AG220" s="153"/>
      <c r="AH220" s="153"/>
      <c r="AI220" s="153"/>
      <c r="AJ220" s="344"/>
      <c r="AK220" s="153"/>
      <c r="AL220" s="153"/>
      <c r="AM220" s="153"/>
      <c r="AN220" s="153"/>
      <c r="AO220" s="153"/>
      <c r="AP220" s="153"/>
      <c r="AQ220" s="344"/>
      <c r="AR220" s="153"/>
      <c r="AS220" s="153"/>
      <c r="AT220" s="153"/>
      <c r="AU220" s="153"/>
      <c r="AV220" s="153"/>
      <c r="AW220" s="153"/>
      <c r="AX220" s="344"/>
      <c r="AY220" s="153"/>
      <c r="AZ220" s="153"/>
      <c r="BA220" s="153"/>
      <c r="BB220" s="153"/>
      <c r="BC220" s="153"/>
      <c r="BD220" s="386"/>
      <c r="BE220" s="344"/>
      <c r="BF220" s="153"/>
      <c r="BG220" s="153"/>
      <c r="BH220" s="153"/>
      <c r="BI220" s="153"/>
      <c r="BJ220" s="153"/>
      <c r="BK220" s="386"/>
      <c r="BL220"/>
      <c r="BM220"/>
      <c r="BN220"/>
      <c r="BO220"/>
      <c r="BP220"/>
      <c r="BQ220"/>
      <c r="BR220"/>
    </row>
    <row r="221" spans="1:91" ht="12.9">
      <c r="A221" s="111"/>
      <c r="B221" s="204" t="s">
        <v>331</v>
      </c>
      <c r="D221" s="93" t="e">
        <f t="shared" ref="D221:P221" si="637">D215+D195</f>
        <v>#REF!</v>
      </c>
      <c r="E221" s="93" t="e">
        <f t="shared" si="637"/>
        <v>#REF!</v>
      </c>
      <c r="F221" s="93" t="e">
        <f t="shared" si="637"/>
        <v>#REF!</v>
      </c>
      <c r="G221" s="93" t="e">
        <f t="shared" si="637"/>
        <v>#REF!</v>
      </c>
      <c r="H221" s="93" t="e">
        <f t="shared" si="637"/>
        <v>#REF!</v>
      </c>
      <c r="I221" s="93" t="e">
        <f t="shared" si="637"/>
        <v>#REF!</v>
      </c>
      <c r="J221" s="93" t="e">
        <f t="shared" si="637"/>
        <v>#REF!</v>
      </c>
      <c r="K221" s="93" t="e">
        <f t="shared" si="637"/>
        <v>#REF!</v>
      </c>
      <c r="L221" s="93" t="e">
        <f t="shared" si="637"/>
        <v>#REF!</v>
      </c>
      <c r="M221" s="93" t="e">
        <f t="shared" si="637"/>
        <v>#REF!</v>
      </c>
      <c r="N221" s="93" t="e">
        <f t="shared" si="637"/>
        <v>#REF!</v>
      </c>
      <c r="O221" s="93" t="e">
        <f t="shared" si="637"/>
        <v>#REF!</v>
      </c>
      <c r="P221" s="93" t="e">
        <f t="shared" si="637"/>
        <v>#REF!</v>
      </c>
      <c r="Q221" s="93" t="e">
        <f t="shared" ref="Q221:BR221" si="638">Q215+Q195</f>
        <v>#REF!</v>
      </c>
      <c r="R221" s="93" t="e">
        <f t="shared" si="638"/>
        <v>#REF!</v>
      </c>
      <c r="S221" s="93" t="e">
        <f t="shared" si="638"/>
        <v>#REF!</v>
      </c>
      <c r="T221" s="93" t="e">
        <f t="shared" si="638"/>
        <v>#REF!</v>
      </c>
      <c r="U221" s="93" t="e">
        <f t="shared" si="638"/>
        <v>#REF!</v>
      </c>
      <c r="V221" s="141" t="e">
        <f t="shared" ref="V221:AA221" si="639">V215+V195</f>
        <v>#REF!</v>
      </c>
      <c r="W221" s="93" t="e">
        <f t="shared" si="639"/>
        <v>#REF!</v>
      </c>
      <c r="X221" s="93" t="e">
        <f t="shared" si="639"/>
        <v>#REF!</v>
      </c>
      <c r="Y221" s="93" t="e">
        <f t="shared" si="639"/>
        <v>#REF!</v>
      </c>
      <c r="Z221" s="93" t="e">
        <f t="shared" si="639"/>
        <v>#REF!</v>
      </c>
      <c r="AA221" s="93" t="e">
        <f t="shared" si="639"/>
        <v>#REF!</v>
      </c>
      <c r="AB221" s="93" t="e">
        <f t="shared" si="638"/>
        <v>#REF!</v>
      </c>
      <c r="AC221" s="141" t="e">
        <f t="shared" ref="AC221:AH221" si="640">AC215+AC195</f>
        <v>#REF!</v>
      </c>
      <c r="AD221" s="93" t="e">
        <f t="shared" si="640"/>
        <v>#REF!</v>
      </c>
      <c r="AE221" s="93" t="e">
        <f t="shared" si="640"/>
        <v>#REF!</v>
      </c>
      <c r="AF221" s="93" t="e">
        <f t="shared" si="640"/>
        <v>#REF!</v>
      </c>
      <c r="AG221" s="93" t="e">
        <f t="shared" si="640"/>
        <v>#REF!</v>
      </c>
      <c r="AH221" s="93" t="e">
        <f t="shared" si="640"/>
        <v>#REF!</v>
      </c>
      <c r="AI221" s="93" t="e">
        <f t="shared" si="638"/>
        <v>#REF!</v>
      </c>
      <c r="AJ221" s="141" t="e">
        <f t="shared" ref="AJ221:AO221" si="641">AJ215+AJ195</f>
        <v>#REF!</v>
      </c>
      <c r="AK221" s="93" t="e">
        <f t="shared" si="641"/>
        <v>#REF!</v>
      </c>
      <c r="AL221" s="93" t="e">
        <f t="shared" si="641"/>
        <v>#REF!</v>
      </c>
      <c r="AM221" s="93" t="e">
        <f t="shared" si="641"/>
        <v>#REF!</v>
      </c>
      <c r="AN221" s="93" t="e">
        <f t="shared" si="641"/>
        <v>#REF!</v>
      </c>
      <c r="AO221" s="93" t="e">
        <f t="shared" si="641"/>
        <v>#REF!</v>
      </c>
      <c r="AP221" s="93" t="e">
        <f t="shared" si="638"/>
        <v>#REF!</v>
      </c>
      <c r="AQ221" s="141" t="e">
        <f t="shared" ref="AQ221:AV221" si="642">AQ215+AQ195</f>
        <v>#REF!</v>
      </c>
      <c r="AR221" s="93" t="e">
        <f t="shared" si="642"/>
        <v>#REF!</v>
      </c>
      <c r="AS221" s="93" t="e">
        <f t="shared" si="642"/>
        <v>#REF!</v>
      </c>
      <c r="AT221" s="93" t="e">
        <f t="shared" si="642"/>
        <v>#REF!</v>
      </c>
      <c r="AU221" s="93" t="e">
        <f t="shared" si="642"/>
        <v>#REF!</v>
      </c>
      <c r="AV221" s="93" t="e">
        <f t="shared" si="642"/>
        <v>#REF!</v>
      </c>
      <c r="AW221" s="93" t="e">
        <f t="shared" si="638"/>
        <v>#REF!</v>
      </c>
      <c r="AX221" s="141" t="e">
        <f t="shared" si="638"/>
        <v>#REF!</v>
      </c>
      <c r="AY221" s="93" t="e">
        <f t="shared" ref="AY221:AZ221" si="643">AY215+AY195</f>
        <v>#REF!</v>
      </c>
      <c r="AZ221" s="93" t="e">
        <f t="shared" si="643"/>
        <v>#REF!</v>
      </c>
      <c r="BA221" s="93" t="e">
        <f t="shared" ref="BA221:BC221" si="644">BA215+BA195</f>
        <v>#REF!</v>
      </c>
      <c r="BB221" s="93" t="e">
        <f t="shared" si="644"/>
        <v>#REF!</v>
      </c>
      <c r="BC221" s="93" t="e">
        <f t="shared" si="644"/>
        <v>#REF!</v>
      </c>
      <c r="BD221" s="139" t="e">
        <f t="shared" ref="BD221:BJ221" si="645">BD215+BD195</f>
        <v>#REF!</v>
      </c>
      <c r="BE221" s="141" t="e">
        <f t="shared" si="645"/>
        <v>#REF!</v>
      </c>
      <c r="BF221" s="93" t="e">
        <f t="shared" si="645"/>
        <v>#REF!</v>
      </c>
      <c r="BG221" s="93" t="e">
        <f t="shared" si="645"/>
        <v>#REF!</v>
      </c>
      <c r="BH221" s="93" t="e">
        <f t="shared" si="645"/>
        <v>#REF!</v>
      </c>
      <c r="BI221" s="93" t="e">
        <f t="shared" si="645"/>
        <v>#REF!</v>
      </c>
      <c r="BJ221" s="93" t="e">
        <f t="shared" si="645"/>
        <v>#REF!</v>
      </c>
      <c r="BK221" s="139" t="e">
        <f t="shared" ref="BK221" si="646">BK215+BK195</f>
        <v>#REF!</v>
      </c>
      <c r="BL221" s="93" t="e">
        <f t="shared" si="638"/>
        <v>#REF!</v>
      </c>
      <c r="BM221" s="93" t="e">
        <f t="shared" si="638"/>
        <v>#REF!</v>
      </c>
      <c r="BN221" s="93" t="e">
        <f t="shared" si="638"/>
        <v>#REF!</v>
      </c>
      <c r="BO221" s="93" t="e">
        <f t="shared" si="638"/>
        <v>#REF!</v>
      </c>
      <c r="BP221" s="93" t="e">
        <f t="shared" si="638"/>
        <v>#REF!</v>
      </c>
      <c r="BQ221" s="93" t="e">
        <f t="shared" si="638"/>
        <v>#REF!</v>
      </c>
      <c r="BR221" s="93" t="e">
        <f t="shared" si="638"/>
        <v>#REF!</v>
      </c>
    </row>
    <row r="222" spans="1:91" ht="12.9">
      <c r="A222" s="111"/>
      <c r="B222" s="1" t="s">
        <v>301</v>
      </c>
      <c r="D222" s="93">
        <f t="shared" ref="D222:AI222" si="647">D36</f>
        <v>0</v>
      </c>
      <c r="E222" s="93">
        <f t="shared" si="647"/>
        <v>0</v>
      </c>
      <c r="F222" s="93">
        <f t="shared" si="647"/>
        <v>0</v>
      </c>
      <c r="G222" s="93">
        <f t="shared" si="647"/>
        <v>0</v>
      </c>
      <c r="H222" s="93">
        <f t="shared" si="647"/>
        <v>0</v>
      </c>
      <c r="I222" s="93">
        <f t="shared" si="647"/>
        <v>0</v>
      </c>
      <c r="J222" s="93">
        <f t="shared" si="647"/>
        <v>0</v>
      </c>
      <c r="K222" s="93">
        <f t="shared" si="647"/>
        <v>0</v>
      </c>
      <c r="L222" s="93">
        <f t="shared" si="647"/>
        <v>0</v>
      </c>
      <c r="M222" s="93">
        <f t="shared" si="647"/>
        <v>0</v>
      </c>
      <c r="N222" s="93">
        <f t="shared" si="647"/>
        <v>0</v>
      </c>
      <c r="O222" s="93">
        <f t="shared" si="647"/>
        <v>0</v>
      </c>
      <c r="P222" s="93">
        <f t="shared" si="647"/>
        <v>0</v>
      </c>
      <c r="Q222" s="93">
        <f t="shared" si="647"/>
        <v>0</v>
      </c>
      <c r="R222" s="93">
        <f t="shared" si="647"/>
        <v>0</v>
      </c>
      <c r="S222" s="93">
        <f t="shared" si="647"/>
        <v>0</v>
      </c>
      <c r="T222" s="93">
        <f t="shared" si="647"/>
        <v>0</v>
      </c>
      <c r="U222" s="93">
        <f t="shared" si="647"/>
        <v>0</v>
      </c>
      <c r="V222" s="141">
        <f t="shared" si="647"/>
        <v>0</v>
      </c>
      <c r="W222" s="93">
        <f t="shared" si="647"/>
        <v>0</v>
      </c>
      <c r="X222" s="93">
        <f t="shared" si="647"/>
        <v>0</v>
      </c>
      <c r="Y222" s="93">
        <f t="shared" si="647"/>
        <v>0</v>
      </c>
      <c r="Z222" s="93">
        <f t="shared" si="647"/>
        <v>0</v>
      </c>
      <c r="AA222" s="93">
        <f t="shared" si="647"/>
        <v>0</v>
      </c>
      <c r="AB222" s="93">
        <f t="shared" si="647"/>
        <v>0</v>
      </c>
      <c r="AC222" s="141">
        <f t="shared" si="647"/>
        <v>0</v>
      </c>
      <c r="AD222" s="93">
        <f t="shared" si="647"/>
        <v>0</v>
      </c>
      <c r="AE222" s="93">
        <f t="shared" si="647"/>
        <v>0</v>
      </c>
      <c r="AF222" s="93">
        <f t="shared" si="647"/>
        <v>0</v>
      </c>
      <c r="AG222" s="93">
        <f t="shared" si="647"/>
        <v>0</v>
      </c>
      <c r="AH222" s="93">
        <f t="shared" si="647"/>
        <v>0</v>
      </c>
      <c r="AI222" s="93">
        <f t="shared" si="647"/>
        <v>0</v>
      </c>
      <c r="AJ222" s="141">
        <f t="shared" ref="AJ222:BD222" si="648">AJ36</f>
        <v>0</v>
      </c>
      <c r="AK222" s="93">
        <f t="shared" si="648"/>
        <v>0</v>
      </c>
      <c r="AL222" s="93">
        <f t="shared" si="648"/>
        <v>0</v>
      </c>
      <c r="AM222" s="93">
        <f t="shared" si="648"/>
        <v>0</v>
      </c>
      <c r="AN222" s="93">
        <f t="shared" si="648"/>
        <v>0</v>
      </c>
      <c r="AO222" s="93">
        <f t="shared" si="648"/>
        <v>0</v>
      </c>
      <c r="AP222" s="93">
        <f t="shared" si="648"/>
        <v>0</v>
      </c>
      <c r="AQ222" s="141">
        <f t="shared" si="648"/>
        <v>0</v>
      </c>
      <c r="AR222" s="93">
        <f t="shared" si="648"/>
        <v>0</v>
      </c>
      <c r="AS222" s="93">
        <f t="shared" si="648"/>
        <v>0</v>
      </c>
      <c r="AT222" s="93">
        <f t="shared" si="648"/>
        <v>0</v>
      </c>
      <c r="AU222" s="93">
        <f t="shared" si="648"/>
        <v>0</v>
      </c>
      <c r="AV222" s="93">
        <f t="shared" si="648"/>
        <v>0</v>
      </c>
      <c r="AW222" s="93">
        <f t="shared" si="648"/>
        <v>0</v>
      </c>
      <c r="AX222" s="141">
        <f t="shared" si="648"/>
        <v>0</v>
      </c>
      <c r="AY222" s="93">
        <f t="shared" si="648"/>
        <v>0</v>
      </c>
      <c r="AZ222" s="93">
        <f t="shared" si="648"/>
        <v>0</v>
      </c>
      <c r="BA222" s="93">
        <f t="shared" si="648"/>
        <v>0</v>
      </c>
      <c r="BB222" s="93">
        <f t="shared" si="648"/>
        <v>0</v>
      </c>
      <c r="BC222" s="93">
        <f t="shared" si="648"/>
        <v>0</v>
      </c>
      <c r="BD222" s="139">
        <f t="shared" si="648"/>
        <v>0</v>
      </c>
      <c r="BE222" s="141">
        <f t="shared" ref="BE222:BK222" si="649">BE36</f>
        <v>0</v>
      </c>
      <c r="BF222" s="93">
        <f t="shared" si="649"/>
        <v>0</v>
      </c>
      <c r="BG222" s="93">
        <f t="shared" si="649"/>
        <v>0</v>
      </c>
      <c r="BH222" s="93">
        <f t="shared" si="649"/>
        <v>0</v>
      </c>
      <c r="BI222" s="93">
        <f t="shared" si="649"/>
        <v>0</v>
      </c>
      <c r="BJ222" s="93">
        <f t="shared" si="649"/>
        <v>0</v>
      </c>
      <c r="BK222" s="139">
        <f t="shared" si="649"/>
        <v>0</v>
      </c>
      <c r="BL222" s="93" t="e">
        <f t="shared" ref="BL222:BR222" si="650">BL223*BL221</f>
        <v>#REF!</v>
      </c>
      <c r="BM222" s="93" t="e">
        <f t="shared" si="650"/>
        <v>#REF!</v>
      </c>
      <c r="BN222" s="93" t="e">
        <f t="shared" si="650"/>
        <v>#REF!</v>
      </c>
      <c r="BO222" s="93" t="e">
        <f t="shared" si="650"/>
        <v>#REF!</v>
      </c>
      <c r="BP222" s="93" t="e">
        <f t="shared" si="650"/>
        <v>#REF!</v>
      </c>
      <c r="BQ222" s="93" t="e">
        <f t="shared" si="650"/>
        <v>#REF!</v>
      </c>
      <c r="BR222" s="93" t="e">
        <f t="shared" si="650"/>
        <v>#REF!</v>
      </c>
    </row>
    <row r="223" spans="1:91">
      <c r="A223" s="111"/>
      <c r="B223" s="1" t="s">
        <v>302</v>
      </c>
      <c r="D223" s="2" t="e">
        <f t="shared" ref="D223:AX223" si="651">D222/D221</f>
        <v>#REF!</v>
      </c>
      <c r="E223" s="2" t="e">
        <f t="shared" si="651"/>
        <v>#REF!</v>
      </c>
      <c r="F223" s="2" t="e">
        <f t="shared" si="651"/>
        <v>#REF!</v>
      </c>
      <c r="G223" s="2" t="e">
        <f t="shared" si="651"/>
        <v>#REF!</v>
      </c>
      <c r="H223" s="2" t="e">
        <f t="shared" si="651"/>
        <v>#REF!</v>
      </c>
      <c r="I223" s="2" t="e">
        <f t="shared" si="651"/>
        <v>#REF!</v>
      </c>
      <c r="J223" s="2" t="e">
        <f t="shared" si="651"/>
        <v>#REF!</v>
      </c>
      <c r="K223" s="2" t="e">
        <f t="shared" si="651"/>
        <v>#REF!</v>
      </c>
      <c r="L223" s="2" t="e">
        <f t="shared" si="651"/>
        <v>#REF!</v>
      </c>
      <c r="M223" s="2" t="e">
        <f t="shared" si="651"/>
        <v>#REF!</v>
      </c>
      <c r="N223" s="2" t="e">
        <f t="shared" si="651"/>
        <v>#REF!</v>
      </c>
      <c r="O223" s="2" t="e">
        <f t="shared" si="651"/>
        <v>#REF!</v>
      </c>
      <c r="P223" s="2" t="e">
        <f t="shared" si="651"/>
        <v>#REF!</v>
      </c>
      <c r="Q223" s="2" t="e">
        <f t="shared" si="651"/>
        <v>#REF!</v>
      </c>
      <c r="R223" s="2" t="e">
        <f t="shared" si="651"/>
        <v>#REF!</v>
      </c>
      <c r="S223" s="2" t="e">
        <f t="shared" si="651"/>
        <v>#REF!</v>
      </c>
      <c r="T223" s="2" t="e">
        <f t="shared" si="651"/>
        <v>#REF!</v>
      </c>
      <c r="U223" s="2" t="e">
        <f t="shared" si="651"/>
        <v>#REF!</v>
      </c>
      <c r="V223" s="343" t="e">
        <f t="shared" ref="V223:AA223" si="652">V222/V221</f>
        <v>#REF!</v>
      </c>
      <c r="W223" s="2" t="e">
        <f t="shared" si="652"/>
        <v>#REF!</v>
      </c>
      <c r="X223" s="2" t="e">
        <f t="shared" si="652"/>
        <v>#REF!</v>
      </c>
      <c r="Y223" s="2" t="e">
        <f t="shared" si="652"/>
        <v>#REF!</v>
      </c>
      <c r="Z223" s="2" t="e">
        <f t="shared" si="652"/>
        <v>#REF!</v>
      </c>
      <c r="AA223" s="2" t="e">
        <f t="shared" si="652"/>
        <v>#REF!</v>
      </c>
      <c r="AB223" s="2" t="e">
        <f t="shared" si="651"/>
        <v>#REF!</v>
      </c>
      <c r="AC223" s="343" t="e">
        <f t="shared" ref="AC223:AH223" si="653">AC222/AC221</f>
        <v>#REF!</v>
      </c>
      <c r="AD223" s="2" t="e">
        <f t="shared" si="653"/>
        <v>#REF!</v>
      </c>
      <c r="AE223" s="2" t="e">
        <f t="shared" si="653"/>
        <v>#REF!</v>
      </c>
      <c r="AF223" s="2" t="e">
        <f t="shared" si="653"/>
        <v>#REF!</v>
      </c>
      <c r="AG223" s="2" t="e">
        <f t="shared" si="653"/>
        <v>#REF!</v>
      </c>
      <c r="AH223" s="2" t="e">
        <f t="shared" si="653"/>
        <v>#REF!</v>
      </c>
      <c r="AI223" s="2" t="e">
        <f t="shared" si="651"/>
        <v>#REF!</v>
      </c>
      <c r="AJ223" s="343" t="e">
        <f t="shared" ref="AJ223:AO223" si="654">AJ222/AJ221</f>
        <v>#REF!</v>
      </c>
      <c r="AK223" s="2" t="e">
        <f t="shared" si="654"/>
        <v>#REF!</v>
      </c>
      <c r="AL223" s="2" t="e">
        <f t="shared" si="654"/>
        <v>#REF!</v>
      </c>
      <c r="AM223" s="2" t="e">
        <f t="shared" si="654"/>
        <v>#REF!</v>
      </c>
      <c r="AN223" s="2" t="e">
        <f t="shared" si="654"/>
        <v>#REF!</v>
      </c>
      <c r="AO223" s="2" t="e">
        <f t="shared" si="654"/>
        <v>#REF!</v>
      </c>
      <c r="AP223" s="2" t="e">
        <f t="shared" si="651"/>
        <v>#REF!</v>
      </c>
      <c r="AQ223" s="343" t="e">
        <f t="shared" ref="AQ223:AV223" si="655">AQ222/AQ221</f>
        <v>#REF!</v>
      </c>
      <c r="AR223" s="2" t="e">
        <f t="shared" si="655"/>
        <v>#REF!</v>
      </c>
      <c r="AS223" s="2" t="e">
        <f t="shared" si="655"/>
        <v>#REF!</v>
      </c>
      <c r="AT223" s="2" t="e">
        <f t="shared" si="655"/>
        <v>#REF!</v>
      </c>
      <c r="AU223" s="2" t="e">
        <f t="shared" si="655"/>
        <v>#REF!</v>
      </c>
      <c r="AV223" s="2" t="e">
        <f t="shared" si="655"/>
        <v>#REF!</v>
      </c>
      <c r="AW223" s="2" t="e">
        <f t="shared" si="651"/>
        <v>#REF!</v>
      </c>
      <c r="AX223" s="343" t="e">
        <f t="shared" si="651"/>
        <v>#REF!</v>
      </c>
      <c r="AY223" s="2" t="e">
        <f t="shared" ref="AY223:AZ223" si="656">AY222/AY221</f>
        <v>#REF!</v>
      </c>
      <c r="AZ223" s="2" t="e">
        <f t="shared" si="656"/>
        <v>#REF!</v>
      </c>
      <c r="BA223" s="2" t="e">
        <f t="shared" ref="BA223:BC223" si="657">BA222/BA221</f>
        <v>#REF!</v>
      </c>
      <c r="BB223" s="2" t="e">
        <f t="shared" si="657"/>
        <v>#REF!</v>
      </c>
      <c r="BC223" s="2" t="e">
        <f t="shared" si="657"/>
        <v>#REF!</v>
      </c>
      <c r="BD223" s="231" t="e">
        <f t="shared" ref="BD223:BJ223" si="658">BD222/BD221</f>
        <v>#REF!</v>
      </c>
      <c r="BE223" s="343" t="e">
        <f t="shared" si="658"/>
        <v>#REF!</v>
      </c>
      <c r="BF223" s="2" t="e">
        <f t="shared" si="658"/>
        <v>#REF!</v>
      </c>
      <c r="BG223" s="2" t="e">
        <f t="shared" si="658"/>
        <v>#REF!</v>
      </c>
      <c r="BH223" s="2" t="e">
        <f t="shared" si="658"/>
        <v>#REF!</v>
      </c>
      <c r="BI223" s="2" t="e">
        <f t="shared" si="658"/>
        <v>#REF!</v>
      </c>
      <c r="BJ223" s="2" t="e">
        <f t="shared" si="658"/>
        <v>#REF!</v>
      </c>
      <c r="BK223" s="231" t="e">
        <f t="shared" ref="BK223" si="659">BK222/BK221</f>
        <v>#REF!</v>
      </c>
      <c r="BL223" s="108" t="e">
        <f>BK223</f>
        <v>#REF!</v>
      </c>
      <c r="BM223" s="108" t="e">
        <f t="shared" ref="BM223:BR223" si="660">BL223</f>
        <v>#REF!</v>
      </c>
      <c r="BN223" s="108" t="e">
        <f t="shared" si="660"/>
        <v>#REF!</v>
      </c>
      <c r="BO223" s="108" t="e">
        <f t="shared" si="660"/>
        <v>#REF!</v>
      </c>
      <c r="BP223" s="108" t="e">
        <f t="shared" si="660"/>
        <v>#REF!</v>
      </c>
      <c r="BQ223" s="108" t="e">
        <f t="shared" si="660"/>
        <v>#REF!</v>
      </c>
      <c r="BR223" s="108" t="e">
        <f t="shared" si="660"/>
        <v>#REF!</v>
      </c>
    </row>
    <row r="224" spans="1:91">
      <c r="A224" s="111"/>
      <c r="B224" s="1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343"/>
      <c r="W224" s="2"/>
      <c r="X224" s="2"/>
      <c r="Y224" s="2"/>
      <c r="Z224" s="2"/>
      <c r="AA224" s="2"/>
      <c r="AB224" s="2"/>
      <c r="AC224" s="343"/>
      <c r="AD224" s="2"/>
      <c r="AE224" s="2"/>
      <c r="AF224" s="2"/>
      <c r="AG224" s="2"/>
      <c r="AH224" s="2"/>
      <c r="AI224" s="2"/>
      <c r="AJ224" s="343"/>
      <c r="AK224" s="2"/>
      <c r="AL224" s="2"/>
      <c r="AM224" s="2"/>
      <c r="AN224" s="2"/>
      <c r="AO224" s="2"/>
      <c r="AP224" s="2"/>
      <c r="AQ224" s="343"/>
      <c r="AR224" s="2"/>
      <c r="AS224" s="2"/>
      <c r="AT224" s="2"/>
      <c r="AU224" s="2"/>
      <c r="AV224" s="2"/>
      <c r="AW224" s="2"/>
      <c r="AX224" s="343"/>
      <c r="AY224" s="2"/>
      <c r="AZ224" s="2"/>
      <c r="BA224" s="2"/>
      <c r="BB224" s="2"/>
      <c r="BC224" s="2"/>
      <c r="BD224" s="231"/>
      <c r="BE224" s="343"/>
      <c r="BF224" s="2"/>
      <c r="BG224" s="2"/>
      <c r="BH224" s="2"/>
      <c r="BI224" s="2"/>
      <c r="BJ224" s="2"/>
      <c r="BK224" s="231"/>
      <c r="BL224" s="108"/>
      <c r="BM224" s="108"/>
      <c r="BN224" s="108"/>
      <c r="BO224" s="108"/>
      <c r="BP224" s="108"/>
      <c r="BQ224" s="108"/>
      <c r="BR224" s="108"/>
    </row>
    <row r="225" spans="1:91">
      <c r="A225" s="111"/>
      <c r="B225" s="205" t="s">
        <v>322</v>
      </c>
      <c r="D225" s="93" t="e">
        <f t="shared" ref="D225:BR225" si="661">D140</f>
        <v>#REF!</v>
      </c>
      <c r="E225" s="93" t="e">
        <f t="shared" si="661"/>
        <v>#REF!</v>
      </c>
      <c r="F225" s="93" t="e">
        <f t="shared" si="661"/>
        <v>#REF!</v>
      </c>
      <c r="G225" s="93" t="e">
        <f t="shared" si="661"/>
        <v>#REF!</v>
      </c>
      <c r="H225" s="93" t="e">
        <f t="shared" si="661"/>
        <v>#REF!</v>
      </c>
      <c r="I225" s="93" t="e">
        <f t="shared" si="661"/>
        <v>#REF!</v>
      </c>
      <c r="J225" s="93" t="e">
        <f t="shared" si="661"/>
        <v>#REF!</v>
      </c>
      <c r="K225" s="93" t="e">
        <f t="shared" si="661"/>
        <v>#REF!</v>
      </c>
      <c r="L225" s="93" t="e">
        <f t="shared" si="661"/>
        <v>#REF!</v>
      </c>
      <c r="M225" s="93" t="e">
        <f t="shared" si="661"/>
        <v>#REF!</v>
      </c>
      <c r="N225" s="93" t="e">
        <f t="shared" si="661"/>
        <v>#REF!</v>
      </c>
      <c r="O225" s="93" t="e">
        <f t="shared" si="661"/>
        <v>#REF!</v>
      </c>
      <c r="P225" s="93" t="e">
        <f t="shared" si="661"/>
        <v>#REF!</v>
      </c>
      <c r="Q225" s="93" t="e">
        <f t="shared" si="661"/>
        <v>#REF!</v>
      </c>
      <c r="R225" s="93" t="e">
        <f t="shared" si="661"/>
        <v>#REF!</v>
      </c>
      <c r="S225" s="93" t="e">
        <f t="shared" si="661"/>
        <v>#REF!</v>
      </c>
      <c r="T225" s="93" t="e">
        <f t="shared" si="661"/>
        <v>#REF!</v>
      </c>
      <c r="U225" s="93" t="e">
        <f t="shared" si="661"/>
        <v>#REF!</v>
      </c>
      <c r="V225" s="141" t="e">
        <f t="shared" ref="V225:AA225" si="662">V140</f>
        <v>#REF!</v>
      </c>
      <c r="W225" s="93" t="e">
        <f t="shared" si="662"/>
        <v>#REF!</v>
      </c>
      <c r="X225" s="93" t="e">
        <f t="shared" si="662"/>
        <v>#REF!</v>
      </c>
      <c r="Y225" s="93" t="e">
        <f t="shared" si="662"/>
        <v>#REF!</v>
      </c>
      <c r="Z225" s="93" t="e">
        <f t="shared" si="662"/>
        <v>#REF!</v>
      </c>
      <c r="AA225" s="93" t="e">
        <f t="shared" si="662"/>
        <v>#REF!</v>
      </c>
      <c r="AB225" s="93" t="e">
        <f t="shared" si="661"/>
        <v>#REF!</v>
      </c>
      <c r="AC225" s="141" t="e">
        <f t="shared" ref="AC225:AH225" si="663">AC140</f>
        <v>#REF!</v>
      </c>
      <c r="AD225" s="93" t="e">
        <f t="shared" si="663"/>
        <v>#REF!</v>
      </c>
      <c r="AE225" s="93" t="e">
        <f t="shared" si="663"/>
        <v>#REF!</v>
      </c>
      <c r="AF225" s="93" t="e">
        <f t="shared" si="663"/>
        <v>#REF!</v>
      </c>
      <c r="AG225" s="93" t="e">
        <f t="shared" si="663"/>
        <v>#REF!</v>
      </c>
      <c r="AH225" s="93" t="e">
        <f t="shared" si="663"/>
        <v>#REF!</v>
      </c>
      <c r="AI225" s="93" t="e">
        <f t="shared" si="661"/>
        <v>#REF!</v>
      </c>
      <c r="AJ225" s="141" t="e">
        <f t="shared" ref="AJ225:AO225" si="664">AJ140</f>
        <v>#REF!</v>
      </c>
      <c r="AK225" s="93" t="e">
        <f t="shared" si="664"/>
        <v>#REF!</v>
      </c>
      <c r="AL225" s="93" t="e">
        <f t="shared" si="664"/>
        <v>#REF!</v>
      </c>
      <c r="AM225" s="93" t="e">
        <f t="shared" si="664"/>
        <v>#REF!</v>
      </c>
      <c r="AN225" s="93" t="e">
        <f t="shared" si="664"/>
        <v>#REF!</v>
      </c>
      <c r="AO225" s="93" t="e">
        <f t="shared" si="664"/>
        <v>#REF!</v>
      </c>
      <c r="AP225" s="93" t="e">
        <f t="shared" si="661"/>
        <v>#REF!</v>
      </c>
      <c r="AQ225" s="141" t="e">
        <f t="shared" ref="AQ225:AV225" si="665">AQ140</f>
        <v>#REF!</v>
      </c>
      <c r="AR225" s="93" t="e">
        <f t="shared" si="665"/>
        <v>#REF!</v>
      </c>
      <c r="AS225" s="93" t="e">
        <f t="shared" si="665"/>
        <v>#REF!</v>
      </c>
      <c r="AT225" s="93" t="e">
        <f t="shared" si="665"/>
        <v>#REF!</v>
      </c>
      <c r="AU225" s="93" t="e">
        <f t="shared" si="665"/>
        <v>#REF!</v>
      </c>
      <c r="AV225" s="93" t="e">
        <f t="shared" si="665"/>
        <v>#REF!</v>
      </c>
      <c r="AW225" s="93" t="e">
        <f t="shared" si="661"/>
        <v>#REF!</v>
      </c>
      <c r="AX225" s="141" t="e">
        <f t="shared" si="661"/>
        <v>#REF!</v>
      </c>
      <c r="AY225" s="93" t="e">
        <f t="shared" ref="AY225:AZ225" si="666">AY140</f>
        <v>#REF!</v>
      </c>
      <c r="AZ225" s="93" t="e">
        <f t="shared" si="666"/>
        <v>#REF!</v>
      </c>
      <c r="BA225" s="93" t="e">
        <f t="shared" ref="BA225:BC225" si="667">BA140</f>
        <v>#REF!</v>
      </c>
      <c r="BB225" s="93" t="e">
        <f t="shared" si="667"/>
        <v>#REF!</v>
      </c>
      <c r="BC225" s="93" t="e">
        <f t="shared" si="667"/>
        <v>#REF!</v>
      </c>
      <c r="BD225" s="139" t="e">
        <f t="shared" ref="BD225:BJ225" si="668">BD140</f>
        <v>#REF!</v>
      </c>
      <c r="BE225" s="141" t="e">
        <f t="shared" si="668"/>
        <v>#REF!</v>
      </c>
      <c r="BF225" s="93" t="e">
        <f t="shared" si="668"/>
        <v>#REF!</v>
      </c>
      <c r="BG225" s="93" t="e">
        <f t="shared" si="668"/>
        <v>#REF!</v>
      </c>
      <c r="BH225" s="93" t="e">
        <f t="shared" si="668"/>
        <v>#REF!</v>
      </c>
      <c r="BI225" s="93" t="e">
        <f t="shared" si="668"/>
        <v>#REF!</v>
      </c>
      <c r="BJ225" s="93" t="e">
        <f t="shared" si="668"/>
        <v>#REF!</v>
      </c>
      <c r="BK225" s="139" t="e">
        <f t="shared" ref="BK225" si="669">BK140</f>
        <v>#REF!</v>
      </c>
      <c r="BL225" s="93" t="e">
        <f t="shared" si="661"/>
        <v>#REF!</v>
      </c>
      <c r="BM225" s="93" t="e">
        <f t="shared" si="661"/>
        <v>#REF!</v>
      </c>
      <c r="BN225" s="93" t="e">
        <f t="shared" si="661"/>
        <v>#REF!</v>
      </c>
      <c r="BO225" s="93" t="e">
        <f t="shared" si="661"/>
        <v>#REF!</v>
      </c>
      <c r="BP225" s="93" t="e">
        <f t="shared" si="661"/>
        <v>#REF!</v>
      </c>
      <c r="BQ225" s="93" t="e">
        <f t="shared" si="661"/>
        <v>#REF!</v>
      </c>
      <c r="BR225" s="93" t="e">
        <f t="shared" si="661"/>
        <v>#REF!</v>
      </c>
    </row>
    <row r="226" spans="1:91">
      <c r="A226" s="111"/>
      <c r="B226" s="1" t="s">
        <v>320</v>
      </c>
      <c r="D226" s="93">
        <f t="shared" ref="D226:AI226" si="670">D35</f>
        <v>0</v>
      </c>
      <c r="E226" s="93">
        <f t="shared" si="670"/>
        <v>0</v>
      </c>
      <c r="F226" s="93">
        <f t="shared" si="670"/>
        <v>0</v>
      </c>
      <c r="G226" s="93">
        <f t="shared" si="670"/>
        <v>0</v>
      </c>
      <c r="H226" s="93">
        <f t="shared" si="670"/>
        <v>0</v>
      </c>
      <c r="I226" s="93">
        <f t="shared" si="670"/>
        <v>0</v>
      </c>
      <c r="J226" s="93">
        <f t="shared" si="670"/>
        <v>0</v>
      </c>
      <c r="K226" s="93">
        <f t="shared" si="670"/>
        <v>0</v>
      </c>
      <c r="L226" s="93">
        <f t="shared" si="670"/>
        <v>0</v>
      </c>
      <c r="M226" s="93">
        <f t="shared" si="670"/>
        <v>0</v>
      </c>
      <c r="N226" s="93">
        <f t="shared" si="670"/>
        <v>0</v>
      </c>
      <c r="O226" s="93">
        <f t="shared" si="670"/>
        <v>0</v>
      </c>
      <c r="P226" s="93">
        <f t="shared" si="670"/>
        <v>0</v>
      </c>
      <c r="Q226" s="93">
        <f t="shared" si="670"/>
        <v>0</v>
      </c>
      <c r="R226" s="93">
        <f t="shared" si="670"/>
        <v>0</v>
      </c>
      <c r="S226" s="93">
        <f t="shared" si="670"/>
        <v>0</v>
      </c>
      <c r="T226" s="93">
        <f t="shared" si="670"/>
        <v>0</v>
      </c>
      <c r="U226" s="93">
        <f t="shared" si="670"/>
        <v>0</v>
      </c>
      <c r="V226" s="141">
        <f t="shared" si="670"/>
        <v>0</v>
      </c>
      <c r="W226" s="93">
        <f t="shared" si="670"/>
        <v>0</v>
      </c>
      <c r="X226" s="93">
        <f t="shared" si="670"/>
        <v>0</v>
      </c>
      <c r="Y226" s="93">
        <f t="shared" si="670"/>
        <v>0</v>
      </c>
      <c r="Z226" s="93">
        <f t="shared" si="670"/>
        <v>0</v>
      </c>
      <c r="AA226" s="93">
        <f t="shared" si="670"/>
        <v>0</v>
      </c>
      <c r="AB226" s="93">
        <f t="shared" si="670"/>
        <v>0</v>
      </c>
      <c r="AC226" s="141">
        <f t="shared" si="670"/>
        <v>0</v>
      </c>
      <c r="AD226" s="93">
        <f t="shared" si="670"/>
        <v>0</v>
      </c>
      <c r="AE226" s="93">
        <f t="shared" si="670"/>
        <v>0</v>
      </c>
      <c r="AF226" s="93">
        <f t="shared" si="670"/>
        <v>0</v>
      </c>
      <c r="AG226" s="93">
        <f t="shared" si="670"/>
        <v>0</v>
      </c>
      <c r="AH226" s="93">
        <f t="shared" si="670"/>
        <v>0</v>
      </c>
      <c r="AI226" s="93">
        <f t="shared" si="670"/>
        <v>0</v>
      </c>
      <c r="AJ226" s="141">
        <f t="shared" ref="AJ226:BD226" si="671">AJ35</f>
        <v>0</v>
      </c>
      <c r="AK226" s="93">
        <f t="shared" si="671"/>
        <v>0</v>
      </c>
      <c r="AL226" s="93">
        <f t="shared" si="671"/>
        <v>0</v>
      </c>
      <c r="AM226" s="93">
        <f t="shared" si="671"/>
        <v>0</v>
      </c>
      <c r="AN226" s="93">
        <f t="shared" si="671"/>
        <v>0</v>
      </c>
      <c r="AO226" s="93">
        <f t="shared" si="671"/>
        <v>0</v>
      </c>
      <c r="AP226" s="93">
        <f t="shared" si="671"/>
        <v>0</v>
      </c>
      <c r="AQ226" s="141">
        <f t="shared" si="671"/>
        <v>0</v>
      </c>
      <c r="AR226" s="93">
        <f t="shared" si="671"/>
        <v>0</v>
      </c>
      <c r="AS226" s="93">
        <f t="shared" si="671"/>
        <v>0</v>
      </c>
      <c r="AT226" s="93">
        <f t="shared" si="671"/>
        <v>0</v>
      </c>
      <c r="AU226" s="93">
        <f t="shared" si="671"/>
        <v>0</v>
      </c>
      <c r="AV226" s="93">
        <f t="shared" si="671"/>
        <v>0</v>
      </c>
      <c r="AW226" s="93">
        <f t="shared" si="671"/>
        <v>0</v>
      </c>
      <c r="AX226" s="141">
        <f t="shared" si="671"/>
        <v>0</v>
      </c>
      <c r="AY226" s="93">
        <f t="shared" si="671"/>
        <v>0</v>
      </c>
      <c r="AZ226" s="93">
        <f t="shared" si="671"/>
        <v>0</v>
      </c>
      <c r="BA226" s="93">
        <f t="shared" si="671"/>
        <v>0</v>
      </c>
      <c r="BB226" s="93">
        <f t="shared" si="671"/>
        <v>0</v>
      </c>
      <c r="BC226" s="93">
        <f t="shared" si="671"/>
        <v>0</v>
      </c>
      <c r="BD226" s="139">
        <f t="shared" si="671"/>
        <v>0</v>
      </c>
      <c r="BE226" s="141">
        <f t="shared" ref="BE226:BK226" si="672">BE35</f>
        <v>0</v>
      </c>
      <c r="BF226" s="93">
        <f t="shared" si="672"/>
        <v>0</v>
      </c>
      <c r="BG226" s="93">
        <f t="shared" si="672"/>
        <v>0</v>
      </c>
      <c r="BH226" s="93">
        <f t="shared" si="672"/>
        <v>0</v>
      </c>
      <c r="BI226" s="93">
        <f t="shared" si="672"/>
        <v>0</v>
      </c>
      <c r="BJ226" s="93">
        <f t="shared" si="672"/>
        <v>0</v>
      </c>
      <c r="BK226" s="139">
        <f t="shared" si="672"/>
        <v>0</v>
      </c>
      <c r="BL226" s="93" t="e">
        <f t="shared" ref="BL226:BR226" si="673">BL225*BL227</f>
        <v>#REF!</v>
      </c>
      <c r="BM226" s="93" t="e">
        <f t="shared" si="673"/>
        <v>#REF!</v>
      </c>
      <c r="BN226" s="93" t="e">
        <f t="shared" si="673"/>
        <v>#REF!</v>
      </c>
      <c r="BO226" s="93" t="e">
        <f t="shared" si="673"/>
        <v>#REF!</v>
      </c>
      <c r="BP226" s="93" t="e">
        <f t="shared" si="673"/>
        <v>#REF!</v>
      </c>
      <c r="BQ226" s="93" t="e">
        <f t="shared" si="673"/>
        <v>#REF!</v>
      </c>
      <c r="BR226" s="93" t="e">
        <f t="shared" si="673"/>
        <v>#REF!</v>
      </c>
    </row>
    <row r="227" spans="1:91">
      <c r="A227" s="111"/>
      <c r="B227" s="1" t="s">
        <v>321</v>
      </c>
      <c r="D227" s="2" t="e">
        <f t="shared" ref="D227:P227" si="674">D226/D225</f>
        <v>#REF!</v>
      </c>
      <c r="E227" s="2" t="e">
        <f t="shared" si="674"/>
        <v>#REF!</v>
      </c>
      <c r="F227" s="2" t="e">
        <f t="shared" si="674"/>
        <v>#REF!</v>
      </c>
      <c r="G227" s="2" t="e">
        <f t="shared" si="674"/>
        <v>#REF!</v>
      </c>
      <c r="H227" s="2" t="e">
        <f t="shared" si="674"/>
        <v>#REF!</v>
      </c>
      <c r="I227" s="2" t="e">
        <f t="shared" si="674"/>
        <v>#REF!</v>
      </c>
      <c r="J227" s="2" t="e">
        <f t="shared" si="674"/>
        <v>#REF!</v>
      </c>
      <c r="K227" s="2" t="e">
        <f t="shared" si="674"/>
        <v>#REF!</v>
      </c>
      <c r="L227" s="2" t="e">
        <f t="shared" si="674"/>
        <v>#REF!</v>
      </c>
      <c r="M227" s="2" t="e">
        <f t="shared" si="674"/>
        <v>#REF!</v>
      </c>
      <c r="N227" s="2" t="e">
        <f t="shared" si="674"/>
        <v>#REF!</v>
      </c>
      <c r="O227" s="2" t="e">
        <f t="shared" si="674"/>
        <v>#REF!</v>
      </c>
      <c r="P227" s="2" t="e">
        <f t="shared" si="674"/>
        <v>#REF!</v>
      </c>
      <c r="Q227" s="2" t="e">
        <f t="shared" ref="Q227:AX227" si="675">Q226/Q225</f>
        <v>#REF!</v>
      </c>
      <c r="R227" s="2" t="e">
        <f t="shared" si="675"/>
        <v>#REF!</v>
      </c>
      <c r="S227" s="2" t="e">
        <f t="shared" si="675"/>
        <v>#REF!</v>
      </c>
      <c r="T227" s="2" t="e">
        <f t="shared" si="675"/>
        <v>#REF!</v>
      </c>
      <c r="U227" s="2" t="e">
        <f t="shared" si="675"/>
        <v>#REF!</v>
      </c>
      <c r="V227" s="343" t="e">
        <f t="shared" ref="V227:AA227" si="676">V226/V225</f>
        <v>#REF!</v>
      </c>
      <c r="W227" s="2" t="e">
        <f t="shared" si="676"/>
        <v>#REF!</v>
      </c>
      <c r="X227" s="2" t="e">
        <f t="shared" si="676"/>
        <v>#REF!</v>
      </c>
      <c r="Y227" s="2" t="e">
        <f t="shared" si="676"/>
        <v>#REF!</v>
      </c>
      <c r="Z227" s="2" t="e">
        <f t="shared" si="676"/>
        <v>#REF!</v>
      </c>
      <c r="AA227" s="2" t="e">
        <f t="shared" si="676"/>
        <v>#REF!</v>
      </c>
      <c r="AB227" s="2" t="e">
        <f t="shared" si="675"/>
        <v>#REF!</v>
      </c>
      <c r="AC227" s="343" t="e">
        <f t="shared" ref="AC227:AH227" si="677">AC226/AC225</f>
        <v>#REF!</v>
      </c>
      <c r="AD227" s="2" t="e">
        <f t="shared" si="677"/>
        <v>#REF!</v>
      </c>
      <c r="AE227" s="2" t="e">
        <f t="shared" si="677"/>
        <v>#REF!</v>
      </c>
      <c r="AF227" s="2" t="e">
        <f t="shared" si="677"/>
        <v>#REF!</v>
      </c>
      <c r="AG227" s="2" t="e">
        <f t="shared" si="677"/>
        <v>#REF!</v>
      </c>
      <c r="AH227" s="2" t="e">
        <f t="shared" si="677"/>
        <v>#REF!</v>
      </c>
      <c r="AI227" s="2" t="e">
        <f t="shared" si="675"/>
        <v>#REF!</v>
      </c>
      <c r="AJ227" s="343" t="e">
        <f t="shared" ref="AJ227:AO227" si="678">AJ226/AJ225</f>
        <v>#REF!</v>
      </c>
      <c r="AK227" s="2" t="e">
        <f t="shared" si="678"/>
        <v>#REF!</v>
      </c>
      <c r="AL227" s="2" t="e">
        <f t="shared" si="678"/>
        <v>#REF!</v>
      </c>
      <c r="AM227" s="2" t="e">
        <f t="shared" si="678"/>
        <v>#REF!</v>
      </c>
      <c r="AN227" s="2" t="e">
        <f t="shared" si="678"/>
        <v>#REF!</v>
      </c>
      <c r="AO227" s="2" t="e">
        <f t="shared" si="678"/>
        <v>#REF!</v>
      </c>
      <c r="AP227" s="2" t="e">
        <f t="shared" si="675"/>
        <v>#REF!</v>
      </c>
      <c r="AQ227" s="343" t="e">
        <f t="shared" ref="AQ227:AV227" si="679">AQ226/AQ225</f>
        <v>#REF!</v>
      </c>
      <c r="AR227" s="2" t="e">
        <f t="shared" si="679"/>
        <v>#REF!</v>
      </c>
      <c r="AS227" s="2" t="e">
        <f t="shared" si="679"/>
        <v>#REF!</v>
      </c>
      <c r="AT227" s="2" t="e">
        <f t="shared" si="679"/>
        <v>#REF!</v>
      </c>
      <c r="AU227" s="2" t="e">
        <f t="shared" si="679"/>
        <v>#REF!</v>
      </c>
      <c r="AV227" s="2" t="e">
        <f t="shared" si="679"/>
        <v>#REF!</v>
      </c>
      <c r="AW227" s="2" t="e">
        <f t="shared" si="675"/>
        <v>#REF!</v>
      </c>
      <c r="AX227" s="343" t="e">
        <f t="shared" si="675"/>
        <v>#REF!</v>
      </c>
      <c r="AY227" s="2" t="e">
        <f t="shared" ref="AY227:AZ227" si="680">AY226/AY225</f>
        <v>#REF!</v>
      </c>
      <c r="AZ227" s="2" t="e">
        <f t="shared" si="680"/>
        <v>#REF!</v>
      </c>
      <c r="BA227" s="2" t="e">
        <f t="shared" ref="BA227:BC227" si="681">BA226/BA225</f>
        <v>#REF!</v>
      </c>
      <c r="BB227" s="2" t="e">
        <f t="shared" si="681"/>
        <v>#REF!</v>
      </c>
      <c r="BC227" s="2" t="e">
        <f t="shared" si="681"/>
        <v>#REF!</v>
      </c>
      <c r="BD227" s="231" t="e">
        <f t="shared" ref="BD227:BJ227" si="682">BD226/BD225</f>
        <v>#REF!</v>
      </c>
      <c r="BE227" s="343" t="e">
        <f t="shared" si="682"/>
        <v>#REF!</v>
      </c>
      <c r="BF227" s="2" t="e">
        <f t="shared" si="682"/>
        <v>#REF!</v>
      </c>
      <c r="BG227" s="2" t="e">
        <f t="shared" si="682"/>
        <v>#REF!</v>
      </c>
      <c r="BH227" s="2" t="e">
        <f t="shared" si="682"/>
        <v>#REF!</v>
      </c>
      <c r="BI227" s="2" t="e">
        <f t="shared" si="682"/>
        <v>#REF!</v>
      </c>
      <c r="BJ227" s="2" t="e">
        <f t="shared" si="682"/>
        <v>#REF!</v>
      </c>
      <c r="BK227" s="231" t="e">
        <f t="shared" ref="BK227" si="683">BK226/BK225</f>
        <v>#REF!</v>
      </c>
      <c r="BL227" s="108" t="e">
        <f>BK227</f>
        <v>#REF!</v>
      </c>
      <c r="BM227" s="108" t="e">
        <f t="shared" ref="BM227:BR227" si="684">BL227</f>
        <v>#REF!</v>
      </c>
      <c r="BN227" s="108" t="e">
        <f t="shared" si="684"/>
        <v>#REF!</v>
      </c>
      <c r="BO227" s="108" t="e">
        <f t="shared" si="684"/>
        <v>#REF!</v>
      </c>
      <c r="BP227" s="108" t="e">
        <f t="shared" si="684"/>
        <v>#REF!</v>
      </c>
      <c r="BQ227" s="108" t="e">
        <f t="shared" si="684"/>
        <v>#REF!</v>
      </c>
      <c r="BR227" s="108" t="e">
        <f t="shared" si="684"/>
        <v>#REF!</v>
      </c>
    </row>
    <row r="229" spans="1:91" s="244" customFormat="1" ht="14.1">
      <c r="A229" s="239" t="s">
        <v>201</v>
      </c>
      <c r="B229" s="240" t="s">
        <v>303</v>
      </c>
      <c r="C229" s="241"/>
      <c r="D229" s="94" t="e">
        <f t="shared" ref="D229:AW229" si="685">SUM(D230:D242)-D233-D233</f>
        <v>#REF!</v>
      </c>
      <c r="E229" s="94" t="e">
        <f t="shared" si="685"/>
        <v>#REF!</v>
      </c>
      <c r="F229" s="94" t="e">
        <f t="shared" si="685"/>
        <v>#REF!</v>
      </c>
      <c r="G229" s="94" t="e">
        <f t="shared" si="685"/>
        <v>#REF!</v>
      </c>
      <c r="H229" s="94" t="e">
        <f t="shared" si="685"/>
        <v>#REF!</v>
      </c>
      <c r="I229" s="94" t="e">
        <f t="shared" si="685"/>
        <v>#REF!</v>
      </c>
      <c r="J229" s="94" t="e">
        <f t="shared" si="685"/>
        <v>#REF!</v>
      </c>
      <c r="K229" s="94" t="e">
        <f t="shared" si="685"/>
        <v>#REF!</v>
      </c>
      <c r="L229" s="94" t="e">
        <f t="shared" si="685"/>
        <v>#REF!</v>
      </c>
      <c r="M229" s="94" t="e">
        <f t="shared" si="685"/>
        <v>#REF!</v>
      </c>
      <c r="N229" s="94" t="e">
        <f t="shared" si="685"/>
        <v>#REF!</v>
      </c>
      <c r="O229" s="94" t="e">
        <f t="shared" si="685"/>
        <v>#REF!</v>
      </c>
      <c r="P229" s="94" t="e">
        <f t="shared" si="685"/>
        <v>#REF!</v>
      </c>
      <c r="Q229" s="94" t="e">
        <f t="shared" si="685"/>
        <v>#REF!</v>
      </c>
      <c r="R229" s="94" t="e">
        <f t="shared" si="685"/>
        <v>#REF!</v>
      </c>
      <c r="S229" s="94" t="e">
        <f t="shared" si="685"/>
        <v>#REF!</v>
      </c>
      <c r="T229" s="94" t="e">
        <f t="shared" si="685"/>
        <v>#REF!</v>
      </c>
      <c r="U229" s="94" t="e">
        <f t="shared" si="685"/>
        <v>#REF!</v>
      </c>
      <c r="V229" s="233" t="e">
        <f t="shared" ref="V229:AA229" si="686">SUM(V230:V242)-V233-V233</f>
        <v>#REF!</v>
      </c>
      <c r="W229" s="94" t="e">
        <f t="shared" si="686"/>
        <v>#REF!</v>
      </c>
      <c r="X229" s="94" t="e">
        <f t="shared" si="686"/>
        <v>#REF!</v>
      </c>
      <c r="Y229" s="94" t="e">
        <f t="shared" si="686"/>
        <v>#REF!</v>
      </c>
      <c r="Z229" s="94" t="e">
        <f t="shared" si="686"/>
        <v>#REF!</v>
      </c>
      <c r="AA229" s="94" t="e">
        <f t="shared" si="686"/>
        <v>#REF!</v>
      </c>
      <c r="AB229" s="94" t="e">
        <f t="shared" si="685"/>
        <v>#REF!</v>
      </c>
      <c r="AC229" s="233" t="e">
        <f t="shared" ref="AC229:AH229" si="687">SUM(AC230:AC242)-AC233-AC233</f>
        <v>#REF!</v>
      </c>
      <c r="AD229" s="94" t="e">
        <f t="shared" si="687"/>
        <v>#REF!</v>
      </c>
      <c r="AE229" s="94" t="e">
        <f t="shared" si="687"/>
        <v>#REF!</v>
      </c>
      <c r="AF229" s="94" t="e">
        <f t="shared" si="687"/>
        <v>#REF!</v>
      </c>
      <c r="AG229" s="94" t="e">
        <f t="shared" si="687"/>
        <v>#REF!</v>
      </c>
      <c r="AH229" s="94" t="e">
        <f t="shared" si="687"/>
        <v>#REF!</v>
      </c>
      <c r="AI229" s="94" t="e">
        <f t="shared" si="685"/>
        <v>#REF!</v>
      </c>
      <c r="AJ229" s="233" t="e">
        <f t="shared" ref="AJ229:AO229" si="688">SUM(AJ230:AJ242)-AJ233-AJ233</f>
        <v>#REF!</v>
      </c>
      <c r="AK229" s="94" t="e">
        <f t="shared" si="688"/>
        <v>#REF!</v>
      </c>
      <c r="AL229" s="94" t="e">
        <f t="shared" si="688"/>
        <v>#REF!</v>
      </c>
      <c r="AM229" s="94" t="e">
        <f t="shared" si="688"/>
        <v>#REF!</v>
      </c>
      <c r="AN229" s="94" t="e">
        <f t="shared" si="688"/>
        <v>#REF!</v>
      </c>
      <c r="AO229" s="94" t="e">
        <f t="shared" si="688"/>
        <v>#REF!</v>
      </c>
      <c r="AP229" s="94" t="e">
        <f t="shared" si="685"/>
        <v>#REF!</v>
      </c>
      <c r="AQ229" s="233" t="e">
        <f t="shared" ref="AQ229:AV229" si="689">SUM(AQ230:AQ242)-AQ233-AQ233</f>
        <v>#REF!</v>
      </c>
      <c r="AR229" s="94" t="e">
        <f t="shared" si="689"/>
        <v>#REF!</v>
      </c>
      <c r="AS229" s="94" t="e">
        <f t="shared" si="689"/>
        <v>#REF!</v>
      </c>
      <c r="AT229" s="94" t="e">
        <f t="shared" si="689"/>
        <v>#REF!</v>
      </c>
      <c r="AU229" s="94" t="e">
        <f t="shared" si="689"/>
        <v>#REF!</v>
      </c>
      <c r="AV229" s="94" t="e">
        <f t="shared" si="689"/>
        <v>#REF!</v>
      </c>
      <c r="AW229" s="94" t="e">
        <f t="shared" si="685"/>
        <v>#REF!</v>
      </c>
      <c r="AX229" s="233" t="e">
        <f t="shared" ref="AX229" si="690">SUM(AX230:AX242)-AX233-AX233</f>
        <v>#REF!</v>
      </c>
      <c r="AY229" s="94" t="e">
        <f t="shared" ref="AY229:AZ229" si="691">SUM(AY230:AY242)-AY233-AY233</f>
        <v>#REF!</v>
      </c>
      <c r="AZ229" s="94" t="e">
        <f t="shared" si="691"/>
        <v>#REF!</v>
      </c>
      <c r="BA229" s="94" t="e">
        <f t="shared" ref="BA229:BC229" si="692">SUM(BA230:BA242)-BA233-BA233</f>
        <v>#REF!</v>
      </c>
      <c r="BB229" s="94" t="e">
        <f t="shared" si="692"/>
        <v>#REF!</v>
      </c>
      <c r="BC229" s="94" t="e">
        <f t="shared" si="692"/>
        <v>#REF!</v>
      </c>
      <c r="BD229" s="229" t="e">
        <f t="shared" ref="BD229:BJ229" si="693">SUM(BD230:BD242)-BD233-BD233</f>
        <v>#REF!</v>
      </c>
      <c r="BE229" s="233" t="e">
        <f t="shared" si="693"/>
        <v>#REF!</v>
      </c>
      <c r="BF229" s="94" t="e">
        <f t="shared" si="693"/>
        <v>#REF!</v>
      </c>
      <c r="BG229" s="94" t="e">
        <f t="shared" si="693"/>
        <v>#REF!</v>
      </c>
      <c r="BH229" s="94" t="e">
        <f t="shared" si="693"/>
        <v>#REF!</v>
      </c>
      <c r="BI229" s="94" t="e">
        <f t="shared" si="693"/>
        <v>#REF!</v>
      </c>
      <c r="BJ229" s="94" t="e">
        <f t="shared" si="693"/>
        <v>#REF!</v>
      </c>
      <c r="BK229" s="229" t="e">
        <f t="shared" ref="BK229" si="694">SUM(BK230:BK242)-BK233-BK233</f>
        <v>#REF!</v>
      </c>
      <c r="BL229" s="94" t="e">
        <f t="shared" ref="BL229:BR229" si="695">SUM(BL230:BL242)-BL233-BL233</f>
        <v>#REF!</v>
      </c>
      <c r="BM229" s="94" t="e">
        <f t="shared" si="695"/>
        <v>#REF!</v>
      </c>
      <c r="BN229" s="94" t="e">
        <f t="shared" si="695"/>
        <v>#REF!</v>
      </c>
      <c r="BO229" s="94" t="e">
        <f t="shared" si="695"/>
        <v>#REF!</v>
      </c>
      <c r="BP229" s="94" t="e">
        <f t="shared" si="695"/>
        <v>#REF!</v>
      </c>
      <c r="BQ229" s="94" t="e">
        <f t="shared" si="695"/>
        <v>#REF!</v>
      </c>
      <c r="BR229" s="94" t="e">
        <f t="shared" si="695"/>
        <v>#REF!</v>
      </c>
      <c r="BS229" s="235"/>
      <c r="BT229" s="243"/>
      <c r="BU229" s="235"/>
      <c r="BV229" s="235"/>
      <c r="BW229" s="235"/>
      <c r="BX229" s="235"/>
      <c r="BY229" s="235"/>
      <c r="BZ229" s="235"/>
      <c r="CA229" s="235"/>
      <c r="CB229" s="235"/>
      <c r="CC229" s="235"/>
      <c r="CD229" s="235"/>
      <c r="CE229" s="235"/>
      <c r="CF229" s="235"/>
      <c r="CG229" s="235"/>
      <c r="CH229" s="235"/>
      <c r="CI229" s="235"/>
      <c r="CJ229" s="235"/>
      <c r="CK229" s="235"/>
      <c r="CL229" s="235"/>
      <c r="CM229" s="235"/>
    </row>
    <row r="230" spans="1:91">
      <c r="A230" s="111" t="s">
        <v>190</v>
      </c>
      <c r="B230" s="206" t="str">
        <f>TRIM(A230)</f>
        <v>实收资本(或股本)</v>
      </c>
      <c r="D230" s="153" t="e">
        <f>INDEX(#REF!, MATCH($A230,#REF!, 0), MATCH(D$4,#REF!, 0))</f>
        <v>#REF!</v>
      </c>
      <c r="E230" s="153" t="e">
        <f>INDEX(#REF!, MATCH($A230,#REF!, 0), MATCH(E$4,#REF!, 0))</f>
        <v>#REF!</v>
      </c>
      <c r="F230" s="153" t="e">
        <f>INDEX(#REF!, MATCH($A230,#REF!, 0), MATCH(F$4,#REF!, 0))</f>
        <v>#REF!</v>
      </c>
      <c r="G230" s="153" t="e">
        <f>INDEX(#REF!, MATCH($A230,#REF!, 0), MATCH(G$4,#REF!, 0))</f>
        <v>#REF!</v>
      </c>
      <c r="H230" s="153" t="e">
        <f>INDEX(#REF!, MATCH($A230,#REF!, 0), MATCH(H$4,#REF!, 0))</f>
        <v>#REF!</v>
      </c>
      <c r="I230" s="153" t="e">
        <f>INDEX(#REF!, MATCH($A230,#REF!, 0), MATCH(I$4,#REF!, 0))</f>
        <v>#REF!</v>
      </c>
      <c r="J230" s="153" t="e">
        <f>INDEX(#REF!, MATCH($A230,#REF!, 0), MATCH(J$4,#REF!, 0))</f>
        <v>#REF!</v>
      </c>
      <c r="K230" s="153" t="e">
        <f>INDEX(#REF!, MATCH($A230,#REF!, 0), MATCH(K$4,#REF!, 0))</f>
        <v>#REF!</v>
      </c>
      <c r="L230" s="153" t="e">
        <f>INDEX(#REF!, MATCH($A230,#REF!, 0), MATCH(L$4,#REF!, 0))</f>
        <v>#REF!</v>
      </c>
      <c r="M230" s="153" t="e">
        <f>INDEX(#REF!, MATCH($A230,#REF!, 0), MATCH(M$4,#REF!, 0))</f>
        <v>#REF!</v>
      </c>
      <c r="N230" s="153" t="e">
        <f>INDEX(#REF!, MATCH($A230,#REF!, 0), MATCH(N$4,#REF!, 0))</f>
        <v>#REF!</v>
      </c>
      <c r="O230" s="153" t="e">
        <f>INDEX(#REF!, MATCH($A230,#REF!, 0), MATCH(O$4,#REF!, 0))</f>
        <v>#REF!</v>
      </c>
      <c r="P230" s="153" t="e">
        <f>INDEX(#REF!, MATCH($A230,#REF!, 0), MATCH(P$4,#REF!, 0))</f>
        <v>#REF!</v>
      </c>
      <c r="Q230" s="153" t="e">
        <f>INDEX(#REF!, MATCH($A230,#REF!, 0), MATCH(Q$4,#REF!, 0))</f>
        <v>#REF!</v>
      </c>
      <c r="R230" s="153" t="e">
        <f>INDEX(#REF!, MATCH($A230,#REF!, 0), MATCH(R$4,#REF!, 0))</f>
        <v>#REF!</v>
      </c>
      <c r="S230" s="153" t="e">
        <f>INDEX(#REF!, MATCH($A230,#REF!, 0), MATCH(S$4,#REF!, 0))</f>
        <v>#REF!</v>
      </c>
      <c r="T230" s="153" t="e">
        <f>INDEX(#REF!, MATCH($A230,#REF!, 0), MATCH(T$4,#REF!, 0))</f>
        <v>#REF!</v>
      </c>
      <c r="U230" s="153" t="e">
        <f>INDEX(#REF!, MATCH($A230,#REF!, 0), MATCH(U$4,#REF!, 0))</f>
        <v>#REF!</v>
      </c>
      <c r="V230" s="344" t="e">
        <f>INDEX(#REF!, MATCH($A230,#REF!, 0), MATCH(V$4,#REF!, 0))</f>
        <v>#REF!</v>
      </c>
      <c r="W230" s="153" t="e">
        <f>INDEX(#REF!, MATCH($A230,#REF!, 0), MATCH(W$4,#REF!, 0))</f>
        <v>#REF!</v>
      </c>
      <c r="X230" s="153" t="e">
        <f>INDEX(#REF!, MATCH($A230,#REF!, 0), MATCH(X$4,#REF!, 0))</f>
        <v>#REF!</v>
      </c>
      <c r="Y230" s="153" t="e">
        <f>INDEX(#REF!, MATCH($A230,#REF!, 0), MATCH(Y$4,#REF!, 0))</f>
        <v>#REF!</v>
      </c>
      <c r="Z230" s="153" t="e">
        <f>INDEX(#REF!, MATCH($A230,#REF!, 0), MATCH(Z$4,#REF!, 0))</f>
        <v>#REF!</v>
      </c>
      <c r="AA230" s="153" t="e">
        <f>INDEX(#REF!, MATCH($A230,#REF!, 0), MATCH(AA$4,#REF!, 0))</f>
        <v>#REF!</v>
      </c>
      <c r="AB230" s="153" t="e">
        <f>INDEX(#REF!, MATCH($A230,#REF!, 0), MATCH(AB$4,#REF!, 0))</f>
        <v>#REF!</v>
      </c>
      <c r="AC230" s="344" t="e">
        <f>INDEX(#REF!, MATCH($A230,#REF!, 0), MATCH(AC$4,#REF!, 0))</f>
        <v>#REF!</v>
      </c>
      <c r="AD230" s="153" t="e">
        <f>INDEX(#REF!, MATCH($A230,#REF!, 0), MATCH(AD$4,#REF!, 0))</f>
        <v>#REF!</v>
      </c>
      <c r="AE230" s="153" t="e">
        <f>INDEX(#REF!, MATCH($A230,#REF!, 0), MATCH(AE$4,#REF!, 0))</f>
        <v>#REF!</v>
      </c>
      <c r="AF230" s="153" t="e">
        <f>INDEX(#REF!, MATCH($A230,#REF!, 0), MATCH(AF$4,#REF!, 0))</f>
        <v>#REF!</v>
      </c>
      <c r="AG230" s="153" t="e">
        <f>INDEX(#REF!, MATCH($A230,#REF!, 0), MATCH(AG$4,#REF!, 0))</f>
        <v>#REF!</v>
      </c>
      <c r="AH230" s="153" t="e">
        <f>INDEX(#REF!, MATCH($A230,#REF!, 0), MATCH(AH$4,#REF!, 0))</f>
        <v>#REF!</v>
      </c>
      <c r="AI230" s="153" t="e">
        <f>INDEX(#REF!, MATCH($A230,#REF!, 0), MATCH(AI$4,#REF!, 0))</f>
        <v>#REF!</v>
      </c>
      <c r="AJ230" s="344" t="e">
        <f>INDEX(#REF!, MATCH($A230,#REF!, 0), MATCH(AJ$4,#REF!, 0))</f>
        <v>#REF!</v>
      </c>
      <c r="AK230" s="153" t="e">
        <f>INDEX(#REF!, MATCH($A230,#REF!, 0), MATCH(AK$4,#REF!, 0))</f>
        <v>#REF!</v>
      </c>
      <c r="AL230" s="153" t="e">
        <f>INDEX(#REF!, MATCH($A230,#REF!, 0), MATCH(AL$4,#REF!, 0))</f>
        <v>#REF!</v>
      </c>
      <c r="AM230" s="153" t="e">
        <f>INDEX(#REF!, MATCH($A230,#REF!, 0), MATCH(AM$4,#REF!, 0))</f>
        <v>#REF!</v>
      </c>
      <c r="AN230" s="153" t="e">
        <f>INDEX(#REF!, MATCH($A230,#REF!, 0), MATCH(AN$4,#REF!, 0))</f>
        <v>#REF!</v>
      </c>
      <c r="AO230" s="153" t="e">
        <f>INDEX(#REF!, MATCH($A230,#REF!, 0), MATCH(AO$4,#REF!, 0))</f>
        <v>#REF!</v>
      </c>
      <c r="AP230" s="153" t="e">
        <f>INDEX(#REF!, MATCH($A230,#REF!, 0), MATCH(AP$4,#REF!, 0))</f>
        <v>#REF!</v>
      </c>
      <c r="AQ230" s="344" t="e">
        <f>INDEX(#REF!, MATCH($A230,#REF!, 0), MATCH(AQ$4,#REF!, 0))</f>
        <v>#REF!</v>
      </c>
      <c r="AR230" s="153" t="e">
        <f>INDEX(#REF!, MATCH($A230,#REF!, 0), MATCH(AR$4,#REF!, 0))</f>
        <v>#REF!</v>
      </c>
      <c r="AS230" s="153" t="e">
        <f>INDEX(#REF!, MATCH($A230,#REF!, 0), MATCH(AS$4,#REF!, 0))</f>
        <v>#REF!</v>
      </c>
      <c r="AT230" s="153" t="e">
        <f>INDEX(#REF!, MATCH($A230,#REF!, 0), MATCH(AT$4,#REF!, 0))</f>
        <v>#REF!</v>
      </c>
      <c r="AU230" s="153" t="e">
        <f>INDEX(#REF!, MATCH($A230,#REF!, 0), MATCH(AU$4,#REF!, 0))</f>
        <v>#REF!</v>
      </c>
      <c r="AV230" s="153" t="e">
        <f>INDEX(#REF!, MATCH($A230,#REF!, 0), MATCH(AV$4,#REF!, 0))</f>
        <v>#REF!</v>
      </c>
      <c r="AW230" s="153" t="e">
        <f>INDEX(#REF!, MATCH($A230,#REF!, 0), MATCH(AW$4,#REF!, 0))</f>
        <v>#REF!</v>
      </c>
      <c r="AX230" s="344" t="e">
        <f>INDEX(#REF!, MATCH($A230,#REF!, 0), MATCH(AX$4,#REF!, 0))</f>
        <v>#REF!</v>
      </c>
      <c r="AY230" s="153" t="e">
        <f>INDEX(#REF!, MATCH($A230,#REF!, 0), MATCH(AY$4,#REF!, 0))</f>
        <v>#REF!</v>
      </c>
      <c r="AZ230" s="153" t="e">
        <f>INDEX(#REF!, MATCH($A230,#REF!, 0), MATCH(AZ$4,#REF!, 0))</f>
        <v>#REF!</v>
      </c>
      <c r="BA230" s="153" t="e">
        <f>INDEX(#REF!, MATCH($A230,#REF!, 0), MATCH(BA$4,#REF!, 0))</f>
        <v>#REF!</v>
      </c>
      <c r="BB230" s="153" t="e">
        <f>INDEX(#REF!, MATCH($A230,#REF!, 0), MATCH(BB$4,#REF!, 0))</f>
        <v>#REF!</v>
      </c>
      <c r="BC230" s="153" t="e">
        <f>INDEX(#REF!, MATCH($A230,#REF!, 0), MATCH(BC$4,#REF!, 0))</f>
        <v>#REF!</v>
      </c>
      <c r="BD230" s="386" t="e">
        <f>INDEX(#REF!, MATCH($A230,#REF!, 0), MATCH(BD$4,#REF!, 0))</f>
        <v>#REF!</v>
      </c>
      <c r="BE230" s="344" t="e">
        <f>INDEX(#REF!, MATCH($A230,#REF!, 0), MATCH(BE$4,#REF!, 0))</f>
        <v>#REF!</v>
      </c>
      <c r="BF230" s="153" t="e">
        <f>INDEX(#REF!, MATCH($A230,#REF!, 0), MATCH(BF$4,#REF!, 0))</f>
        <v>#REF!</v>
      </c>
      <c r="BG230" s="153" t="e">
        <f>INDEX(#REF!, MATCH($A230,#REF!, 0), MATCH(BG$4,#REF!, 0))</f>
        <v>#REF!</v>
      </c>
      <c r="BH230" s="153" t="e">
        <f>INDEX(#REF!, MATCH($A230,#REF!, 0), MATCH(BH$4,#REF!, 0))</f>
        <v>#REF!</v>
      </c>
      <c r="BI230" s="153" t="e">
        <f>INDEX(#REF!, MATCH($A230,#REF!, 0), MATCH(BI$4,#REF!, 0))</f>
        <v>#REF!</v>
      </c>
      <c r="BJ230" s="153" t="e">
        <f>INDEX(#REF!, MATCH($A230,#REF!, 0), MATCH(BJ$4,#REF!, 0))</f>
        <v>#REF!</v>
      </c>
      <c r="BK230" s="386" t="e">
        <f>INDEX(#REF!, MATCH($A230,#REF!, 0), MATCH(BK$4,#REF!, 0))</f>
        <v>#REF!</v>
      </c>
      <c r="BL230" s="112" t="e">
        <f>BK230</f>
        <v>#REF!</v>
      </c>
      <c r="BM230" s="112" t="e">
        <f t="shared" ref="BM230:BR230" si="696">BL230</f>
        <v>#REF!</v>
      </c>
      <c r="BN230" s="112" t="e">
        <f t="shared" si="696"/>
        <v>#REF!</v>
      </c>
      <c r="BO230" s="112" t="e">
        <f t="shared" si="696"/>
        <v>#REF!</v>
      </c>
      <c r="BP230" s="112" t="e">
        <f t="shared" si="696"/>
        <v>#REF!</v>
      </c>
      <c r="BQ230" s="112" t="e">
        <f t="shared" si="696"/>
        <v>#REF!</v>
      </c>
      <c r="BR230" s="112" t="e">
        <f t="shared" si="696"/>
        <v>#REF!</v>
      </c>
    </row>
    <row r="231" spans="1:91">
      <c r="A231" s="207" t="s">
        <v>265</v>
      </c>
      <c r="B231" s="206" t="str">
        <f t="shared" ref="B231:B242" si="697">TRIM(A231)</f>
        <v>其他权益工具</v>
      </c>
      <c r="D231" s="153" t="e">
        <f>INDEX(#REF!, MATCH($A231,#REF!, 0), MATCH(D$4,#REF!, 0))</f>
        <v>#REF!</v>
      </c>
      <c r="E231" s="153" t="e">
        <f>INDEX(#REF!, MATCH($A231,#REF!, 0), MATCH(E$4,#REF!, 0))</f>
        <v>#REF!</v>
      </c>
      <c r="F231" s="153" t="e">
        <f>INDEX(#REF!, MATCH($A231,#REF!, 0), MATCH(F$4,#REF!, 0))</f>
        <v>#REF!</v>
      </c>
      <c r="G231" s="153" t="e">
        <f>INDEX(#REF!, MATCH($A231,#REF!, 0), MATCH(G$4,#REF!, 0))</f>
        <v>#REF!</v>
      </c>
      <c r="H231" s="153" t="e">
        <f>INDEX(#REF!, MATCH($A231,#REF!, 0), MATCH(H$4,#REF!, 0))</f>
        <v>#REF!</v>
      </c>
      <c r="I231" s="153" t="e">
        <f>INDEX(#REF!, MATCH($A231,#REF!, 0), MATCH(I$4,#REF!, 0))</f>
        <v>#REF!</v>
      </c>
      <c r="J231" s="153" t="e">
        <f>INDEX(#REF!, MATCH($A231,#REF!, 0), MATCH(J$4,#REF!, 0))</f>
        <v>#REF!</v>
      </c>
      <c r="K231" s="153" t="e">
        <f>INDEX(#REF!, MATCH($A231,#REF!, 0), MATCH(K$4,#REF!, 0))</f>
        <v>#REF!</v>
      </c>
      <c r="L231" s="153" t="e">
        <f>INDEX(#REF!, MATCH($A231,#REF!, 0), MATCH(L$4,#REF!, 0))</f>
        <v>#REF!</v>
      </c>
      <c r="M231" s="153" t="e">
        <f>INDEX(#REF!, MATCH($A231,#REF!, 0), MATCH(M$4,#REF!, 0))</f>
        <v>#REF!</v>
      </c>
      <c r="N231" s="153" t="e">
        <f>INDEX(#REF!, MATCH($A231,#REF!, 0), MATCH(N$4,#REF!, 0))</f>
        <v>#REF!</v>
      </c>
      <c r="O231" s="153" t="e">
        <f>INDEX(#REF!, MATCH($A231,#REF!, 0), MATCH(O$4,#REF!, 0))</f>
        <v>#REF!</v>
      </c>
      <c r="P231" s="153" t="e">
        <f>INDEX(#REF!, MATCH($A231,#REF!, 0), MATCH(P$4,#REF!, 0))</f>
        <v>#REF!</v>
      </c>
      <c r="Q231" s="153" t="e">
        <f>INDEX(#REF!, MATCH($A231,#REF!, 0), MATCH(Q$4,#REF!, 0))</f>
        <v>#REF!</v>
      </c>
      <c r="R231" s="153" t="e">
        <f>INDEX(#REF!, MATCH($A231,#REF!, 0), MATCH(R$4,#REF!, 0))</f>
        <v>#REF!</v>
      </c>
      <c r="S231" s="153" t="e">
        <f>INDEX(#REF!, MATCH($A231,#REF!, 0), MATCH(S$4,#REF!, 0))</f>
        <v>#REF!</v>
      </c>
      <c r="T231" s="153" t="e">
        <f>INDEX(#REF!, MATCH($A231,#REF!, 0), MATCH(T$4,#REF!, 0))</f>
        <v>#REF!</v>
      </c>
      <c r="U231" s="153" t="e">
        <f>INDEX(#REF!, MATCH($A231,#REF!, 0), MATCH(U$4,#REF!, 0))</f>
        <v>#REF!</v>
      </c>
      <c r="V231" s="344" t="e">
        <f>INDEX(#REF!, MATCH($A231,#REF!, 0), MATCH(V$4,#REF!, 0))</f>
        <v>#REF!</v>
      </c>
      <c r="W231" s="153" t="e">
        <f>INDEX(#REF!, MATCH($A231,#REF!, 0), MATCH(W$4,#REF!, 0))</f>
        <v>#REF!</v>
      </c>
      <c r="X231" s="153" t="e">
        <f>INDEX(#REF!, MATCH($A231,#REF!, 0), MATCH(X$4,#REF!, 0))</f>
        <v>#REF!</v>
      </c>
      <c r="Y231" s="153" t="e">
        <f>INDEX(#REF!, MATCH($A231,#REF!, 0), MATCH(Y$4,#REF!, 0))</f>
        <v>#REF!</v>
      </c>
      <c r="Z231" s="153" t="e">
        <f>INDEX(#REF!, MATCH($A231,#REF!, 0), MATCH(Z$4,#REF!, 0))</f>
        <v>#REF!</v>
      </c>
      <c r="AA231" s="153" t="e">
        <f>INDEX(#REF!, MATCH($A231,#REF!, 0), MATCH(AA$4,#REF!, 0))</f>
        <v>#REF!</v>
      </c>
      <c r="AB231" s="153" t="e">
        <f>INDEX(#REF!, MATCH($A231,#REF!, 0), MATCH(AB$4,#REF!, 0))</f>
        <v>#REF!</v>
      </c>
      <c r="AC231" s="344" t="e">
        <f>INDEX(#REF!, MATCH($A231,#REF!, 0), MATCH(AC$4,#REF!, 0))</f>
        <v>#REF!</v>
      </c>
      <c r="AD231" s="153" t="e">
        <f>INDEX(#REF!, MATCH($A231,#REF!, 0), MATCH(AD$4,#REF!, 0))</f>
        <v>#REF!</v>
      </c>
      <c r="AE231" s="153" t="e">
        <f>INDEX(#REF!, MATCH($A231,#REF!, 0), MATCH(AE$4,#REF!, 0))</f>
        <v>#REF!</v>
      </c>
      <c r="AF231" s="153" t="e">
        <f>INDEX(#REF!, MATCH($A231,#REF!, 0), MATCH(AF$4,#REF!, 0))</f>
        <v>#REF!</v>
      </c>
      <c r="AG231" s="153" t="e">
        <f>INDEX(#REF!, MATCH($A231,#REF!, 0), MATCH(AG$4,#REF!, 0))</f>
        <v>#REF!</v>
      </c>
      <c r="AH231" s="153" t="e">
        <f>INDEX(#REF!, MATCH($A231,#REF!, 0), MATCH(AH$4,#REF!, 0))</f>
        <v>#REF!</v>
      </c>
      <c r="AI231" s="153" t="e">
        <f>INDEX(#REF!, MATCH($A231,#REF!, 0), MATCH(AI$4,#REF!, 0))</f>
        <v>#REF!</v>
      </c>
      <c r="AJ231" s="344" t="e">
        <f>INDEX(#REF!, MATCH($A231,#REF!, 0), MATCH(AJ$4,#REF!, 0))</f>
        <v>#REF!</v>
      </c>
      <c r="AK231" s="153" t="e">
        <f>INDEX(#REF!, MATCH($A231,#REF!, 0), MATCH(AK$4,#REF!, 0))</f>
        <v>#REF!</v>
      </c>
      <c r="AL231" s="153" t="e">
        <f>INDEX(#REF!, MATCH($A231,#REF!, 0), MATCH(AL$4,#REF!, 0))</f>
        <v>#REF!</v>
      </c>
      <c r="AM231" s="153" t="e">
        <f>INDEX(#REF!, MATCH($A231,#REF!, 0), MATCH(AM$4,#REF!, 0))</f>
        <v>#REF!</v>
      </c>
      <c r="AN231" s="153" t="e">
        <f>INDEX(#REF!, MATCH($A231,#REF!, 0), MATCH(AN$4,#REF!, 0))</f>
        <v>#REF!</v>
      </c>
      <c r="AO231" s="153" t="e">
        <f>INDEX(#REF!, MATCH($A231,#REF!, 0), MATCH(AO$4,#REF!, 0))</f>
        <v>#REF!</v>
      </c>
      <c r="AP231" s="153" t="e">
        <f>INDEX(#REF!, MATCH($A231,#REF!, 0), MATCH(AP$4,#REF!, 0))</f>
        <v>#REF!</v>
      </c>
      <c r="AQ231" s="344" t="e">
        <f>INDEX(#REF!, MATCH($A231,#REF!, 0), MATCH(AQ$4,#REF!, 0))</f>
        <v>#REF!</v>
      </c>
      <c r="AR231" s="153" t="e">
        <f>INDEX(#REF!, MATCH($A231,#REF!, 0), MATCH(AR$4,#REF!, 0))</f>
        <v>#REF!</v>
      </c>
      <c r="AS231" s="153" t="e">
        <f>INDEX(#REF!, MATCH($A231,#REF!, 0), MATCH(AS$4,#REF!, 0))</f>
        <v>#REF!</v>
      </c>
      <c r="AT231" s="153" t="e">
        <f>INDEX(#REF!, MATCH($A231,#REF!, 0), MATCH(AT$4,#REF!, 0))</f>
        <v>#REF!</v>
      </c>
      <c r="AU231" s="153" t="e">
        <f>INDEX(#REF!, MATCH($A231,#REF!, 0), MATCH(AU$4,#REF!, 0))</f>
        <v>#REF!</v>
      </c>
      <c r="AV231" s="153" t="e">
        <f>INDEX(#REF!, MATCH($A231,#REF!, 0), MATCH(AV$4,#REF!, 0))</f>
        <v>#REF!</v>
      </c>
      <c r="AW231" s="153" t="e">
        <f>INDEX(#REF!, MATCH($A231,#REF!, 0), MATCH(AW$4,#REF!, 0))</f>
        <v>#REF!</v>
      </c>
      <c r="AX231" s="344" t="e">
        <f>INDEX(#REF!, MATCH($A231,#REF!, 0), MATCH(AX$4,#REF!, 0))</f>
        <v>#REF!</v>
      </c>
      <c r="AY231" s="153" t="e">
        <f>INDEX(#REF!, MATCH($A231,#REF!, 0), MATCH(AY$4,#REF!, 0))</f>
        <v>#REF!</v>
      </c>
      <c r="AZ231" s="153" t="e">
        <f>INDEX(#REF!, MATCH($A231,#REF!, 0), MATCH(AZ$4,#REF!, 0))</f>
        <v>#REF!</v>
      </c>
      <c r="BA231" s="153" t="e">
        <f>INDEX(#REF!, MATCH($A231,#REF!, 0), MATCH(BA$4,#REF!, 0))</f>
        <v>#REF!</v>
      </c>
      <c r="BB231" s="153" t="e">
        <f>INDEX(#REF!, MATCH($A231,#REF!, 0), MATCH(BB$4,#REF!, 0))</f>
        <v>#REF!</v>
      </c>
      <c r="BC231" s="153" t="e">
        <f>INDEX(#REF!, MATCH($A231,#REF!, 0), MATCH(BC$4,#REF!, 0))</f>
        <v>#REF!</v>
      </c>
      <c r="BD231" s="386" t="e">
        <f>INDEX(#REF!, MATCH($A231,#REF!, 0), MATCH(BD$4,#REF!, 0))</f>
        <v>#REF!</v>
      </c>
      <c r="BE231" s="344" t="e">
        <f>INDEX(#REF!, MATCH($A231,#REF!, 0), MATCH(BE$4,#REF!, 0))</f>
        <v>#REF!</v>
      </c>
      <c r="BF231" s="153" t="e">
        <f>INDEX(#REF!, MATCH($A231,#REF!, 0), MATCH(BF$4,#REF!, 0))</f>
        <v>#REF!</v>
      </c>
      <c r="BG231" s="153" t="e">
        <f>INDEX(#REF!, MATCH($A231,#REF!, 0), MATCH(BG$4,#REF!, 0))</f>
        <v>#REF!</v>
      </c>
      <c r="BH231" s="153" t="e">
        <f>INDEX(#REF!, MATCH($A231,#REF!, 0), MATCH(BH$4,#REF!, 0))</f>
        <v>#REF!</v>
      </c>
      <c r="BI231" s="153" t="e">
        <f>INDEX(#REF!, MATCH($A231,#REF!, 0), MATCH(BI$4,#REF!, 0))</f>
        <v>#REF!</v>
      </c>
      <c r="BJ231" s="153" t="e">
        <f>INDEX(#REF!, MATCH($A231,#REF!, 0), MATCH(BJ$4,#REF!, 0))</f>
        <v>#REF!</v>
      </c>
      <c r="BK231" s="386" t="e">
        <f>INDEX(#REF!, MATCH($A231,#REF!, 0), MATCH(BK$4,#REF!, 0))</f>
        <v>#REF!</v>
      </c>
      <c r="BL231" s="112" t="e">
        <f t="shared" ref="BL231:BL236" si="698">BK231</f>
        <v>#REF!</v>
      </c>
      <c r="BM231" s="112" t="e">
        <f t="shared" ref="BM231:BO242" si="699">BL231</f>
        <v>#REF!</v>
      </c>
      <c r="BN231" s="112" t="e">
        <f t="shared" si="699"/>
        <v>#REF!</v>
      </c>
      <c r="BO231" s="112" t="e">
        <f t="shared" si="699"/>
        <v>#REF!</v>
      </c>
      <c r="BP231" s="112" t="e">
        <f t="shared" ref="BP231:BR236" si="700">BO231</f>
        <v>#REF!</v>
      </c>
      <c r="BQ231" s="112" t="e">
        <f t="shared" si="700"/>
        <v>#REF!</v>
      </c>
      <c r="BR231" s="112" t="e">
        <f t="shared" si="700"/>
        <v>#REF!</v>
      </c>
    </row>
    <row r="232" spans="1:91">
      <c r="A232" s="111" t="s">
        <v>191</v>
      </c>
      <c r="B232" s="206" t="str">
        <f t="shared" si="697"/>
        <v>资本公积金</v>
      </c>
      <c r="D232" s="153" t="e">
        <f>INDEX(#REF!, MATCH($A232,#REF!, 0), MATCH(D$4,#REF!, 0))</f>
        <v>#REF!</v>
      </c>
      <c r="E232" s="153" t="e">
        <f>INDEX(#REF!, MATCH($A232,#REF!, 0), MATCH(E$4,#REF!, 0))</f>
        <v>#REF!</v>
      </c>
      <c r="F232" s="153" t="e">
        <f>INDEX(#REF!, MATCH($A232,#REF!, 0), MATCH(F$4,#REF!, 0))</f>
        <v>#REF!</v>
      </c>
      <c r="G232" s="153" t="e">
        <f>INDEX(#REF!, MATCH($A232,#REF!, 0), MATCH(G$4,#REF!, 0))</f>
        <v>#REF!</v>
      </c>
      <c r="H232" s="153" t="e">
        <f>INDEX(#REF!, MATCH($A232,#REF!, 0), MATCH(H$4,#REF!, 0))</f>
        <v>#REF!</v>
      </c>
      <c r="I232" s="153" t="e">
        <f>INDEX(#REF!, MATCH($A232,#REF!, 0), MATCH(I$4,#REF!, 0))</f>
        <v>#REF!</v>
      </c>
      <c r="J232" s="153" t="e">
        <f>INDEX(#REF!, MATCH($A232,#REF!, 0), MATCH(J$4,#REF!, 0))</f>
        <v>#REF!</v>
      </c>
      <c r="K232" s="153" t="e">
        <f>INDEX(#REF!, MATCH($A232,#REF!, 0), MATCH(K$4,#REF!, 0))</f>
        <v>#REF!</v>
      </c>
      <c r="L232" s="153" t="e">
        <f>INDEX(#REF!, MATCH($A232,#REF!, 0), MATCH(L$4,#REF!, 0))</f>
        <v>#REF!</v>
      </c>
      <c r="M232" s="153" t="e">
        <f>INDEX(#REF!, MATCH($A232,#REF!, 0), MATCH(M$4,#REF!, 0))</f>
        <v>#REF!</v>
      </c>
      <c r="N232" s="153" t="e">
        <f>INDEX(#REF!, MATCH($A232,#REF!, 0), MATCH(N$4,#REF!, 0))</f>
        <v>#REF!</v>
      </c>
      <c r="O232" s="153" t="e">
        <f>INDEX(#REF!, MATCH($A232,#REF!, 0), MATCH(O$4,#REF!, 0))</f>
        <v>#REF!</v>
      </c>
      <c r="P232" s="153" t="e">
        <f>INDEX(#REF!, MATCH($A232,#REF!, 0), MATCH(P$4,#REF!, 0))</f>
        <v>#REF!</v>
      </c>
      <c r="Q232" s="153" t="e">
        <f>INDEX(#REF!, MATCH($A232,#REF!, 0), MATCH(Q$4,#REF!, 0))</f>
        <v>#REF!</v>
      </c>
      <c r="R232" s="153" t="e">
        <f>INDEX(#REF!, MATCH($A232,#REF!, 0), MATCH(R$4,#REF!, 0))</f>
        <v>#REF!</v>
      </c>
      <c r="S232" s="153" t="e">
        <f>INDEX(#REF!, MATCH($A232,#REF!, 0), MATCH(S$4,#REF!, 0))</f>
        <v>#REF!</v>
      </c>
      <c r="T232" s="153" t="e">
        <f>INDEX(#REF!, MATCH($A232,#REF!, 0), MATCH(T$4,#REF!, 0))</f>
        <v>#REF!</v>
      </c>
      <c r="U232" s="153" t="e">
        <f>INDEX(#REF!, MATCH($A232,#REF!, 0), MATCH(U$4,#REF!, 0))</f>
        <v>#REF!</v>
      </c>
      <c r="V232" s="344" t="e">
        <f>INDEX(#REF!, MATCH($A232,#REF!, 0), MATCH(V$4,#REF!, 0))</f>
        <v>#REF!</v>
      </c>
      <c r="W232" s="153" t="e">
        <f>INDEX(#REF!, MATCH($A232,#REF!, 0), MATCH(W$4,#REF!, 0))</f>
        <v>#REF!</v>
      </c>
      <c r="X232" s="153" t="e">
        <f>INDEX(#REF!, MATCH($A232,#REF!, 0), MATCH(X$4,#REF!, 0))</f>
        <v>#REF!</v>
      </c>
      <c r="Y232" s="153" t="e">
        <f>INDEX(#REF!, MATCH($A232,#REF!, 0), MATCH(Y$4,#REF!, 0))</f>
        <v>#REF!</v>
      </c>
      <c r="Z232" s="153" t="e">
        <f>INDEX(#REF!, MATCH($A232,#REF!, 0), MATCH(Z$4,#REF!, 0))</f>
        <v>#REF!</v>
      </c>
      <c r="AA232" s="153" t="e">
        <f>INDEX(#REF!, MATCH($A232,#REF!, 0), MATCH(AA$4,#REF!, 0))</f>
        <v>#REF!</v>
      </c>
      <c r="AB232" s="153" t="e">
        <f>INDEX(#REF!, MATCH($A232,#REF!, 0), MATCH(AB$4,#REF!, 0))</f>
        <v>#REF!</v>
      </c>
      <c r="AC232" s="344" t="e">
        <f>INDEX(#REF!, MATCH($A232,#REF!, 0), MATCH(AC$4,#REF!, 0))</f>
        <v>#REF!</v>
      </c>
      <c r="AD232" s="153" t="e">
        <f>INDEX(#REF!, MATCH($A232,#REF!, 0), MATCH(AD$4,#REF!, 0))</f>
        <v>#REF!</v>
      </c>
      <c r="AE232" s="153" t="e">
        <f>INDEX(#REF!, MATCH($A232,#REF!, 0), MATCH(AE$4,#REF!, 0))</f>
        <v>#REF!</v>
      </c>
      <c r="AF232" s="153" t="e">
        <f>INDEX(#REF!, MATCH($A232,#REF!, 0), MATCH(AF$4,#REF!, 0))</f>
        <v>#REF!</v>
      </c>
      <c r="AG232" s="153" t="e">
        <f>INDEX(#REF!, MATCH($A232,#REF!, 0), MATCH(AG$4,#REF!, 0))</f>
        <v>#REF!</v>
      </c>
      <c r="AH232" s="153" t="e">
        <f>INDEX(#REF!, MATCH($A232,#REF!, 0), MATCH(AH$4,#REF!, 0))</f>
        <v>#REF!</v>
      </c>
      <c r="AI232" s="153" t="e">
        <f>INDEX(#REF!, MATCH($A232,#REF!, 0), MATCH(AI$4,#REF!, 0))</f>
        <v>#REF!</v>
      </c>
      <c r="AJ232" s="344" t="e">
        <f>INDEX(#REF!, MATCH($A232,#REF!, 0), MATCH(AJ$4,#REF!, 0))</f>
        <v>#REF!</v>
      </c>
      <c r="AK232" s="153" t="e">
        <f>INDEX(#REF!, MATCH($A232,#REF!, 0), MATCH(AK$4,#REF!, 0))</f>
        <v>#REF!</v>
      </c>
      <c r="AL232" s="153" t="e">
        <f>INDEX(#REF!, MATCH($A232,#REF!, 0), MATCH(AL$4,#REF!, 0))</f>
        <v>#REF!</v>
      </c>
      <c r="AM232" s="153" t="e">
        <f>INDEX(#REF!, MATCH($A232,#REF!, 0), MATCH(AM$4,#REF!, 0))</f>
        <v>#REF!</v>
      </c>
      <c r="AN232" s="153" t="e">
        <f>INDEX(#REF!, MATCH($A232,#REF!, 0), MATCH(AN$4,#REF!, 0))</f>
        <v>#REF!</v>
      </c>
      <c r="AO232" s="153" t="e">
        <f>INDEX(#REF!, MATCH($A232,#REF!, 0), MATCH(AO$4,#REF!, 0))</f>
        <v>#REF!</v>
      </c>
      <c r="AP232" s="153" t="e">
        <f>INDEX(#REF!, MATCH($A232,#REF!, 0), MATCH(AP$4,#REF!, 0))</f>
        <v>#REF!</v>
      </c>
      <c r="AQ232" s="344" t="e">
        <f>INDEX(#REF!, MATCH($A232,#REF!, 0), MATCH(AQ$4,#REF!, 0))</f>
        <v>#REF!</v>
      </c>
      <c r="AR232" s="153" t="e">
        <f>INDEX(#REF!, MATCH($A232,#REF!, 0), MATCH(AR$4,#REF!, 0))</f>
        <v>#REF!</v>
      </c>
      <c r="AS232" s="153" t="e">
        <f>INDEX(#REF!, MATCH($A232,#REF!, 0), MATCH(AS$4,#REF!, 0))</f>
        <v>#REF!</v>
      </c>
      <c r="AT232" s="153" t="e">
        <f>INDEX(#REF!, MATCH($A232,#REF!, 0), MATCH(AT$4,#REF!, 0))</f>
        <v>#REF!</v>
      </c>
      <c r="AU232" s="153" t="e">
        <f>INDEX(#REF!, MATCH($A232,#REF!, 0), MATCH(AU$4,#REF!, 0))</f>
        <v>#REF!</v>
      </c>
      <c r="AV232" s="153" t="e">
        <f>INDEX(#REF!, MATCH($A232,#REF!, 0), MATCH(AV$4,#REF!, 0))</f>
        <v>#REF!</v>
      </c>
      <c r="AW232" s="153" t="e">
        <f>INDEX(#REF!, MATCH($A232,#REF!, 0), MATCH(AW$4,#REF!, 0))</f>
        <v>#REF!</v>
      </c>
      <c r="AX232" s="344" t="e">
        <f>INDEX(#REF!, MATCH($A232,#REF!, 0), MATCH(AX$4,#REF!, 0))</f>
        <v>#REF!</v>
      </c>
      <c r="AY232" s="153" t="e">
        <f>INDEX(#REF!, MATCH($A232,#REF!, 0), MATCH(AY$4,#REF!, 0))</f>
        <v>#REF!</v>
      </c>
      <c r="AZ232" s="153" t="e">
        <f>INDEX(#REF!, MATCH($A232,#REF!, 0), MATCH(AZ$4,#REF!, 0))</f>
        <v>#REF!</v>
      </c>
      <c r="BA232" s="153" t="e">
        <f>INDEX(#REF!, MATCH($A232,#REF!, 0), MATCH(BA$4,#REF!, 0))</f>
        <v>#REF!</v>
      </c>
      <c r="BB232" s="153" t="e">
        <f>INDEX(#REF!, MATCH($A232,#REF!, 0), MATCH(BB$4,#REF!, 0))</f>
        <v>#REF!</v>
      </c>
      <c r="BC232" s="153" t="e">
        <f>INDEX(#REF!, MATCH($A232,#REF!, 0), MATCH(BC$4,#REF!, 0))</f>
        <v>#REF!</v>
      </c>
      <c r="BD232" s="386" t="e">
        <f>INDEX(#REF!, MATCH($A232,#REF!, 0), MATCH(BD$4,#REF!, 0))</f>
        <v>#REF!</v>
      </c>
      <c r="BE232" s="344" t="e">
        <f>INDEX(#REF!, MATCH($A232,#REF!, 0), MATCH(BE$4,#REF!, 0))</f>
        <v>#REF!</v>
      </c>
      <c r="BF232" s="153" t="e">
        <f>INDEX(#REF!, MATCH($A232,#REF!, 0), MATCH(BF$4,#REF!, 0))</f>
        <v>#REF!</v>
      </c>
      <c r="BG232" s="153" t="e">
        <f>INDEX(#REF!, MATCH($A232,#REF!, 0), MATCH(BG$4,#REF!, 0))</f>
        <v>#REF!</v>
      </c>
      <c r="BH232" s="153" t="e">
        <f>INDEX(#REF!, MATCH($A232,#REF!, 0), MATCH(BH$4,#REF!, 0))</f>
        <v>#REF!</v>
      </c>
      <c r="BI232" s="153" t="e">
        <f>INDEX(#REF!, MATCH($A232,#REF!, 0), MATCH(BI$4,#REF!, 0))</f>
        <v>#REF!</v>
      </c>
      <c r="BJ232" s="153" t="e">
        <f>INDEX(#REF!, MATCH($A232,#REF!, 0), MATCH(BJ$4,#REF!, 0))</f>
        <v>#REF!</v>
      </c>
      <c r="BK232" s="386" t="e">
        <f>INDEX(#REF!, MATCH($A232,#REF!, 0), MATCH(BK$4,#REF!, 0))</f>
        <v>#REF!</v>
      </c>
      <c r="BL232" s="112" t="e">
        <f t="shared" si="698"/>
        <v>#REF!</v>
      </c>
      <c r="BM232" s="112" t="e">
        <f t="shared" si="699"/>
        <v>#REF!</v>
      </c>
      <c r="BN232" s="112" t="e">
        <f t="shared" si="699"/>
        <v>#REF!</v>
      </c>
      <c r="BO232" s="112" t="e">
        <f t="shared" si="699"/>
        <v>#REF!</v>
      </c>
      <c r="BP232" s="112" t="e">
        <f t="shared" si="700"/>
        <v>#REF!</v>
      </c>
      <c r="BQ232" s="112" t="e">
        <f t="shared" si="700"/>
        <v>#REF!</v>
      </c>
      <c r="BR232" s="112" t="e">
        <f t="shared" si="700"/>
        <v>#REF!</v>
      </c>
    </row>
    <row r="233" spans="1:91">
      <c r="A233" s="111" t="s">
        <v>192</v>
      </c>
      <c r="B233" s="206" t="str">
        <f t="shared" si="697"/>
        <v>减：库存股</v>
      </c>
      <c r="D233" s="153" t="e">
        <f>INDEX(#REF!, MATCH($A233,#REF!, 0), MATCH(D$4,#REF!, 0))</f>
        <v>#REF!</v>
      </c>
      <c r="E233" s="153" t="e">
        <f>INDEX(#REF!, MATCH($A233,#REF!, 0), MATCH(E$4,#REF!, 0))</f>
        <v>#REF!</v>
      </c>
      <c r="F233" s="153" t="e">
        <f>INDEX(#REF!, MATCH($A233,#REF!, 0), MATCH(F$4,#REF!, 0))</f>
        <v>#REF!</v>
      </c>
      <c r="G233" s="153" t="e">
        <f>INDEX(#REF!, MATCH($A233,#REF!, 0), MATCH(G$4,#REF!, 0))</f>
        <v>#REF!</v>
      </c>
      <c r="H233" s="153" t="e">
        <f>INDEX(#REF!, MATCH($A233,#REF!, 0), MATCH(H$4,#REF!, 0))</f>
        <v>#REF!</v>
      </c>
      <c r="I233" s="153" t="e">
        <f>INDEX(#REF!, MATCH($A233,#REF!, 0), MATCH(I$4,#REF!, 0))</f>
        <v>#REF!</v>
      </c>
      <c r="J233" s="153" t="e">
        <f>INDEX(#REF!, MATCH($A233,#REF!, 0), MATCH(J$4,#REF!, 0))</f>
        <v>#REF!</v>
      </c>
      <c r="K233" s="153" t="e">
        <f>INDEX(#REF!, MATCH($A233,#REF!, 0), MATCH(K$4,#REF!, 0))</f>
        <v>#REF!</v>
      </c>
      <c r="L233" s="153" t="e">
        <f>INDEX(#REF!, MATCH($A233,#REF!, 0), MATCH(L$4,#REF!, 0))</f>
        <v>#REF!</v>
      </c>
      <c r="M233" s="153" t="e">
        <f>INDEX(#REF!, MATCH($A233,#REF!, 0), MATCH(M$4,#REF!, 0))</f>
        <v>#REF!</v>
      </c>
      <c r="N233" s="153" t="e">
        <f>INDEX(#REF!, MATCH($A233,#REF!, 0), MATCH(N$4,#REF!, 0))</f>
        <v>#REF!</v>
      </c>
      <c r="O233" s="153" t="e">
        <f>INDEX(#REF!, MATCH($A233,#REF!, 0), MATCH(O$4,#REF!, 0))</f>
        <v>#REF!</v>
      </c>
      <c r="P233" s="153" t="e">
        <f>INDEX(#REF!, MATCH($A233,#REF!, 0), MATCH(P$4,#REF!, 0))</f>
        <v>#REF!</v>
      </c>
      <c r="Q233" s="153" t="e">
        <f>INDEX(#REF!, MATCH($A233,#REF!, 0), MATCH(Q$4,#REF!, 0))</f>
        <v>#REF!</v>
      </c>
      <c r="R233" s="153" t="e">
        <f>INDEX(#REF!, MATCH($A233,#REF!, 0), MATCH(R$4,#REF!, 0))</f>
        <v>#REF!</v>
      </c>
      <c r="S233" s="153" t="e">
        <f>INDEX(#REF!, MATCH($A233,#REF!, 0), MATCH(S$4,#REF!, 0))</f>
        <v>#REF!</v>
      </c>
      <c r="T233" s="153" t="e">
        <f>INDEX(#REF!, MATCH($A233,#REF!, 0), MATCH(T$4,#REF!, 0))</f>
        <v>#REF!</v>
      </c>
      <c r="U233" s="153" t="e">
        <f>INDEX(#REF!, MATCH($A233,#REF!, 0), MATCH(U$4,#REF!, 0))</f>
        <v>#REF!</v>
      </c>
      <c r="V233" s="344" t="e">
        <f>INDEX(#REF!, MATCH($A233,#REF!, 0), MATCH(V$4,#REF!, 0))</f>
        <v>#REF!</v>
      </c>
      <c r="W233" s="153" t="e">
        <f>INDEX(#REF!, MATCH($A233,#REF!, 0), MATCH(W$4,#REF!, 0))</f>
        <v>#REF!</v>
      </c>
      <c r="X233" s="153" t="e">
        <f>INDEX(#REF!, MATCH($A233,#REF!, 0), MATCH(X$4,#REF!, 0))</f>
        <v>#REF!</v>
      </c>
      <c r="Y233" s="153" t="e">
        <f>INDEX(#REF!, MATCH($A233,#REF!, 0), MATCH(Y$4,#REF!, 0))</f>
        <v>#REF!</v>
      </c>
      <c r="Z233" s="153" t="e">
        <f>INDEX(#REF!, MATCH($A233,#REF!, 0), MATCH(Z$4,#REF!, 0))</f>
        <v>#REF!</v>
      </c>
      <c r="AA233" s="153" t="e">
        <f>INDEX(#REF!, MATCH($A233,#REF!, 0), MATCH(AA$4,#REF!, 0))</f>
        <v>#REF!</v>
      </c>
      <c r="AB233" s="153" t="e">
        <f>INDEX(#REF!, MATCH($A233,#REF!, 0), MATCH(AB$4,#REF!, 0))</f>
        <v>#REF!</v>
      </c>
      <c r="AC233" s="344" t="e">
        <f>INDEX(#REF!, MATCH($A233,#REF!, 0), MATCH(AC$4,#REF!, 0))</f>
        <v>#REF!</v>
      </c>
      <c r="AD233" s="153" t="e">
        <f>INDEX(#REF!, MATCH($A233,#REF!, 0), MATCH(AD$4,#REF!, 0))</f>
        <v>#REF!</v>
      </c>
      <c r="AE233" s="153" t="e">
        <f>INDEX(#REF!, MATCH($A233,#REF!, 0), MATCH(AE$4,#REF!, 0))</f>
        <v>#REF!</v>
      </c>
      <c r="AF233" s="153" t="e">
        <f>INDEX(#REF!, MATCH($A233,#REF!, 0), MATCH(AF$4,#REF!, 0))</f>
        <v>#REF!</v>
      </c>
      <c r="AG233" s="153" t="e">
        <f>INDEX(#REF!, MATCH($A233,#REF!, 0), MATCH(AG$4,#REF!, 0))</f>
        <v>#REF!</v>
      </c>
      <c r="AH233" s="153" t="e">
        <f>INDEX(#REF!, MATCH($A233,#REF!, 0), MATCH(AH$4,#REF!, 0))</f>
        <v>#REF!</v>
      </c>
      <c r="AI233" s="153" t="e">
        <f>INDEX(#REF!, MATCH($A233,#REF!, 0), MATCH(AI$4,#REF!, 0))</f>
        <v>#REF!</v>
      </c>
      <c r="AJ233" s="344" t="e">
        <f>INDEX(#REF!, MATCH($A233,#REF!, 0), MATCH(AJ$4,#REF!, 0))</f>
        <v>#REF!</v>
      </c>
      <c r="AK233" s="153" t="e">
        <f>INDEX(#REF!, MATCH($A233,#REF!, 0), MATCH(AK$4,#REF!, 0))</f>
        <v>#REF!</v>
      </c>
      <c r="AL233" s="153" t="e">
        <f>INDEX(#REF!, MATCH($A233,#REF!, 0), MATCH(AL$4,#REF!, 0))</f>
        <v>#REF!</v>
      </c>
      <c r="AM233" s="153" t="e">
        <f>INDEX(#REF!, MATCH($A233,#REF!, 0), MATCH(AM$4,#REF!, 0))</f>
        <v>#REF!</v>
      </c>
      <c r="AN233" s="153" t="e">
        <f>INDEX(#REF!, MATCH($A233,#REF!, 0), MATCH(AN$4,#REF!, 0))</f>
        <v>#REF!</v>
      </c>
      <c r="AO233" s="153" t="e">
        <f>INDEX(#REF!, MATCH($A233,#REF!, 0), MATCH(AO$4,#REF!, 0))</f>
        <v>#REF!</v>
      </c>
      <c r="AP233" s="153" t="e">
        <f>INDEX(#REF!, MATCH($A233,#REF!, 0), MATCH(AP$4,#REF!, 0))</f>
        <v>#REF!</v>
      </c>
      <c r="AQ233" s="344" t="e">
        <f>INDEX(#REF!, MATCH($A233,#REF!, 0), MATCH(AQ$4,#REF!, 0))</f>
        <v>#REF!</v>
      </c>
      <c r="AR233" s="153" t="e">
        <f>INDEX(#REF!, MATCH($A233,#REF!, 0), MATCH(AR$4,#REF!, 0))</f>
        <v>#REF!</v>
      </c>
      <c r="AS233" s="153" t="e">
        <f>INDEX(#REF!, MATCH($A233,#REF!, 0), MATCH(AS$4,#REF!, 0))</f>
        <v>#REF!</v>
      </c>
      <c r="AT233" s="153" t="e">
        <f>INDEX(#REF!, MATCH($A233,#REF!, 0), MATCH(AT$4,#REF!, 0))</f>
        <v>#REF!</v>
      </c>
      <c r="AU233" s="153" t="e">
        <f>INDEX(#REF!, MATCH($A233,#REF!, 0), MATCH(AU$4,#REF!, 0))</f>
        <v>#REF!</v>
      </c>
      <c r="AV233" s="153" t="e">
        <f>INDEX(#REF!, MATCH($A233,#REF!, 0), MATCH(AV$4,#REF!, 0))</f>
        <v>#REF!</v>
      </c>
      <c r="AW233" s="153" t="e">
        <f>INDEX(#REF!, MATCH($A233,#REF!, 0), MATCH(AW$4,#REF!, 0))</f>
        <v>#REF!</v>
      </c>
      <c r="AX233" s="344" t="e">
        <f>INDEX(#REF!, MATCH($A233,#REF!, 0), MATCH(AX$4,#REF!, 0))</f>
        <v>#REF!</v>
      </c>
      <c r="AY233" s="153" t="e">
        <f>INDEX(#REF!, MATCH($A233,#REF!, 0), MATCH(AY$4,#REF!, 0))</f>
        <v>#REF!</v>
      </c>
      <c r="AZ233" s="153" t="e">
        <f>INDEX(#REF!, MATCH($A233,#REF!, 0), MATCH(AZ$4,#REF!, 0))</f>
        <v>#REF!</v>
      </c>
      <c r="BA233" s="153" t="e">
        <f>INDEX(#REF!, MATCH($A233,#REF!, 0), MATCH(BA$4,#REF!, 0))</f>
        <v>#REF!</v>
      </c>
      <c r="BB233" s="153" t="e">
        <f>INDEX(#REF!, MATCH($A233,#REF!, 0), MATCH(BB$4,#REF!, 0))</f>
        <v>#REF!</v>
      </c>
      <c r="BC233" s="153" t="e">
        <f>INDEX(#REF!, MATCH($A233,#REF!, 0), MATCH(BC$4,#REF!, 0))</f>
        <v>#REF!</v>
      </c>
      <c r="BD233" s="386" t="e">
        <f>INDEX(#REF!, MATCH($A233,#REF!, 0), MATCH(BD$4,#REF!, 0))</f>
        <v>#REF!</v>
      </c>
      <c r="BE233" s="344" t="e">
        <f>INDEX(#REF!, MATCH($A233,#REF!, 0), MATCH(BE$4,#REF!, 0))</f>
        <v>#REF!</v>
      </c>
      <c r="BF233" s="153" t="e">
        <f>INDEX(#REF!, MATCH($A233,#REF!, 0), MATCH(BF$4,#REF!, 0))</f>
        <v>#REF!</v>
      </c>
      <c r="BG233" s="153" t="e">
        <f>INDEX(#REF!, MATCH($A233,#REF!, 0), MATCH(BG$4,#REF!, 0))</f>
        <v>#REF!</v>
      </c>
      <c r="BH233" s="153" t="e">
        <f>INDEX(#REF!, MATCH($A233,#REF!, 0), MATCH(BH$4,#REF!, 0))</f>
        <v>#REF!</v>
      </c>
      <c r="BI233" s="153" t="e">
        <f>INDEX(#REF!, MATCH($A233,#REF!, 0), MATCH(BI$4,#REF!, 0))</f>
        <v>#REF!</v>
      </c>
      <c r="BJ233" s="153" t="e">
        <f>INDEX(#REF!, MATCH($A233,#REF!, 0), MATCH(BJ$4,#REF!, 0))</f>
        <v>#REF!</v>
      </c>
      <c r="BK233" s="386" t="e">
        <f>INDEX(#REF!, MATCH($A233,#REF!, 0), MATCH(BK$4,#REF!, 0))</f>
        <v>#REF!</v>
      </c>
      <c r="BL233" s="112" t="e">
        <f t="shared" si="698"/>
        <v>#REF!</v>
      </c>
      <c r="BM233" s="112" t="e">
        <f t="shared" si="699"/>
        <v>#REF!</v>
      </c>
      <c r="BN233" s="112" t="e">
        <f t="shared" si="699"/>
        <v>#REF!</v>
      </c>
      <c r="BO233" s="112" t="e">
        <f t="shared" si="699"/>
        <v>#REF!</v>
      </c>
      <c r="BP233" s="112" t="e">
        <f t="shared" si="700"/>
        <v>#REF!</v>
      </c>
      <c r="BQ233" s="112" t="e">
        <f t="shared" si="700"/>
        <v>#REF!</v>
      </c>
      <c r="BR233" s="112" t="e">
        <f t="shared" si="700"/>
        <v>#REF!</v>
      </c>
    </row>
    <row r="234" spans="1:91">
      <c r="A234" s="208" t="s">
        <v>343</v>
      </c>
      <c r="B234" s="206" t="str">
        <f t="shared" si="697"/>
        <v>其他综合收益</v>
      </c>
      <c r="D234" s="153" t="e">
        <f>INDEX(#REF!, MATCH($A234,#REF!, 0), MATCH(D$4,#REF!, 0))</f>
        <v>#REF!</v>
      </c>
      <c r="E234" s="153" t="e">
        <f>INDEX(#REF!, MATCH($A234,#REF!, 0), MATCH(E$4,#REF!, 0))</f>
        <v>#REF!</v>
      </c>
      <c r="F234" s="153" t="e">
        <f>INDEX(#REF!, MATCH($A234,#REF!, 0), MATCH(F$4,#REF!, 0))</f>
        <v>#REF!</v>
      </c>
      <c r="G234" s="153" t="e">
        <f>INDEX(#REF!, MATCH($A234,#REF!, 0), MATCH(G$4,#REF!, 0))</f>
        <v>#REF!</v>
      </c>
      <c r="H234" s="153" t="e">
        <f>INDEX(#REF!, MATCH($A234,#REF!, 0), MATCH(H$4,#REF!, 0))</f>
        <v>#REF!</v>
      </c>
      <c r="I234" s="153" t="e">
        <f>INDEX(#REF!, MATCH($A234,#REF!, 0), MATCH(I$4,#REF!, 0))</f>
        <v>#REF!</v>
      </c>
      <c r="J234" s="153" t="e">
        <f>INDEX(#REF!, MATCH($A234,#REF!, 0), MATCH(J$4,#REF!, 0))</f>
        <v>#REF!</v>
      </c>
      <c r="K234" s="153" t="e">
        <f>INDEX(#REF!, MATCH($A234,#REF!, 0), MATCH(K$4,#REF!, 0))</f>
        <v>#REF!</v>
      </c>
      <c r="L234" s="153" t="e">
        <f>INDEX(#REF!, MATCH($A234,#REF!, 0), MATCH(L$4,#REF!, 0))</f>
        <v>#REF!</v>
      </c>
      <c r="M234" s="153" t="e">
        <f>INDEX(#REF!, MATCH($A234,#REF!, 0), MATCH(M$4,#REF!, 0))</f>
        <v>#REF!</v>
      </c>
      <c r="N234" s="153" t="e">
        <f>INDEX(#REF!, MATCH($A234,#REF!, 0), MATCH(N$4,#REF!, 0))</f>
        <v>#REF!</v>
      </c>
      <c r="O234" s="153" t="e">
        <f>INDEX(#REF!, MATCH($A234,#REF!, 0), MATCH(O$4,#REF!, 0))</f>
        <v>#REF!</v>
      </c>
      <c r="P234" s="153" t="e">
        <f>INDEX(#REF!, MATCH($A234,#REF!, 0), MATCH(P$4,#REF!, 0))</f>
        <v>#REF!</v>
      </c>
      <c r="Q234" s="153" t="e">
        <f>INDEX(#REF!, MATCH($A234,#REF!, 0), MATCH(Q$4,#REF!, 0))</f>
        <v>#REF!</v>
      </c>
      <c r="R234" s="153" t="e">
        <f>INDEX(#REF!, MATCH($A234,#REF!, 0), MATCH(R$4,#REF!, 0))</f>
        <v>#REF!</v>
      </c>
      <c r="S234" s="153" t="e">
        <f>INDEX(#REF!, MATCH($A234,#REF!, 0), MATCH(S$4,#REF!, 0))</f>
        <v>#REF!</v>
      </c>
      <c r="T234" s="153" t="e">
        <f>INDEX(#REF!, MATCH($A234,#REF!, 0), MATCH(T$4,#REF!, 0))</f>
        <v>#REF!</v>
      </c>
      <c r="U234" s="153" t="e">
        <f>INDEX(#REF!, MATCH($A234,#REF!, 0), MATCH(U$4,#REF!, 0))</f>
        <v>#REF!</v>
      </c>
      <c r="V234" s="344" t="e">
        <f>INDEX(#REF!, MATCH($A234,#REF!, 0), MATCH(V$4,#REF!, 0))</f>
        <v>#REF!</v>
      </c>
      <c r="W234" s="153" t="e">
        <f>INDEX(#REF!, MATCH($A234,#REF!, 0), MATCH(W$4,#REF!, 0))</f>
        <v>#REF!</v>
      </c>
      <c r="X234" s="153" t="e">
        <f>INDEX(#REF!, MATCH($A234,#REF!, 0), MATCH(X$4,#REF!, 0))</f>
        <v>#REF!</v>
      </c>
      <c r="Y234" s="153" t="e">
        <f>INDEX(#REF!, MATCH($A234,#REF!, 0), MATCH(Y$4,#REF!, 0))</f>
        <v>#REF!</v>
      </c>
      <c r="Z234" s="153" t="e">
        <f>INDEX(#REF!, MATCH($A234,#REF!, 0), MATCH(Z$4,#REF!, 0))</f>
        <v>#REF!</v>
      </c>
      <c r="AA234" s="153" t="e">
        <f>INDEX(#REF!, MATCH($A234,#REF!, 0), MATCH(AA$4,#REF!, 0))</f>
        <v>#REF!</v>
      </c>
      <c r="AB234" s="153" t="e">
        <f>INDEX(#REF!, MATCH($A234,#REF!, 0), MATCH(AB$4,#REF!, 0))</f>
        <v>#REF!</v>
      </c>
      <c r="AC234" s="344" t="e">
        <f>INDEX(#REF!, MATCH($A234,#REF!, 0), MATCH(AC$4,#REF!, 0))</f>
        <v>#REF!</v>
      </c>
      <c r="AD234" s="153" t="e">
        <f>INDEX(#REF!, MATCH($A234,#REF!, 0), MATCH(AD$4,#REF!, 0))</f>
        <v>#REF!</v>
      </c>
      <c r="AE234" s="153" t="e">
        <f>INDEX(#REF!, MATCH($A234,#REF!, 0), MATCH(AE$4,#REF!, 0))</f>
        <v>#REF!</v>
      </c>
      <c r="AF234" s="153" t="e">
        <f>INDEX(#REF!, MATCH($A234,#REF!, 0), MATCH(AF$4,#REF!, 0))</f>
        <v>#REF!</v>
      </c>
      <c r="AG234" s="153" t="e">
        <f>INDEX(#REF!, MATCH($A234,#REF!, 0), MATCH(AG$4,#REF!, 0))</f>
        <v>#REF!</v>
      </c>
      <c r="AH234" s="153" t="e">
        <f>INDEX(#REF!, MATCH($A234,#REF!, 0), MATCH(AH$4,#REF!, 0))</f>
        <v>#REF!</v>
      </c>
      <c r="AI234" s="153" t="e">
        <f>INDEX(#REF!, MATCH($A234,#REF!, 0), MATCH(AI$4,#REF!, 0))</f>
        <v>#REF!</v>
      </c>
      <c r="AJ234" s="344" t="e">
        <f>INDEX(#REF!, MATCH($A234,#REF!, 0), MATCH(AJ$4,#REF!, 0))</f>
        <v>#REF!</v>
      </c>
      <c r="AK234" s="153" t="e">
        <f>INDEX(#REF!, MATCH($A234,#REF!, 0), MATCH(AK$4,#REF!, 0))</f>
        <v>#REF!</v>
      </c>
      <c r="AL234" s="153" t="e">
        <f>INDEX(#REF!, MATCH($A234,#REF!, 0), MATCH(AL$4,#REF!, 0))</f>
        <v>#REF!</v>
      </c>
      <c r="AM234" s="153" t="e">
        <f>INDEX(#REF!, MATCH($A234,#REF!, 0), MATCH(AM$4,#REF!, 0))</f>
        <v>#REF!</v>
      </c>
      <c r="AN234" s="153" t="e">
        <f>INDEX(#REF!, MATCH($A234,#REF!, 0), MATCH(AN$4,#REF!, 0))</f>
        <v>#REF!</v>
      </c>
      <c r="AO234" s="153" t="e">
        <f>INDEX(#REF!, MATCH($A234,#REF!, 0), MATCH(AO$4,#REF!, 0))</f>
        <v>#REF!</v>
      </c>
      <c r="AP234" s="153" t="e">
        <f>INDEX(#REF!, MATCH($A234,#REF!, 0), MATCH(AP$4,#REF!, 0))</f>
        <v>#REF!</v>
      </c>
      <c r="AQ234" s="344" t="e">
        <f>INDEX(#REF!, MATCH($A234,#REF!, 0), MATCH(AQ$4,#REF!, 0))</f>
        <v>#REF!</v>
      </c>
      <c r="AR234" s="153" t="e">
        <f>INDEX(#REF!, MATCH($A234,#REF!, 0), MATCH(AR$4,#REF!, 0))</f>
        <v>#REF!</v>
      </c>
      <c r="AS234" s="153" t="e">
        <f>INDEX(#REF!, MATCH($A234,#REF!, 0), MATCH(AS$4,#REF!, 0))</f>
        <v>#REF!</v>
      </c>
      <c r="AT234" s="153" t="e">
        <f>INDEX(#REF!, MATCH($A234,#REF!, 0), MATCH(AT$4,#REF!, 0))</f>
        <v>#REF!</v>
      </c>
      <c r="AU234" s="153" t="e">
        <f>INDEX(#REF!, MATCH($A234,#REF!, 0), MATCH(AU$4,#REF!, 0))</f>
        <v>#REF!</v>
      </c>
      <c r="AV234" s="153" t="e">
        <f>INDEX(#REF!, MATCH($A234,#REF!, 0), MATCH(AV$4,#REF!, 0))</f>
        <v>#REF!</v>
      </c>
      <c r="AW234" s="153" t="e">
        <f>INDEX(#REF!, MATCH($A234,#REF!, 0), MATCH(AW$4,#REF!, 0))</f>
        <v>#REF!</v>
      </c>
      <c r="AX234" s="344" t="e">
        <f>INDEX(#REF!, MATCH($A234,#REF!, 0), MATCH(AX$4,#REF!, 0))</f>
        <v>#REF!</v>
      </c>
      <c r="AY234" s="153" t="e">
        <f>INDEX(#REF!, MATCH($A234,#REF!, 0), MATCH(AY$4,#REF!, 0))</f>
        <v>#REF!</v>
      </c>
      <c r="AZ234" s="153" t="e">
        <f>INDEX(#REF!, MATCH($A234,#REF!, 0), MATCH(AZ$4,#REF!, 0))</f>
        <v>#REF!</v>
      </c>
      <c r="BA234" s="153" t="e">
        <f>INDEX(#REF!, MATCH($A234,#REF!, 0), MATCH(BA$4,#REF!, 0))</f>
        <v>#REF!</v>
      </c>
      <c r="BB234" s="153" t="e">
        <f>INDEX(#REF!, MATCH($A234,#REF!, 0), MATCH(BB$4,#REF!, 0))</f>
        <v>#REF!</v>
      </c>
      <c r="BC234" s="153" t="e">
        <f>INDEX(#REF!, MATCH($A234,#REF!, 0), MATCH(BC$4,#REF!, 0))</f>
        <v>#REF!</v>
      </c>
      <c r="BD234" s="386" t="e">
        <f>INDEX(#REF!, MATCH($A234,#REF!, 0), MATCH(BD$4,#REF!, 0))</f>
        <v>#REF!</v>
      </c>
      <c r="BE234" s="344" t="e">
        <f>INDEX(#REF!, MATCH($A234,#REF!, 0), MATCH(BE$4,#REF!, 0))</f>
        <v>#REF!</v>
      </c>
      <c r="BF234" s="153" t="e">
        <f>INDEX(#REF!, MATCH($A234,#REF!, 0), MATCH(BF$4,#REF!, 0))</f>
        <v>#REF!</v>
      </c>
      <c r="BG234" s="153" t="e">
        <f>INDEX(#REF!, MATCH($A234,#REF!, 0), MATCH(BG$4,#REF!, 0))</f>
        <v>#REF!</v>
      </c>
      <c r="BH234" s="153" t="e">
        <f>INDEX(#REF!, MATCH($A234,#REF!, 0), MATCH(BH$4,#REF!, 0))</f>
        <v>#REF!</v>
      </c>
      <c r="BI234" s="153" t="e">
        <f>INDEX(#REF!, MATCH($A234,#REF!, 0), MATCH(BI$4,#REF!, 0))</f>
        <v>#REF!</v>
      </c>
      <c r="BJ234" s="153" t="e">
        <f>INDEX(#REF!, MATCH($A234,#REF!, 0), MATCH(BJ$4,#REF!, 0))</f>
        <v>#REF!</v>
      </c>
      <c r="BK234" s="386" t="e">
        <f>INDEX(#REF!, MATCH($A234,#REF!, 0), MATCH(BK$4,#REF!, 0))</f>
        <v>#REF!</v>
      </c>
      <c r="BL234" s="112" t="e">
        <f t="shared" si="698"/>
        <v>#REF!</v>
      </c>
      <c r="BM234" s="112" t="e">
        <f t="shared" si="699"/>
        <v>#REF!</v>
      </c>
      <c r="BN234" s="112" t="e">
        <f t="shared" si="699"/>
        <v>#REF!</v>
      </c>
      <c r="BO234" s="112" t="e">
        <f t="shared" si="699"/>
        <v>#REF!</v>
      </c>
      <c r="BP234" s="112" t="e">
        <f t="shared" si="700"/>
        <v>#REF!</v>
      </c>
      <c r="BQ234" s="112" t="e">
        <f t="shared" si="700"/>
        <v>#REF!</v>
      </c>
      <c r="BR234" s="112" t="e">
        <f t="shared" si="700"/>
        <v>#REF!</v>
      </c>
    </row>
    <row r="235" spans="1:91">
      <c r="A235" s="111" t="s">
        <v>193</v>
      </c>
      <c r="B235" s="206" t="str">
        <f t="shared" si="697"/>
        <v>盈余公积金</v>
      </c>
      <c r="D235" s="153" t="e">
        <f>INDEX(#REF!, MATCH($A235,#REF!, 0), MATCH(D$4,#REF!, 0))</f>
        <v>#REF!</v>
      </c>
      <c r="E235" s="153" t="e">
        <f>INDEX(#REF!, MATCH($A235,#REF!, 0), MATCH(E$4,#REF!, 0))</f>
        <v>#REF!</v>
      </c>
      <c r="F235" s="153" t="e">
        <f>INDEX(#REF!, MATCH($A235,#REF!, 0), MATCH(F$4,#REF!, 0))</f>
        <v>#REF!</v>
      </c>
      <c r="G235" s="153" t="e">
        <f>INDEX(#REF!, MATCH($A235,#REF!, 0), MATCH(G$4,#REF!, 0))</f>
        <v>#REF!</v>
      </c>
      <c r="H235" s="153" t="e">
        <f>INDEX(#REF!, MATCH($A235,#REF!, 0), MATCH(H$4,#REF!, 0))</f>
        <v>#REF!</v>
      </c>
      <c r="I235" s="153" t="e">
        <f>INDEX(#REF!, MATCH($A235,#REF!, 0), MATCH(I$4,#REF!, 0))</f>
        <v>#REF!</v>
      </c>
      <c r="J235" s="153" t="e">
        <f>INDEX(#REF!, MATCH($A235,#REF!, 0), MATCH(J$4,#REF!, 0))</f>
        <v>#REF!</v>
      </c>
      <c r="K235" s="153" t="e">
        <f>INDEX(#REF!, MATCH($A235,#REF!, 0), MATCH(K$4,#REF!, 0))</f>
        <v>#REF!</v>
      </c>
      <c r="L235" s="153" t="e">
        <f>INDEX(#REF!, MATCH($A235,#REF!, 0), MATCH(L$4,#REF!, 0))</f>
        <v>#REF!</v>
      </c>
      <c r="M235" s="153" t="e">
        <f>INDEX(#REF!, MATCH($A235,#REF!, 0), MATCH(M$4,#REF!, 0))</f>
        <v>#REF!</v>
      </c>
      <c r="N235" s="153" t="e">
        <f>INDEX(#REF!, MATCH($A235,#REF!, 0), MATCH(N$4,#REF!, 0))</f>
        <v>#REF!</v>
      </c>
      <c r="O235" s="153" t="e">
        <f>INDEX(#REF!, MATCH($A235,#REF!, 0), MATCH(O$4,#REF!, 0))</f>
        <v>#REF!</v>
      </c>
      <c r="P235" s="153" t="e">
        <f>INDEX(#REF!, MATCH($A235,#REF!, 0), MATCH(P$4,#REF!, 0))</f>
        <v>#REF!</v>
      </c>
      <c r="Q235" s="153" t="e">
        <f>INDEX(#REF!, MATCH($A235,#REF!, 0), MATCH(Q$4,#REF!, 0))</f>
        <v>#REF!</v>
      </c>
      <c r="R235" s="153" t="e">
        <f>INDEX(#REF!, MATCH($A235,#REF!, 0), MATCH(R$4,#REF!, 0))</f>
        <v>#REF!</v>
      </c>
      <c r="S235" s="153" t="e">
        <f>INDEX(#REF!, MATCH($A235,#REF!, 0), MATCH(S$4,#REF!, 0))</f>
        <v>#REF!</v>
      </c>
      <c r="T235" s="153" t="e">
        <f>INDEX(#REF!, MATCH($A235,#REF!, 0), MATCH(T$4,#REF!, 0))</f>
        <v>#REF!</v>
      </c>
      <c r="U235" s="153" t="e">
        <f>INDEX(#REF!, MATCH($A235,#REF!, 0), MATCH(U$4,#REF!, 0))</f>
        <v>#REF!</v>
      </c>
      <c r="V235" s="344" t="e">
        <f>INDEX(#REF!, MATCH($A235,#REF!, 0), MATCH(V$4,#REF!, 0))</f>
        <v>#REF!</v>
      </c>
      <c r="W235" s="153" t="e">
        <f>INDEX(#REF!, MATCH($A235,#REF!, 0), MATCH(W$4,#REF!, 0))</f>
        <v>#REF!</v>
      </c>
      <c r="X235" s="153" t="e">
        <f>INDEX(#REF!, MATCH($A235,#REF!, 0), MATCH(X$4,#REF!, 0))</f>
        <v>#REF!</v>
      </c>
      <c r="Y235" s="153" t="e">
        <f>INDEX(#REF!, MATCH($A235,#REF!, 0), MATCH(Y$4,#REF!, 0))</f>
        <v>#REF!</v>
      </c>
      <c r="Z235" s="153" t="e">
        <f>INDEX(#REF!, MATCH($A235,#REF!, 0), MATCH(Z$4,#REF!, 0))</f>
        <v>#REF!</v>
      </c>
      <c r="AA235" s="153" t="e">
        <f>INDEX(#REF!, MATCH($A235,#REF!, 0), MATCH(AA$4,#REF!, 0))</f>
        <v>#REF!</v>
      </c>
      <c r="AB235" s="153" t="e">
        <f>INDEX(#REF!, MATCH($A235,#REF!, 0), MATCH(AB$4,#REF!, 0))</f>
        <v>#REF!</v>
      </c>
      <c r="AC235" s="344" t="e">
        <f>INDEX(#REF!, MATCH($A235,#REF!, 0), MATCH(AC$4,#REF!, 0))</f>
        <v>#REF!</v>
      </c>
      <c r="AD235" s="153" t="e">
        <f>INDEX(#REF!, MATCH($A235,#REF!, 0), MATCH(AD$4,#REF!, 0))</f>
        <v>#REF!</v>
      </c>
      <c r="AE235" s="153" t="e">
        <f>INDEX(#REF!, MATCH($A235,#REF!, 0), MATCH(AE$4,#REF!, 0))</f>
        <v>#REF!</v>
      </c>
      <c r="AF235" s="153" t="e">
        <f>INDEX(#REF!, MATCH($A235,#REF!, 0), MATCH(AF$4,#REF!, 0))</f>
        <v>#REF!</v>
      </c>
      <c r="AG235" s="153" t="e">
        <f>INDEX(#REF!, MATCH($A235,#REF!, 0), MATCH(AG$4,#REF!, 0))</f>
        <v>#REF!</v>
      </c>
      <c r="AH235" s="153" t="e">
        <f>INDEX(#REF!, MATCH($A235,#REF!, 0), MATCH(AH$4,#REF!, 0))</f>
        <v>#REF!</v>
      </c>
      <c r="AI235" s="153" t="e">
        <f>INDEX(#REF!, MATCH($A235,#REF!, 0), MATCH(AI$4,#REF!, 0))</f>
        <v>#REF!</v>
      </c>
      <c r="AJ235" s="344" t="e">
        <f>INDEX(#REF!, MATCH($A235,#REF!, 0), MATCH(AJ$4,#REF!, 0))</f>
        <v>#REF!</v>
      </c>
      <c r="AK235" s="153" t="e">
        <f>INDEX(#REF!, MATCH($A235,#REF!, 0), MATCH(AK$4,#REF!, 0))</f>
        <v>#REF!</v>
      </c>
      <c r="AL235" s="153" t="e">
        <f>INDEX(#REF!, MATCH($A235,#REF!, 0), MATCH(AL$4,#REF!, 0))</f>
        <v>#REF!</v>
      </c>
      <c r="AM235" s="153" t="e">
        <f>INDEX(#REF!, MATCH($A235,#REF!, 0), MATCH(AM$4,#REF!, 0))</f>
        <v>#REF!</v>
      </c>
      <c r="AN235" s="153" t="e">
        <f>INDEX(#REF!, MATCH($A235,#REF!, 0), MATCH(AN$4,#REF!, 0))</f>
        <v>#REF!</v>
      </c>
      <c r="AO235" s="153" t="e">
        <f>INDEX(#REF!, MATCH($A235,#REF!, 0), MATCH(AO$4,#REF!, 0))</f>
        <v>#REF!</v>
      </c>
      <c r="AP235" s="153" t="e">
        <f>INDEX(#REF!, MATCH($A235,#REF!, 0), MATCH(AP$4,#REF!, 0))</f>
        <v>#REF!</v>
      </c>
      <c r="AQ235" s="344" t="e">
        <f>INDEX(#REF!, MATCH($A235,#REF!, 0), MATCH(AQ$4,#REF!, 0))</f>
        <v>#REF!</v>
      </c>
      <c r="AR235" s="153" t="e">
        <f>INDEX(#REF!, MATCH($A235,#REF!, 0), MATCH(AR$4,#REF!, 0))</f>
        <v>#REF!</v>
      </c>
      <c r="AS235" s="153" t="e">
        <f>INDEX(#REF!, MATCH($A235,#REF!, 0), MATCH(AS$4,#REF!, 0))</f>
        <v>#REF!</v>
      </c>
      <c r="AT235" s="153" t="e">
        <f>INDEX(#REF!, MATCH($A235,#REF!, 0), MATCH(AT$4,#REF!, 0))</f>
        <v>#REF!</v>
      </c>
      <c r="AU235" s="153" t="e">
        <f>INDEX(#REF!, MATCH($A235,#REF!, 0), MATCH(AU$4,#REF!, 0))</f>
        <v>#REF!</v>
      </c>
      <c r="AV235" s="153" t="e">
        <f>INDEX(#REF!, MATCH($A235,#REF!, 0), MATCH(AV$4,#REF!, 0))</f>
        <v>#REF!</v>
      </c>
      <c r="AW235" s="153" t="e">
        <f>INDEX(#REF!, MATCH($A235,#REF!, 0), MATCH(AW$4,#REF!, 0))</f>
        <v>#REF!</v>
      </c>
      <c r="AX235" s="344" t="e">
        <f>INDEX(#REF!, MATCH($A235,#REF!, 0), MATCH(AX$4,#REF!, 0))</f>
        <v>#REF!</v>
      </c>
      <c r="AY235" s="153" t="e">
        <f>INDEX(#REF!, MATCH($A235,#REF!, 0), MATCH(AY$4,#REF!, 0))</f>
        <v>#REF!</v>
      </c>
      <c r="AZ235" s="153" t="e">
        <f>INDEX(#REF!, MATCH($A235,#REF!, 0), MATCH(AZ$4,#REF!, 0))</f>
        <v>#REF!</v>
      </c>
      <c r="BA235" s="153" t="e">
        <f>INDEX(#REF!, MATCH($A235,#REF!, 0), MATCH(BA$4,#REF!, 0))</f>
        <v>#REF!</v>
      </c>
      <c r="BB235" s="153" t="e">
        <f>INDEX(#REF!, MATCH($A235,#REF!, 0), MATCH(BB$4,#REF!, 0))</f>
        <v>#REF!</v>
      </c>
      <c r="BC235" s="153" t="e">
        <f>INDEX(#REF!, MATCH($A235,#REF!, 0), MATCH(BC$4,#REF!, 0))</f>
        <v>#REF!</v>
      </c>
      <c r="BD235" s="386" t="e">
        <f>INDEX(#REF!, MATCH($A235,#REF!, 0), MATCH(BD$4,#REF!, 0))</f>
        <v>#REF!</v>
      </c>
      <c r="BE235" s="344" t="e">
        <f>INDEX(#REF!, MATCH($A235,#REF!, 0), MATCH(BE$4,#REF!, 0))</f>
        <v>#REF!</v>
      </c>
      <c r="BF235" s="153" t="e">
        <f>INDEX(#REF!, MATCH($A235,#REF!, 0), MATCH(BF$4,#REF!, 0))</f>
        <v>#REF!</v>
      </c>
      <c r="BG235" s="153" t="e">
        <f>INDEX(#REF!, MATCH($A235,#REF!, 0), MATCH(BG$4,#REF!, 0))</f>
        <v>#REF!</v>
      </c>
      <c r="BH235" s="153" t="e">
        <f>INDEX(#REF!, MATCH($A235,#REF!, 0), MATCH(BH$4,#REF!, 0))</f>
        <v>#REF!</v>
      </c>
      <c r="BI235" s="153" t="e">
        <f>INDEX(#REF!, MATCH($A235,#REF!, 0), MATCH(BI$4,#REF!, 0))</f>
        <v>#REF!</v>
      </c>
      <c r="BJ235" s="153" t="e">
        <f>INDEX(#REF!, MATCH($A235,#REF!, 0), MATCH(BJ$4,#REF!, 0))</f>
        <v>#REF!</v>
      </c>
      <c r="BK235" s="386" t="e">
        <f>INDEX(#REF!, MATCH($A235,#REF!, 0), MATCH(BK$4,#REF!, 0))</f>
        <v>#REF!</v>
      </c>
      <c r="BL235" s="112" t="e">
        <f t="shared" si="698"/>
        <v>#REF!</v>
      </c>
      <c r="BM235" s="112" t="e">
        <f t="shared" si="699"/>
        <v>#REF!</v>
      </c>
      <c r="BN235" s="112" t="e">
        <f t="shared" si="699"/>
        <v>#REF!</v>
      </c>
      <c r="BO235" s="112" t="e">
        <f t="shared" si="699"/>
        <v>#REF!</v>
      </c>
      <c r="BP235" s="112" t="e">
        <f t="shared" si="700"/>
        <v>#REF!</v>
      </c>
      <c r="BQ235" s="112" t="e">
        <f t="shared" si="700"/>
        <v>#REF!</v>
      </c>
      <c r="BR235" s="112" t="e">
        <f t="shared" si="700"/>
        <v>#REF!</v>
      </c>
    </row>
    <row r="236" spans="1:91">
      <c r="A236" s="111" t="s">
        <v>194</v>
      </c>
      <c r="B236" s="206" t="str">
        <f t="shared" si="697"/>
        <v>一般风险准备</v>
      </c>
      <c r="D236" s="153" t="e">
        <f>INDEX(#REF!, MATCH($A236,#REF!, 0), MATCH(D$4,#REF!, 0))</f>
        <v>#REF!</v>
      </c>
      <c r="E236" s="153" t="e">
        <f>INDEX(#REF!, MATCH($A236,#REF!, 0), MATCH(E$4,#REF!, 0))</f>
        <v>#REF!</v>
      </c>
      <c r="F236" s="153" t="e">
        <f>INDEX(#REF!, MATCH($A236,#REF!, 0), MATCH(F$4,#REF!, 0))</f>
        <v>#REF!</v>
      </c>
      <c r="G236" s="153" t="e">
        <f>INDEX(#REF!, MATCH($A236,#REF!, 0), MATCH(G$4,#REF!, 0))</f>
        <v>#REF!</v>
      </c>
      <c r="H236" s="153" t="e">
        <f>INDEX(#REF!, MATCH($A236,#REF!, 0), MATCH(H$4,#REF!, 0))</f>
        <v>#REF!</v>
      </c>
      <c r="I236" s="153" t="e">
        <f>INDEX(#REF!, MATCH($A236,#REF!, 0), MATCH(I$4,#REF!, 0))</f>
        <v>#REF!</v>
      </c>
      <c r="J236" s="153" t="e">
        <f>INDEX(#REF!, MATCH($A236,#REF!, 0), MATCH(J$4,#REF!, 0))</f>
        <v>#REF!</v>
      </c>
      <c r="K236" s="153" t="e">
        <f>INDEX(#REF!, MATCH($A236,#REF!, 0), MATCH(K$4,#REF!, 0))</f>
        <v>#REF!</v>
      </c>
      <c r="L236" s="153" t="e">
        <f>INDEX(#REF!, MATCH($A236,#REF!, 0), MATCH(L$4,#REF!, 0))</f>
        <v>#REF!</v>
      </c>
      <c r="M236" s="153" t="e">
        <f>INDEX(#REF!, MATCH($A236,#REF!, 0), MATCH(M$4,#REF!, 0))</f>
        <v>#REF!</v>
      </c>
      <c r="N236" s="153" t="e">
        <f>INDEX(#REF!, MATCH($A236,#REF!, 0), MATCH(N$4,#REF!, 0))</f>
        <v>#REF!</v>
      </c>
      <c r="O236" s="153" t="e">
        <f>INDEX(#REF!, MATCH($A236,#REF!, 0), MATCH(O$4,#REF!, 0))</f>
        <v>#REF!</v>
      </c>
      <c r="P236" s="153" t="e">
        <f>INDEX(#REF!, MATCH($A236,#REF!, 0), MATCH(P$4,#REF!, 0))</f>
        <v>#REF!</v>
      </c>
      <c r="Q236" s="153" t="e">
        <f>INDEX(#REF!, MATCH($A236,#REF!, 0), MATCH(Q$4,#REF!, 0))</f>
        <v>#REF!</v>
      </c>
      <c r="R236" s="153" t="e">
        <f>INDEX(#REF!, MATCH($A236,#REF!, 0), MATCH(R$4,#REF!, 0))</f>
        <v>#REF!</v>
      </c>
      <c r="S236" s="153" t="e">
        <f>INDEX(#REF!, MATCH($A236,#REF!, 0), MATCH(S$4,#REF!, 0))</f>
        <v>#REF!</v>
      </c>
      <c r="T236" s="153" t="e">
        <f>INDEX(#REF!, MATCH($A236,#REF!, 0), MATCH(T$4,#REF!, 0))</f>
        <v>#REF!</v>
      </c>
      <c r="U236" s="153" t="e">
        <f>INDEX(#REF!, MATCH($A236,#REF!, 0), MATCH(U$4,#REF!, 0))</f>
        <v>#REF!</v>
      </c>
      <c r="V236" s="344" t="e">
        <f>INDEX(#REF!, MATCH($A236,#REF!, 0), MATCH(V$4,#REF!, 0))</f>
        <v>#REF!</v>
      </c>
      <c r="W236" s="153" t="e">
        <f>INDEX(#REF!, MATCH($A236,#REF!, 0), MATCH(W$4,#REF!, 0))</f>
        <v>#REF!</v>
      </c>
      <c r="X236" s="153" t="e">
        <f>INDEX(#REF!, MATCH($A236,#REF!, 0), MATCH(X$4,#REF!, 0))</f>
        <v>#REF!</v>
      </c>
      <c r="Y236" s="153" t="e">
        <f>INDEX(#REF!, MATCH($A236,#REF!, 0), MATCH(Y$4,#REF!, 0))</f>
        <v>#REF!</v>
      </c>
      <c r="Z236" s="153" t="e">
        <f>INDEX(#REF!, MATCH($A236,#REF!, 0), MATCH(Z$4,#REF!, 0))</f>
        <v>#REF!</v>
      </c>
      <c r="AA236" s="153" t="e">
        <f>INDEX(#REF!, MATCH($A236,#REF!, 0), MATCH(AA$4,#REF!, 0))</f>
        <v>#REF!</v>
      </c>
      <c r="AB236" s="153" t="e">
        <f>INDEX(#REF!, MATCH($A236,#REF!, 0), MATCH(AB$4,#REF!, 0))</f>
        <v>#REF!</v>
      </c>
      <c r="AC236" s="344" t="e">
        <f>INDEX(#REF!, MATCH($A236,#REF!, 0), MATCH(AC$4,#REF!, 0))</f>
        <v>#REF!</v>
      </c>
      <c r="AD236" s="153" t="e">
        <f>INDEX(#REF!, MATCH($A236,#REF!, 0), MATCH(AD$4,#REF!, 0))</f>
        <v>#REF!</v>
      </c>
      <c r="AE236" s="153" t="e">
        <f>INDEX(#REF!, MATCH($A236,#REF!, 0), MATCH(AE$4,#REF!, 0))</f>
        <v>#REF!</v>
      </c>
      <c r="AF236" s="153" t="e">
        <f>INDEX(#REF!, MATCH($A236,#REF!, 0), MATCH(AF$4,#REF!, 0))</f>
        <v>#REF!</v>
      </c>
      <c r="AG236" s="153" t="e">
        <f>INDEX(#REF!, MATCH($A236,#REF!, 0), MATCH(AG$4,#REF!, 0))</f>
        <v>#REF!</v>
      </c>
      <c r="AH236" s="153" t="e">
        <f>INDEX(#REF!, MATCH($A236,#REF!, 0), MATCH(AH$4,#REF!, 0))</f>
        <v>#REF!</v>
      </c>
      <c r="AI236" s="153" t="e">
        <f>INDEX(#REF!, MATCH($A236,#REF!, 0), MATCH(AI$4,#REF!, 0))</f>
        <v>#REF!</v>
      </c>
      <c r="AJ236" s="344" t="e">
        <f>INDEX(#REF!, MATCH($A236,#REF!, 0), MATCH(AJ$4,#REF!, 0))</f>
        <v>#REF!</v>
      </c>
      <c r="AK236" s="153" t="e">
        <f>INDEX(#REF!, MATCH($A236,#REF!, 0), MATCH(AK$4,#REF!, 0))</f>
        <v>#REF!</v>
      </c>
      <c r="AL236" s="153" t="e">
        <f>INDEX(#REF!, MATCH($A236,#REF!, 0), MATCH(AL$4,#REF!, 0))</f>
        <v>#REF!</v>
      </c>
      <c r="AM236" s="153" t="e">
        <f>INDEX(#REF!, MATCH($A236,#REF!, 0), MATCH(AM$4,#REF!, 0))</f>
        <v>#REF!</v>
      </c>
      <c r="AN236" s="153" t="e">
        <f>INDEX(#REF!, MATCH($A236,#REF!, 0), MATCH(AN$4,#REF!, 0))</f>
        <v>#REF!</v>
      </c>
      <c r="AO236" s="153" t="e">
        <f>INDEX(#REF!, MATCH($A236,#REF!, 0), MATCH(AO$4,#REF!, 0))</f>
        <v>#REF!</v>
      </c>
      <c r="AP236" s="153" t="e">
        <f>INDEX(#REF!, MATCH($A236,#REF!, 0), MATCH(AP$4,#REF!, 0))</f>
        <v>#REF!</v>
      </c>
      <c r="AQ236" s="344" t="e">
        <f>INDEX(#REF!, MATCH($A236,#REF!, 0), MATCH(AQ$4,#REF!, 0))</f>
        <v>#REF!</v>
      </c>
      <c r="AR236" s="153" t="e">
        <f>INDEX(#REF!, MATCH($A236,#REF!, 0), MATCH(AR$4,#REF!, 0))</f>
        <v>#REF!</v>
      </c>
      <c r="AS236" s="153" t="e">
        <f>INDEX(#REF!, MATCH($A236,#REF!, 0), MATCH(AS$4,#REF!, 0))</f>
        <v>#REF!</v>
      </c>
      <c r="AT236" s="153" t="e">
        <f>INDEX(#REF!, MATCH($A236,#REF!, 0), MATCH(AT$4,#REF!, 0))</f>
        <v>#REF!</v>
      </c>
      <c r="AU236" s="153" t="e">
        <f>INDEX(#REF!, MATCH($A236,#REF!, 0), MATCH(AU$4,#REF!, 0))</f>
        <v>#REF!</v>
      </c>
      <c r="AV236" s="153" t="e">
        <f>INDEX(#REF!, MATCH($A236,#REF!, 0), MATCH(AV$4,#REF!, 0))</f>
        <v>#REF!</v>
      </c>
      <c r="AW236" s="153" t="e">
        <f>INDEX(#REF!, MATCH($A236,#REF!, 0), MATCH(AW$4,#REF!, 0))</f>
        <v>#REF!</v>
      </c>
      <c r="AX236" s="344" t="e">
        <f>INDEX(#REF!, MATCH($A236,#REF!, 0), MATCH(AX$4,#REF!, 0))</f>
        <v>#REF!</v>
      </c>
      <c r="AY236" s="153" t="e">
        <f>INDEX(#REF!, MATCH($A236,#REF!, 0), MATCH(AY$4,#REF!, 0))</f>
        <v>#REF!</v>
      </c>
      <c r="AZ236" s="153" t="e">
        <f>INDEX(#REF!, MATCH($A236,#REF!, 0), MATCH(AZ$4,#REF!, 0))</f>
        <v>#REF!</v>
      </c>
      <c r="BA236" s="153" t="e">
        <f>INDEX(#REF!, MATCH($A236,#REF!, 0), MATCH(BA$4,#REF!, 0))</f>
        <v>#REF!</v>
      </c>
      <c r="BB236" s="153" t="e">
        <f>INDEX(#REF!, MATCH($A236,#REF!, 0), MATCH(BB$4,#REF!, 0))</f>
        <v>#REF!</v>
      </c>
      <c r="BC236" s="153" t="e">
        <f>INDEX(#REF!, MATCH($A236,#REF!, 0), MATCH(BC$4,#REF!, 0))</f>
        <v>#REF!</v>
      </c>
      <c r="BD236" s="386" t="e">
        <f>INDEX(#REF!, MATCH($A236,#REF!, 0), MATCH(BD$4,#REF!, 0))</f>
        <v>#REF!</v>
      </c>
      <c r="BE236" s="344" t="e">
        <f>INDEX(#REF!, MATCH($A236,#REF!, 0), MATCH(BE$4,#REF!, 0))</f>
        <v>#REF!</v>
      </c>
      <c r="BF236" s="153" t="e">
        <f>INDEX(#REF!, MATCH($A236,#REF!, 0), MATCH(BF$4,#REF!, 0))</f>
        <v>#REF!</v>
      </c>
      <c r="BG236" s="153" t="e">
        <f>INDEX(#REF!, MATCH($A236,#REF!, 0), MATCH(BG$4,#REF!, 0))</f>
        <v>#REF!</v>
      </c>
      <c r="BH236" s="153" t="e">
        <f>INDEX(#REF!, MATCH($A236,#REF!, 0), MATCH(BH$4,#REF!, 0))</f>
        <v>#REF!</v>
      </c>
      <c r="BI236" s="153" t="e">
        <f>INDEX(#REF!, MATCH($A236,#REF!, 0), MATCH(BI$4,#REF!, 0))</f>
        <v>#REF!</v>
      </c>
      <c r="BJ236" s="153" t="e">
        <f>INDEX(#REF!, MATCH($A236,#REF!, 0), MATCH(BJ$4,#REF!, 0))</f>
        <v>#REF!</v>
      </c>
      <c r="BK236" s="386" t="e">
        <f>INDEX(#REF!, MATCH($A236,#REF!, 0), MATCH(BK$4,#REF!, 0))</f>
        <v>#REF!</v>
      </c>
      <c r="BL236" s="112" t="e">
        <f t="shared" si="698"/>
        <v>#REF!</v>
      </c>
      <c r="BM236" s="112" t="e">
        <f t="shared" si="699"/>
        <v>#REF!</v>
      </c>
      <c r="BN236" s="112" t="e">
        <f t="shared" si="699"/>
        <v>#REF!</v>
      </c>
      <c r="BO236" s="112" t="e">
        <f t="shared" si="699"/>
        <v>#REF!</v>
      </c>
      <c r="BP236" s="112" t="e">
        <f t="shared" si="700"/>
        <v>#REF!</v>
      </c>
      <c r="BQ236" s="112" t="e">
        <f t="shared" si="700"/>
        <v>#REF!</v>
      </c>
      <c r="BR236" s="112" t="e">
        <f t="shared" si="700"/>
        <v>#REF!</v>
      </c>
    </row>
    <row r="237" spans="1:91">
      <c r="A237" s="111" t="s">
        <v>195</v>
      </c>
      <c r="B237" s="1" t="str">
        <f t="shared" si="697"/>
        <v>未分配利润</v>
      </c>
      <c r="C237" s="209"/>
      <c r="D237" s="93" t="e">
        <f>INDEX(#REF!, MATCH($A237,#REF!, 0), MATCH(D$4,#REF!, 0))</f>
        <v>#REF!</v>
      </c>
      <c r="E237" s="93" t="e">
        <f>INDEX(#REF!, MATCH($A237,#REF!, 0), MATCH(E$4,#REF!, 0))</f>
        <v>#REF!</v>
      </c>
      <c r="F237" s="93" t="e">
        <f>INDEX(#REF!, MATCH($A237,#REF!, 0), MATCH(F$4,#REF!, 0))</f>
        <v>#REF!</v>
      </c>
      <c r="G237" s="93" t="e">
        <f>INDEX(#REF!, MATCH($A237,#REF!, 0), MATCH(G$4,#REF!, 0))</f>
        <v>#REF!</v>
      </c>
      <c r="H237" s="93" t="e">
        <f>INDEX(#REF!, MATCH($A237,#REF!, 0), MATCH(H$4,#REF!, 0))</f>
        <v>#REF!</v>
      </c>
      <c r="I237" s="93" t="e">
        <f>INDEX(#REF!, MATCH($A237,#REF!, 0), MATCH(I$4,#REF!, 0))</f>
        <v>#REF!</v>
      </c>
      <c r="J237" s="93" t="e">
        <f>INDEX(#REF!, MATCH($A237,#REF!, 0), MATCH(J$4,#REF!, 0))</f>
        <v>#REF!</v>
      </c>
      <c r="K237" s="93" t="e">
        <f>INDEX(#REF!, MATCH($A237,#REF!, 0), MATCH(K$4,#REF!, 0))</f>
        <v>#REF!</v>
      </c>
      <c r="L237" s="93" t="e">
        <f>INDEX(#REF!, MATCH($A237,#REF!, 0), MATCH(L$4,#REF!, 0))</f>
        <v>#REF!</v>
      </c>
      <c r="M237" s="93" t="e">
        <f>INDEX(#REF!, MATCH($A237,#REF!, 0), MATCH(M$4,#REF!, 0))</f>
        <v>#REF!</v>
      </c>
      <c r="N237" s="93" t="e">
        <f>INDEX(#REF!, MATCH($A237,#REF!, 0), MATCH(N$4,#REF!, 0))</f>
        <v>#REF!</v>
      </c>
      <c r="O237" s="93" t="e">
        <f>INDEX(#REF!, MATCH($A237,#REF!, 0), MATCH(O$4,#REF!, 0))</f>
        <v>#REF!</v>
      </c>
      <c r="P237" s="93" t="e">
        <f>INDEX(#REF!, MATCH($A237,#REF!, 0), MATCH(P$4,#REF!, 0))</f>
        <v>#REF!</v>
      </c>
      <c r="Q237" s="93" t="e">
        <f>INDEX(#REF!, MATCH($A237,#REF!, 0), MATCH(Q$4,#REF!, 0))</f>
        <v>#REF!</v>
      </c>
      <c r="R237" s="93" t="e">
        <f>INDEX(#REF!, MATCH($A237,#REF!, 0), MATCH(R$4,#REF!, 0))</f>
        <v>#REF!</v>
      </c>
      <c r="S237" s="93" t="e">
        <f>INDEX(#REF!, MATCH($A237,#REF!, 0), MATCH(S$4,#REF!, 0))</f>
        <v>#REF!</v>
      </c>
      <c r="T237" s="93" t="e">
        <f>INDEX(#REF!, MATCH($A237,#REF!, 0), MATCH(T$4,#REF!, 0))</f>
        <v>#REF!</v>
      </c>
      <c r="U237" s="93" t="e">
        <f>INDEX(#REF!, MATCH($A237,#REF!, 0), MATCH(U$4,#REF!, 0))</f>
        <v>#REF!</v>
      </c>
      <c r="V237" s="141" t="e">
        <f>INDEX(#REF!, MATCH($A237,#REF!, 0), MATCH(V$4,#REF!, 0))</f>
        <v>#REF!</v>
      </c>
      <c r="W237" s="93" t="e">
        <f>INDEX(#REF!, MATCH($A237,#REF!, 0), MATCH(W$4,#REF!, 0))</f>
        <v>#REF!</v>
      </c>
      <c r="X237" s="93" t="e">
        <f>INDEX(#REF!, MATCH($A237,#REF!, 0), MATCH(X$4,#REF!, 0))</f>
        <v>#REF!</v>
      </c>
      <c r="Y237" s="93" t="e">
        <f>INDEX(#REF!, MATCH($A237,#REF!, 0), MATCH(Y$4,#REF!, 0))</f>
        <v>#REF!</v>
      </c>
      <c r="Z237" s="93" t="e">
        <f>INDEX(#REF!, MATCH($A237,#REF!, 0), MATCH(Z$4,#REF!, 0))</f>
        <v>#REF!</v>
      </c>
      <c r="AA237" s="93" t="e">
        <f>INDEX(#REF!, MATCH($A237,#REF!, 0), MATCH(AA$4,#REF!, 0))</f>
        <v>#REF!</v>
      </c>
      <c r="AB237" s="93" t="e">
        <f>INDEX(#REF!, MATCH($A237,#REF!, 0), MATCH(AB$4,#REF!, 0))</f>
        <v>#REF!</v>
      </c>
      <c r="AC237" s="141" t="e">
        <f>INDEX(#REF!, MATCH($A237,#REF!, 0), MATCH(AC$4,#REF!, 0))</f>
        <v>#REF!</v>
      </c>
      <c r="AD237" s="93" t="e">
        <f>INDEX(#REF!, MATCH($A237,#REF!, 0), MATCH(AD$4,#REF!, 0))</f>
        <v>#REF!</v>
      </c>
      <c r="AE237" s="93" t="e">
        <f>INDEX(#REF!, MATCH($A237,#REF!, 0), MATCH(AE$4,#REF!, 0))</f>
        <v>#REF!</v>
      </c>
      <c r="AF237" s="93" t="e">
        <f>INDEX(#REF!, MATCH($A237,#REF!, 0), MATCH(AF$4,#REF!, 0))</f>
        <v>#REF!</v>
      </c>
      <c r="AG237" s="93" t="e">
        <f>INDEX(#REF!, MATCH($A237,#REF!, 0), MATCH(AG$4,#REF!, 0))</f>
        <v>#REF!</v>
      </c>
      <c r="AH237" s="93" t="e">
        <f>INDEX(#REF!, MATCH($A237,#REF!, 0), MATCH(AH$4,#REF!, 0))</f>
        <v>#REF!</v>
      </c>
      <c r="AI237" s="93" t="e">
        <f>INDEX(#REF!, MATCH($A237,#REF!, 0), MATCH(AI$4,#REF!, 0))</f>
        <v>#REF!</v>
      </c>
      <c r="AJ237" s="141" t="e">
        <f>INDEX(#REF!, MATCH($A237,#REF!, 0), MATCH(AJ$4,#REF!, 0))</f>
        <v>#REF!</v>
      </c>
      <c r="AK237" s="93" t="e">
        <f>INDEX(#REF!, MATCH($A237,#REF!, 0), MATCH(AK$4,#REF!, 0))</f>
        <v>#REF!</v>
      </c>
      <c r="AL237" s="93" t="e">
        <f>INDEX(#REF!, MATCH($A237,#REF!, 0), MATCH(AL$4,#REF!, 0))</f>
        <v>#REF!</v>
      </c>
      <c r="AM237" s="93" t="e">
        <f>INDEX(#REF!, MATCH($A237,#REF!, 0), MATCH(AM$4,#REF!, 0))</f>
        <v>#REF!</v>
      </c>
      <c r="AN237" s="93" t="e">
        <f>INDEX(#REF!, MATCH($A237,#REF!, 0), MATCH(AN$4,#REF!, 0))</f>
        <v>#REF!</v>
      </c>
      <c r="AO237" s="93" t="e">
        <f>INDEX(#REF!, MATCH($A237,#REF!, 0), MATCH(AO$4,#REF!, 0))</f>
        <v>#REF!</v>
      </c>
      <c r="AP237" s="93" t="e">
        <f>INDEX(#REF!, MATCH($A237,#REF!, 0), MATCH(AP$4,#REF!, 0))</f>
        <v>#REF!</v>
      </c>
      <c r="AQ237" s="141" t="e">
        <f>INDEX(#REF!, MATCH($A237,#REF!, 0), MATCH(AQ$4,#REF!, 0))</f>
        <v>#REF!</v>
      </c>
      <c r="AR237" s="93" t="e">
        <f>INDEX(#REF!, MATCH($A237,#REF!, 0), MATCH(AR$4,#REF!, 0))</f>
        <v>#REF!</v>
      </c>
      <c r="AS237" s="93" t="e">
        <f>INDEX(#REF!, MATCH($A237,#REF!, 0), MATCH(AS$4,#REF!, 0))</f>
        <v>#REF!</v>
      </c>
      <c r="AT237" s="93" t="e">
        <f>INDEX(#REF!, MATCH($A237,#REF!, 0), MATCH(AT$4,#REF!, 0))</f>
        <v>#REF!</v>
      </c>
      <c r="AU237" s="93" t="e">
        <f>INDEX(#REF!, MATCH($A237,#REF!, 0), MATCH(AU$4,#REF!, 0))</f>
        <v>#REF!</v>
      </c>
      <c r="AV237" s="93" t="e">
        <f>INDEX(#REF!, MATCH($A237,#REF!, 0), MATCH(AV$4,#REF!, 0))</f>
        <v>#REF!</v>
      </c>
      <c r="AW237" s="93" t="e">
        <f>INDEX(#REF!, MATCH($A237,#REF!, 0), MATCH(AW$4,#REF!, 0))</f>
        <v>#REF!</v>
      </c>
      <c r="AX237" s="141" t="e">
        <f>INDEX(#REF!, MATCH($A237,#REF!, 0), MATCH(AX$4,#REF!, 0))</f>
        <v>#REF!</v>
      </c>
      <c r="AY237" s="93" t="e">
        <f>INDEX(#REF!, MATCH($A237,#REF!, 0), MATCH(AY$4,#REF!, 0))</f>
        <v>#REF!</v>
      </c>
      <c r="AZ237" s="93" t="e">
        <f>INDEX(#REF!, MATCH($A237,#REF!, 0), MATCH(AZ$4,#REF!, 0))</f>
        <v>#REF!</v>
      </c>
      <c r="BA237" s="93" t="e">
        <f>INDEX(#REF!, MATCH($A237,#REF!, 0), MATCH(BA$4,#REF!, 0))</f>
        <v>#REF!</v>
      </c>
      <c r="BB237" s="93" t="e">
        <f>INDEX(#REF!, MATCH($A237,#REF!, 0), MATCH(BB$4,#REF!, 0))</f>
        <v>#REF!</v>
      </c>
      <c r="BC237" s="93" t="e">
        <f>INDEX(#REF!, MATCH($A237,#REF!, 0), MATCH(BC$4,#REF!, 0))</f>
        <v>#REF!</v>
      </c>
      <c r="BD237" s="139" t="e">
        <f>INDEX(#REF!, MATCH($A237,#REF!, 0), MATCH(BD$4,#REF!, 0))</f>
        <v>#REF!</v>
      </c>
      <c r="BE237" s="141" t="e">
        <f>INDEX(#REF!, MATCH($A237,#REF!, 0), MATCH(BE$4,#REF!, 0))</f>
        <v>#REF!</v>
      </c>
      <c r="BF237" s="93" t="e">
        <f>INDEX(#REF!, MATCH($A237,#REF!, 0), MATCH(BF$4,#REF!, 0))</f>
        <v>#REF!</v>
      </c>
      <c r="BG237" s="93" t="e">
        <f>INDEX(#REF!, MATCH($A237,#REF!, 0), MATCH(BG$4,#REF!, 0))</f>
        <v>#REF!</v>
      </c>
      <c r="BH237" s="93" t="e">
        <f>INDEX(#REF!, MATCH($A237,#REF!, 0), MATCH(BH$4,#REF!, 0))</f>
        <v>#REF!</v>
      </c>
      <c r="BI237" s="93" t="e">
        <f>INDEX(#REF!, MATCH($A237,#REF!, 0), MATCH(BI$4,#REF!, 0))</f>
        <v>#REF!</v>
      </c>
      <c r="BJ237" s="93" t="e">
        <f>INDEX(#REF!, MATCH($A237,#REF!, 0), MATCH(BJ$4,#REF!, 0))</f>
        <v>#REF!</v>
      </c>
      <c r="BK237" s="139" t="e">
        <f>INDEX(#REF!, MATCH($A237,#REF!, 0), MATCH(BK$4,#REF!, 0))</f>
        <v>#REF!</v>
      </c>
      <c r="BL237" s="93" t="e">
        <f t="shared" ref="BL237:BR237" si="701">BK237+BL59-BL124</f>
        <v>#REF!</v>
      </c>
      <c r="BM237" s="93" t="e">
        <f t="shared" si="701"/>
        <v>#REF!</v>
      </c>
      <c r="BN237" s="93" t="e">
        <f t="shared" si="701"/>
        <v>#REF!</v>
      </c>
      <c r="BO237" s="93" t="e">
        <f t="shared" si="701"/>
        <v>#REF!</v>
      </c>
      <c r="BP237" s="93" t="e">
        <f t="shared" si="701"/>
        <v>#REF!</v>
      </c>
      <c r="BQ237" s="93" t="e">
        <f t="shared" si="701"/>
        <v>#REF!</v>
      </c>
      <c r="BR237" s="93" t="e">
        <f t="shared" si="701"/>
        <v>#REF!</v>
      </c>
    </row>
    <row r="238" spans="1:91">
      <c r="A238" s="111" t="s">
        <v>196</v>
      </c>
      <c r="B238" s="206" t="str">
        <f t="shared" si="697"/>
        <v>外币报表折算差额</v>
      </c>
      <c r="D238" s="153" t="e">
        <f>INDEX(#REF!, MATCH($A238,#REF!, 0), MATCH(D$4,#REF!, 0))</f>
        <v>#REF!</v>
      </c>
      <c r="E238" s="153" t="e">
        <f>INDEX(#REF!, MATCH($A238,#REF!, 0), MATCH(E$4,#REF!, 0))</f>
        <v>#REF!</v>
      </c>
      <c r="F238" s="153" t="e">
        <f>INDEX(#REF!, MATCH($A238,#REF!, 0), MATCH(F$4,#REF!, 0))</f>
        <v>#REF!</v>
      </c>
      <c r="G238" s="153" t="e">
        <f>INDEX(#REF!, MATCH($A238,#REF!, 0), MATCH(G$4,#REF!, 0))</f>
        <v>#REF!</v>
      </c>
      <c r="H238" s="153" t="e">
        <f>INDEX(#REF!, MATCH($A238,#REF!, 0), MATCH(H$4,#REF!, 0))</f>
        <v>#REF!</v>
      </c>
      <c r="I238" s="153" t="e">
        <f>INDEX(#REF!, MATCH($A238,#REF!, 0), MATCH(I$4,#REF!, 0))</f>
        <v>#REF!</v>
      </c>
      <c r="J238" s="153" t="e">
        <f>INDEX(#REF!, MATCH($A238,#REF!, 0), MATCH(J$4,#REF!, 0))</f>
        <v>#REF!</v>
      </c>
      <c r="K238" s="153" t="e">
        <f>INDEX(#REF!, MATCH($A238,#REF!, 0), MATCH(K$4,#REF!, 0))</f>
        <v>#REF!</v>
      </c>
      <c r="L238" s="153" t="e">
        <f>INDEX(#REF!, MATCH($A238,#REF!, 0), MATCH(L$4,#REF!, 0))</f>
        <v>#REF!</v>
      </c>
      <c r="M238" s="153" t="e">
        <f>INDEX(#REF!, MATCH($A238,#REF!, 0), MATCH(M$4,#REF!, 0))</f>
        <v>#REF!</v>
      </c>
      <c r="N238" s="153" t="e">
        <f>INDEX(#REF!, MATCH($A238,#REF!, 0), MATCH(N$4,#REF!, 0))</f>
        <v>#REF!</v>
      </c>
      <c r="O238" s="153" t="e">
        <f>INDEX(#REF!, MATCH($A238,#REF!, 0), MATCH(O$4,#REF!, 0))</f>
        <v>#REF!</v>
      </c>
      <c r="P238" s="153" t="e">
        <f>INDEX(#REF!, MATCH($A238,#REF!, 0), MATCH(P$4,#REF!, 0))</f>
        <v>#REF!</v>
      </c>
      <c r="Q238" s="153" t="e">
        <f>INDEX(#REF!, MATCH($A238,#REF!, 0), MATCH(Q$4,#REF!, 0))</f>
        <v>#REF!</v>
      </c>
      <c r="R238" s="153" t="e">
        <f>INDEX(#REF!, MATCH($A238,#REF!, 0), MATCH(R$4,#REF!, 0))</f>
        <v>#REF!</v>
      </c>
      <c r="S238" s="153" t="e">
        <f>INDEX(#REF!, MATCH($A238,#REF!, 0), MATCH(S$4,#REF!, 0))</f>
        <v>#REF!</v>
      </c>
      <c r="T238" s="153" t="e">
        <f>INDEX(#REF!, MATCH($A238,#REF!, 0), MATCH(T$4,#REF!, 0))</f>
        <v>#REF!</v>
      </c>
      <c r="U238" s="153" t="e">
        <f>INDEX(#REF!, MATCH($A238,#REF!, 0), MATCH(U$4,#REF!, 0))</f>
        <v>#REF!</v>
      </c>
      <c r="V238" s="344" t="e">
        <f>INDEX(#REF!, MATCH($A238,#REF!, 0), MATCH(V$4,#REF!, 0))</f>
        <v>#REF!</v>
      </c>
      <c r="W238" s="153" t="e">
        <f>INDEX(#REF!, MATCH($A238,#REF!, 0), MATCH(W$4,#REF!, 0))</f>
        <v>#REF!</v>
      </c>
      <c r="X238" s="153" t="e">
        <f>INDEX(#REF!, MATCH($A238,#REF!, 0), MATCH(X$4,#REF!, 0))</f>
        <v>#REF!</v>
      </c>
      <c r="Y238" s="153" t="e">
        <f>INDEX(#REF!, MATCH($A238,#REF!, 0), MATCH(Y$4,#REF!, 0))</f>
        <v>#REF!</v>
      </c>
      <c r="Z238" s="153" t="e">
        <f>INDEX(#REF!, MATCH($A238,#REF!, 0), MATCH(Z$4,#REF!, 0))</f>
        <v>#REF!</v>
      </c>
      <c r="AA238" s="153" t="e">
        <f>INDEX(#REF!, MATCH($A238,#REF!, 0), MATCH(AA$4,#REF!, 0))</f>
        <v>#REF!</v>
      </c>
      <c r="AB238" s="153" t="e">
        <f>INDEX(#REF!, MATCH($A238,#REF!, 0), MATCH(AB$4,#REF!, 0))</f>
        <v>#REF!</v>
      </c>
      <c r="AC238" s="344" t="e">
        <f>INDEX(#REF!, MATCH($A238,#REF!, 0), MATCH(AC$4,#REF!, 0))</f>
        <v>#REF!</v>
      </c>
      <c r="AD238" s="153" t="e">
        <f>INDEX(#REF!, MATCH($A238,#REF!, 0), MATCH(AD$4,#REF!, 0))</f>
        <v>#REF!</v>
      </c>
      <c r="AE238" s="153" t="e">
        <f>INDEX(#REF!, MATCH($A238,#REF!, 0), MATCH(AE$4,#REF!, 0))</f>
        <v>#REF!</v>
      </c>
      <c r="AF238" s="153" t="e">
        <f>INDEX(#REF!, MATCH($A238,#REF!, 0), MATCH(AF$4,#REF!, 0))</f>
        <v>#REF!</v>
      </c>
      <c r="AG238" s="153" t="e">
        <f>INDEX(#REF!, MATCH($A238,#REF!, 0), MATCH(AG$4,#REF!, 0))</f>
        <v>#REF!</v>
      </c>
      <c r="AH238" s="153" t="e">
        <f>INDEX(#REF!, MATCH($A238,#REF!, 0), MATCH(AH$4,#REF!, 0))</f>
        <v>#REF!</v>
      </c>
      <c r="AI238" s="153" t="e">
        <f>INDEX(#REF!, MATCH($A238,#REF!, 0), MATCH(AI$4,#REF!, 0))</f>
        <v>#REF!</v>
      </c>
      <c r="AJ238" s="344" t="e">
        <f>INDEX(#REF!, MATCH($A238,#REF!, 0), MATCH(AJ$4,#REF!, 0))</f>
        <v>#REF!</v>
      </c>
      <c r="AK238" s="153" t="e">
        <f>INDEX(#REF!, MATCH($A238,#REF!, 0), MATCH(AK$4,#REF!, 0))</f>
        <v>#REF!</v>
      </c>
      <c r="AL238" s="153" t="e">
        <f>INDEX(#REF!, MATCH($A238,#REF!, 0), MATCH(AL$4,#REF!, 0))</f>
        <v>#REF!</v>
      </c>
      <c r="AM238" s="153" t="e">
        <f>INDEX(#REF!, MATCH($A238,#REF!, 0), MATCH(AM$4,#REF!, 0))</f>
        <v>#REF!</v>
      </c>
      <c r="AN238" s="153" t="e">
        <f>INDEX(#REF!, MATCH($A238,#REF!, 0), MATCH(AN$4,#REF!, 0))</f>
        <v>#REF!</v>
      </c>
      <c r="AO238" s="153" t="e">
        <f>INDEX(#REF!, MATCH($A238,#REF!, 0), MATCH(AO$4,#REF!, 0))</f>
        <v>#REF!</v>
      </c>
      <c r="AP238" s="153" t="e">
        <f>INDEX(#REF!, MATCH($A238,#REF!, 0), MATCH(AP$4,#REF!, 0))</f>
        <v>#REF!</v>
      </c>
      <c r="AQ238" s="344" t="e">
        <f>INDEX(#REF!, MATCH($A238,#REF!, 0), MATCH(AQ$4,#REF!, 0))</f>
        <v>#REF!</v>
      </c>
      <c r="AR238" s="153" t="e">
        <f>INDEX(#REF!, MATCH($A238,#REF!, 0), MATCH(AR$4,#REF!, 0))</f>
        <v>#REF!</v>
      </c>
      <c r="AS238" s="153" t="e">
        <f>INDEX(#REF!, MATCH($A238,#REF!, 0), MATCH(AS$4,#REF!, 0))</f>
        <v>#REF!</v>
      </c>
      <c r="AT238" s="153" t="e">
        <f>INDEX(#REF!, MATCH($A238,#REF!, 0), MATCH(AT$4,#REF!, 0))</f>
        <v>#REF!</v>
      </c>
      <c r="AU238" s="153" t="e">
        <f>INDEX(#REF!, MATCH($A238,#REF!, 0), MATCH(AU$4,#REF!, 0))</f>
        <v>#REF!</v>
      </c>
      <c r="AV238" s="153" t="e">
        <f>INDEX(#REF!, MATCH($A238,#REF!, 0), MATCH(AV$4,#REF!, 0))</f>
        <v>#REF!</v>
      </c>
      <c r="AW238" s="153" t="e">
        <f>INDEX(#REF!, MATCH($A238,#REF!, 0), MATCH(AW$4,#REF!, 0))</f>
        <v>#REF!</v>
      </c>
      <c r="AX238" s="344" t="e">
        <f>INDEX(#REF!, MATCH($A238,#REF!, 0), MATCH(AX$4,#REF!, 0))</f>
        <v>#REF!</v>
      </c>
      <c r="AY238" s="153" t="e">
        <f>INDEX(#REF!, MATCH($A238,#REF!, 0), MATCH(AY$4,#REF!, 0))</f>
        <v>#REF!</v>
      </c>
      <c r="AZ238" s="153" t="e">
        <f>INDEX(#REF!, MATCH($A238,#REF!, 0), MATCH(AZ$4,#REF!, 0))</f>
        <v>#REF!</v>
      </c>
      <c r="BA238" s="153" t="e">
        <f>INDEX(#REF!, MATCH($A238,#REF!, 0), MATCH(BA$4,#REF!, 0))</f>
        <v>#REF!</v>
      </c>
      <c r="BB238" s="153" t="e">
        <f>INDEX(#REF!, MATCH($A238,#REF!, 0), MATCH(BB$4,#REF!, 0))</f>
        <v>#REF!</v>
      </c>
      <c r="BC238" s="153" t="e">
        <f>INDEX(#REF!, MATCH($A238,#REF!, 0), MATCH(BC$4,#REF!, 0))</f>
        <v>#REF!</v>
      </c>
      <c r="BD238" s="386" t="e">
        <f>INDEX(#REF!, MATCH($A238,#REF!, 0), MATCH(BD$4,#REF!, 0))</f>
        <v>#REF!</v>
      </c>
      <c r="BE238" s="344" t="e">
        <f>INDEX(#REF!, MATCH($A238,#REF!, 0), MATCH(BE$4,#REF!, 0))</f>
        <v>#REF!</v>
      </c>
      <c r="BF238" s="153" t="e">
        <f>INDEX(#REF!, MATCH($A238,#REF!, 0), MATCH(BF$4,#REF!, 0))</f>
        <v>#REF!</v>
      </c>
      <c r="BG238" s="153" t="e">
        <f>INDEX(#REF!, MATCH($A238,#REF!, 0), MATCH(BG$4,#REF!, 0))</f>
        <v>#REF!</v>
      </c>
      <c r="BH238" s="153" t="e">
        <f>INDEX(#REF!, MATCH($A238,#REF!, 0), MATCH(BH$4,#REF!, 0))</f>
        <v>#REF!</v>
      </c>
      <c r="BI238" s="153" t="e">
        <f>INDEX(#REF!, MATCH($A238,#REF!, 0), MATCH(BI$4,#REF!, 0))</f>
        <v>#REF!</v>
      </c>
      <c r="BJ238" s="153" t="e">
        <f>INDEX(#REF!, MATCH($A238,#REF!, 0), MATCH(BJ$4,#REF!, 0))</f>
        <v>#REF!</v>
      </c>
      <c r="BK238" s="386" t="e">
        <f>INDEX(#REF!, MATCH($A238,#REF!, 0), MATCH(BK$4,#REF!, 0))</f>
        <v>#REF!</v>
      </c>
      <c r="BL238" s="112" t="e">
        <f>BK238</f>
        <v>#REF!</v>
      </c>
      <c r="BM238" s="112" t="e">
        <f t="shared" si="699"/>
        <v>#REF!</v>
      </c>
      <c r="BN238" s="112" t="e">
        <f t="shared" si="699"/>
        <v>#REF!</v>
      </c>
      <c r="BO238" s="112" t="e">
        <f t="shared" si="699"/>
        <v>#REF!</v>
      </c>
      <c r="BP238" s="112" t="e">
        <f t="shared" ref="BP238:BR239" si="702">BO238</f>
        <v>#REF!</v>
      </c>
      <c r="BQ238" s="112" t="e">
        <f t="shared" si="702"/>
        <v>#REF!</v>
      </c>
      <c r="BR238" s="112" t="e">
        <f t="shared" si="702"/>
        <v>#REF!</v>
      </c>
    </row>
    <row r="239" spans="1:91">
      <c r="A239" s="111" t="s">
        <v>197</v>
      </c>
      <c r="B239" s="206" t="str">
        <f t="shared" si="697"/>
        <v>未确认的投资损失</v>
      </c>
      <c r="D239" s="153" t="e">
        <f>INDEX(#REF!, MATCH($A239,#REF!, 0), MATCH(D$4,#REF!, 0))</f>
        <v>#REF!</v>
      </c>
      <c r="E239" s="153" t="e">
        <f>INDEX(#REF!, MATCH($A239,#REF!, 0), MATCH(E$4,#REF!, 0))</f>
        <v>#REF!</v>
      </c>
      <c r="F239" s="153" t="e">
        <f>INDEX(#REF!, MATCH($A239,#REF!, 0), MATCH(F$4,#REF!, 0))</f>
        <v>#REF!</v>
      </c>
      <c r="G239" s="153" t="e">
        <f>INDEX(#REF!, MATCH($A239,#REF!, 0), MATCH(G$4,#REF!, 0))</f>
        <v>#REF!</v>
      </c>
      <c r="H239" s="153" t="e">
        <f>INDEX(#REF!, MATCH($A239,#REF!, 0), MATCH(H$4,#REF!, 0))</f>
        <v>#REF!</v>
      </c>
      <c r="I239" s="153" t="e">
        <f>INDEX(#REF!, MATCH($A239,#REF!, 0), MATCH(I$4,#REF!, 0))</f>
        <v>#REF!</v>
      </c>
      <c r="J239" s="153" t="e">
        <f>INDEX(#REF!, MATCH($A239,#REF!, 0), MATCH(J$4,#REF!, 0))</f>
        <v>#REF!</v>
      </c>
      <c r="K239" s="153" t="e">
        <f>INDEX(#REF!, MATCH($A239,#REF!, 0), MATCH(K$4,#REF!, 0))</f>
        <v>#REF!</v>
      </c>
      <c r="L239" s="153" t="e">
        <f>INDEX(#REF!, MATCH($A239,#REF!, 0), MATCH(L$4,#REF!, 0))</f>
        <v>#REF!</v>
      </c>
      <c r="M239" s="153" t="e">
        <f>INDEX(#REF!, MATCH($A239,#REF!, 0), MATCH(M$4,#REF!, 0))</f>
        <v>#REF!</v>
      </c>
      <c r="N239" s="153" t="e">
        <f>INDEX(#REF!, MATCH($A239,#REF!, 0), MATCH(N$4,#REF!, 0))</f>
        <v>#REF!</v>
      </c>
      <c r="O239" s="153" t="e">
        <f>INDEX(#REF!, MATCH($A239,#REF!, 0), MATCH(O$4,#REF!, 0))</f>
        <v>#REF!</v>
      </c>
      <c r="P239" s="153" t="e">
        <f>INDEX(#REF!, MATCH($A239,#REF!, 0), MATCH(P$4,#REF!, 0))</f>
        <v>#REF!</v>
      </c>
      <c r="Q239" s="153" t="e">
        <f>INDEX(#REF!, MATCH($A239,#REF!, 0), MATCH(Q$4,#REF!, 0))</f>
        <v>#REF!</v>
      </c>
      <c r="R239" s="153" t="e">
        <f>INDEX(#REF!, MATCH($A239,#REF!, 0), MATCH(R$4,#REF!, 0))</f>
        <v>#REF!</v>
      </c>
      <c r="S239" s="153" t="e">
        <f>INDEX(#REF!, MATCH($A239,#REF!, 0), MATCH(S$4,#REF!, 0))</f>
        <v>#REF!</v>
      </c>
      <c r="T239" s="153" t="e">
        <f>INDEX(#REF!, MATCH($A239,#REF!, 0), MATCH(T$4,#REF!, 0))</f>
        <v>#REF!</v>
      </c>
      <c r="U239" s="153" t="e">
        <f>INDEX(#REF!, MATCH($A239,#REF!, 0), MATCH(U$4,#REF!, 0))</f>
        <v>#REF!</v>
      </c>
      <c r="V239" s="344" t="e">
        <f>INDEX(#REF!, MATCH($A239,#REF!, 0), MATCH(V$4,#REF!, 0))</f>
        <v>#REF!</v>
      </c>
      <c r="W239" s="153" t="e">
        <f>INDEX(#REF!, MATCH($A239,#REF!, 0), MATCH(W$4,#REF!, 0))</f>
        <v>#REF!</v>
      </c>
      <c r="X239" s="153" t="e">
        <f>INDEX(#REF!, MATCH($A239,#REF!, 0), MATCH(X$4,#REF!, 0))</f>
        <v>#REF!</v>
      </c>
      <c r="Y239" s="153" t="e">
        <f>INDEX(#REF!, MATCH($A239,#REF!, 0), MATCH(Y$4,#REF!, 0))</f>
        <v>#REF!</v>
      </c>
      <c r="Z239" s="153" t="e">
        <f>INDEX(#REF!, MATCH($A239,#REF!, 0), MATCH(Z$4,#REF!, 0))</f>
        <v>#REF!</v>
      </c>
      <c r="AA239" s="153" t="e">
        <f>INDEX(#REF!, MATCH($A239,#REF!, 0), MATCH(AA$4,#REF!, 0))</f>
        <v>#REF!</v>
      </c>
      <c r="AB239" s="153" t="e">
        <f>INDEX(#REF!, MATCH($A239,#REF!, 0), MATCH(AB$4,#REF!, 0))</f>
        <v>#REF!</v>
      </c>
      <c r="AC239" s="344" t="e">
        <f>INDEX(#REF!, MATCH($A239,#REF!, 0), MATCH(AC$4,#REF!, 0))</f>
        <v>#REF!</v>
      </c>
      <c r="AD239" s="153" t="e">
        <f>INDEX(#REF!, MATCH($A239,#REF!, 0), MATCH(AD$4,#REF!, 0))</f>
        <v>#REF!</v>
      </c>
      <c r="AE239" s="153" t="e">
        <f>INDEX(#REF!, MATCH($A239,#REF!, 0), MATCH(AE$4,#REF!, 0))</f>
        <v>#REF!</v>
      </c>
      <c r="AF239" s="153" t="e">
        <f>INDEX(#REF!, MATCH($A239,#REF!, 0), MATCH(AF$4,#REF!, 0))</f>
        <v>#REF!</v>
      </c>
      <c r="AG239" s="153" t="e">
        <f>INDEX(#REF!, MATCH($A239,#REF!, 0), MATCH(AG$4,#REF!, 0))</f>
        <v>#REF!</v>
      </c>
      <c r="AH239" s="153" t="e">
        <f>INDEX(#REF!, MATCH($A239,#REF!, 0), MATCH(AH$4,#REF!, 0))</f>
        <v>#REF!</v>
      </c>
      <c r="AI239" s="153" t="e">
        <f>INDEX(#REF!, MATCH($A239,#REF!, 0), MATCH(AI$4,#REF!, 0))</f>
        <v>#REF!</v>
      </c>
      <c r="AJ239" s="344" t="e">
        <f>INDEX(#REF!, MATCH($A239,#REF!, 0), MATCH(AJ$4,#REF!, 0))</f>
        <v>#REF!</v>
      </c>
      <c r="AK239" s="153" t="e">
        <f>INDEX(#REF!, MATCH($A239,#REF!, 0), MATCH(AK$4,#REF!, 0))</f>
        <v>#REF!</v>
      </c>
      <c r="AL239" s="153" t="e">
        <f>INDEX(#REF!, MATCH($A239,#REF!, 0), MATCH(AL$4,#REF!, 0))</f>
        <v>#REF!</v>
      </c>
      <c r="AM239" s="153" t="e">
        <f>INDEX(#REF!, MATCH($A239,#REF!, 0), MATCH(AM$4,#REF!, 0))</f>
        <v>#REF!</v>
      </c>
      <c r="AN239" s="153" t="e">
        <f>INDEX(#REF!, MATCH($A239,#REF!, 0), MATCH(AN$4,#REF!, 0))</f>
        <v>#REF!</v>
      </c>
      <c r="AO239" s="153" t="e">
        <f>INDEX(#REF!, MATCH($A239,#REF!, 0), MATCH(AO$4,#REF!, 0))</f>
        <v>#REF!</v>
      </c>
      <c r="AP239" s="153" t="e">
        <f>INDEX(#REF!, MATCH($A239,#REF!, 0), MATCH(AP$4,#REF!, 0))</f>
        <v>#REF!</v>
      </c>
      <c r="AQ239" s="344" t="e">
        <f>INDEX(#REF!, MATCH($A239,#REF!, 0), MATCH(AQ$4,#REF!, 0))</f>
        <v>#REF!</v>
      </c>
      <c r="AR239" s="153" t="e">
        <f>INDEX(#REF!, MATCH($A239,#REF!, 0), MATCH(AR$4,#REF!, 0))</f>
        <v>#REF!</v>
      </c>
      <c r="AS239" s="153" t="e">
        <f>INDEX(#REF!, MATCH($A239,#REF!, 0), MATCH(AS$4,#REF!, 0))</f>
        <v>#REF!</v>
      </c>
      <c r="AT239" s="153" t="e">
        <f>INDEX(#REF!, MATCH($A239,#REF!, 0), MATCH(AT$4,#REF!, 0))</f>
        <v>#REF!</v>
      </c>
      <c r="AU239" s="153" t="e">
        <f>INDEX(#REF!, MATCH($A239,#REF!, 0), MATCH(AU$4,#REF!, 0))</f>
        <v>#REF!</v>
      </c>
      <c r="AV239" s="153" t="e">
        <f>INDEX(#REF!, MATCH($A239,#REF!, 0), MATCH(AV$4,#REF!, 0))</f>
        <v>#REF!</v>
      </c>
      <c r="AW239" s="153" t="e">
        <f>INDEX(#REF!, MATCH($A239,#REF!, 0), MATCH(AW$4,#REF!, 0))</f>
        <v>#REF!</v>
      </c>
      <c r="AX239" s="344" t="e">
        <f>INDEX(#REF!, MATCH($A239,#REF!, 0), MATCH(AX$4,#REF!, 0))</f>
        <v>#REF!</v>
      </c>
      <c r="AY239" s="153" t="e">
        <f>INDEX(#REF!, MATCH($A239,#REF!, 0), MATCH(AY$4,#REF!, 0))</f>
        <v>#REF!</v>
      </c>
      <c r="AZ239" s="153" t="e">
        <f>INDEX(#REF!, MATCH($A239,#REF!, 0), MATCH(AZ$4,#REF!, 0))</f>
        <v>#REF!</v>
      </c>
      <c r="BA239" s="153" t="e">
        <f>INDEX(#REF!, MATCH($A239,#REF!, 0), MATCH(BA$4,#REF!, 0))</f>
        <v>#REF!</v>
      </c>
      <c r="BB239" s="153" t="e">
        <f>INDEX(#REF!, MATCH($A239,#REF!, 0), MATCH(BB$4,#REF!, 0))</f>
        <v>#REF!</v>
      </c>
      <c r="BC239" s="153" t="e">
        <f>INDEX(#REF!, MATCH($A239,#REF!, 0), MATCH(BC$4,#REF!, 0))</f>
        <v>#REF!</v>
      </c>
      <c r="BD239" s="386" t="e">
        <f>INDEX(#REF!, MATCH($A239,#REF!, 0), MATCH(BD$4,#REF!, 0))</f>
        <v>#REF!</v>
      </c>
      <c r="BE239" s="344" t="e">
        <f>INDEX(#REF!, MATCH($A239,#REF!, 0), MATCH(BE$4,#REF!, 0))</f>
        <v>#REF!</v>
      </c>
      <c r="BF239" s="153" t="e">
        <f>INDEX(#REF!, MATCH($A239,#REF!, 0), MATCH(BF$4,#REF!, 0))</f>
        <v>#REF!</v>
      </c>
      <c r="BG239" s="153" t="e">
        <f>INDEX(#REF!, MATCH($A239,#REF!, 0), MATCH(BG$4,#REF!, 0))</f>
        <v>#REF!</v>
      </c>
      <c r="BH239" s="153" t="e">
        <f>INDEX(#REF!, MATCH($A239,#REF!, 0), MATCH(BH$4,#REF!, 0))</f>
        <v>#REF!</v>
      </c>
      <c r="BI239" s="153" t="e">
        <f>INDEX(#REF!, MATCH($A239,#REF!, 0), MATCH(BI$4,#REF!, 0))</f>
        <v>#REF!</v>
      </c>
      <c r="BJ239" s="153" t="e">
        <f>INDEX(#REF!, MATCH($A239,#REF!, 0), MATCH(BJ$4,#REF!, 0))</f>
        <v>#REF!</v>
      </c>
      <c r="BK239" s="386" t="e">
        <f>INDEX(#REF!, MATCH($A239,#REF!, 0), MATCH(BK$4,#REF!, 0))</f>
        <v>#REF!</v>
      </c>
      <c r="BL239" s="112" t="e">
        <f>BK239</f>
        <v>#REF!</v>
      </c>
      <c r="BM239" s="112" t="e">
        <f t="shared" si="699"/>
        <v>#REF!</v>
      </c>
      <c r="BN239" s="112" t="e">
        <f t="shared" si="699"/>
        <v>#REF!</v>
      </c>
      <c r="BO239" s="112" t="e">
        <f t="shared" si="699"/>
        <v>#REF!</v>
      </c>
      <c r="BP239" s="112" t="e">
        <f t="shared" si="702"/>
        <v>#REF!</v>
      </c>
      <c r="BQ239" s="112" t="e">
        <f t="shared" si="702"/>
        <v>#REF!</v>
      </c>
      <c r="BR239" s="112" t="e">
        <f t="shared" si="702"/>
        <v>#REF!</v>
      </c>
    </row>
    <row r="240" spans="1:91">
      <c r="A240" s="111" t="s">
        <v>200</v>
      </c>
      <c r="B240" s="206" t="str">
        <f t="shared" si="697"/>
        <v>少数股东权益</v>
      </c>
      <c r="D240" s="153" t="e">
        <f>INDEX(#REF!, MATCH($A240,#REF!, 0), MATCH(D$4,#REF!, 0))</f>
        <v>#REF!</v>
      </c>
      <c r="E240" s="153" t="e">
        <f>INDEX(#REF!, MATCH($A240,#REF!, 0), MATCH(E$4,#REF!, 0))</f>
        <v>#REF!</v>
      </c>
      <c r="F240" s="153" t="e">
        <f>INDEX(#REF!, MATCH($A240,#REF!, 0), MATCH(F$4,#REF!, 0))</f>
        <v>#REF!</v>
      </c>
      <c r="G240" s="153" t="e">
        <f>INDEX(#REF!, MATCH($A240,#REF!, 0), MATCH(G$4,#REF!, 0))</f>
        <v>#REF!</v>
      </c>
      <c r="H240" s="153" t="e">
        <f>INDEX(#REF!, MATCH($A240,#REF!, 0), MATCH(H$4,#REF!, 0))</f>
        <v>#REF!</v>
      </c>
      <c r="I240" s="153" t="e">
        <f>INDEX(#REF!, MATCH($A240,#REF!, 0), MATCH(I$4,#REF!, 0))</f>
        <v>#REF!</v>
      </c>
      <c r="J240" s="153" t="e">
        <f>INDEX(#REF!, MATCH($A240,#REF!, 0), MATCH(J$4,#REF!, 0))</f>
        <v>#REF!</v>
      </c>
      <c r="K240" s="153" t="e">
        <f>INDEX(#REF!, MATCH($A240,#REF!, 0), MATCH(K$4,#REF!, 0))</f>
        <v>#REF!</v>
      </c>
      <c r="L240" s="153" t="e">
        <f>INDEX(#REF!, MATCH($A240,#REF!, 0), MATCH(L$4,#REF!, 0))</f>
        <v>#REF!</v>
      </c>
      <c r="M240" s="153" t="e">
        <f>INDEX(#REF!, MATCH($A240,#REF!, 0), MATCH(M$4,#REF!, 0))</f>
        <v>#REF!</v>
      </c>
      <c r="N240" s="153" t="e">
        <f>INDEX(#REF!, MATCH($A240,#REF!, 0), MATCH(N$4,#REF!, 0))</f>
        <v>#REF!</v>
      </c>
      <c r="O240" s="153" t="e">
        <f>INDEX(#REF!, MATCH($A240,#REF!, 0), MATCH(O$4,#REF!, 0))</f>
        <v>#REF!</v>
      </c>
      <c r="P240" s="153" t="e">
        <f>INDEX(#REF!, MATCH($A240,#REF!, 0), MATCH(P$4,#REF!, 0))</f>
        <v>#REF!</v>
      </c>
      <c r="Q240" s="153" t="e">
        <f>INDEX(#REF!, MATCH($A240,#REF!, 0), MATCH(Q$4,#REF!, 0))</f>
        <v>#REF!</v>
      </c>
      <c r="R240" s="153" t="e">
        <f>INDEX(#REF!, MATCH($A240,#REF!, 0), MATCH(R$4,#REF!, 0))</f>
        <v>#REF!</v>
      </c>
      <c r="S240" s="153" t="e">
        <f>INDEX(#REF!, MATCH($A240,#REF!, 0), MATCH(S$4,#REF!, 0))</f>
        <v>#REF!</v>
      </c>
      <c r="T240" s="153" t="e">
        <f>INDEX(#REF!, MATCH($A240,#REF!, 0), MATCH(T$4,#REF!, 0))</f>
        <v>#REF!</v>
      </c>
      <c r="U240" s="153" t="e">
        <f>INDEX(#REF!, MATCH($A240,#REF!, 0), MATCH(U$4,#REF!, 0))</f>
        <v>#REF!</v>
      </c>
      <c r="V240" s="344" t="e">
        <f>INDEX(#REF!, MATCH($A240,#REF!, 0), MATCH(V$4,#REF!, 0))</f>
        <v>#REF!</v>
      </c>
      <c r="W240" s="153" t="e">
        <f>INDEX(#REF!, MATCH($A240,#REF!, 0), MATCH(W$4,#REF!, 0))</f>
        <v>#REF!</v>
      </c>
      <c r="X240" s="153" t="e">
        <f>INDEX(#REF!, MATCH($A240,#REF!, 0), MATCH(X$4,#REF!, 0))</f>
        <v>#REF!</v>
      </c>
      <c r="Y240" s="153" t="e">
        <f>INDEX(#REF!, MATCH($A240,#REF!, 0), MATCH(Y$4,#REF!, 0))</f>
        <v>#REF!</v>
      </c>
      <c r="Z240" s="153" t="e">
        <f>INDEX(#REF!, MATCH($A240,#REF!, 0), MATCH(Z$4,#REF!, 0))</f>
        <v>#REF!</v>
      </c>
      <c r="AA240" s="153" t="e">
        <f>INDEX(#REF!, MATCH($A240,#REF!, 0), MATCH(AA$4,#REF!, 0))</f>
        <v>#REF!</v>
      </c>
      <c r="AB240" s="153" t="e">
        <f>INDEX(#REF!, MATCH($A240,#REF!, 0), MATCH(AB$4,#REF!, 0))</f>
        <v>#REF!</v>
      </c>
      <c r="AC240" s="344" t="e">
        <f>INDEX(#REF!, MATCH($A240,#REF!, 0), MATCH(AC$4,#REF!, 0))</f>
        <v>#REF!</v>
      </c>
      <c r="AD240" s="153" t="e">
        <f>INDEX(#REF!, MATCH($A240,#REF!, 0), MATCH(AD$4,#REF!, 0))</f>
        <v>#REF!</v>
      </c>
      <c r="AE240" s="153" t="e">
        <f>INDEX(#REF!, MATCH($A240,#REF!, 0), MATCH(AE$4,#REF!, 0))</f>
        <v>#REF!</v>
      </c>
      <c r="AF240" s="153" t="e">
        <f>INDEX(#REF!, MATCH($A240,#REF!, 0), MATCH(AF$4,#REF!, 0))</f>
        <v>#REF!</v>
      </c>
      <c r="AG240" s="153" t="e">
        <f>INDEX(#REF!, MATCH($A240,#REF!, 0), MATCH(AG$4,#REF!, 0))</f>
        <v>#REF!</v>
      </c>
      <c r="AH240" s="153" t="e">
        <f>INDEX(#REF!, MATCH($A240,#REF!, 0), MATCH(AH$4,#REF!, 0))</f>
        <v>#REF!</v>
      </c>
      <c r="AI240" s="153" t="e">
        <f>INDEX(#REF!, MATCH($A240,#REF!, 0), MATCH(AI$4,#REF!, 0))</f>
        <v>#REF!</v>
      </c>
      <c r="AJ240" s="344" t="e">
        <f>INDEX(#REF!, MATCH($A240,#REF!, 0), MATCH(AJ$4,#REF!, 0))</f>
        <v>#REF!</v>
      </c>
      <c r="AK240" s="153" t="e">
        <f>INDEX(#REF!, MATCH($A240,#REF!, 0), MATCH(AK$4,#REF!, 0))</f>
        <v>#REF!</v>
      </c>
      <c r="AL240" s="153" t="e">
        <f>INDEX(#REF!, MATCH($A240,#REF!, 0), MATCH(AL$4,#REF!, 0))</f>
        <v>#REF!</v>
      </c>
      <c r="AM240" s="153" t="e">
        <f>INDEX(#REF!, MATCH($A240,#REF!, 0), MATCH(AM$4,#REF!, 0))</f>
        <v>#REF!</v>
      </c>
      <c r="AN240" s="153" t="e">
        <f>INDEX(#REF!, MATCH($A240,#REF!, 0), MATCH(AN$4,#REF!, 0))</f>
        <v>#REF!</v>
      </c>
      <c r="AO240" s="153" t="e">
        <f>INDEX(#REF!, MATCH($A240,#REF!, 0), MATCH(AO$4,#REF!, 0))</f>
        <v>#REF!</v>
      </c>
      <c r="AP240" s="153" t="e">
        <f>INDEX(#REF!, MATCH($A240,#REF!, 0), MATCH(AP$4,#REF!, 0))</f>
        <v>#REF!</v>
      </c>
      <c r="AQ240" s="344" t="e">
        <f>INDEX(#REF!, MATCH($A240,#REF!, 0), MATCH(AQ$4,#REF!, 0))</f>
        <v>#REF!</v>
      </c>
      <c r="AR240" s="153" t="e">
        <f>INDEX(#REF!, MATCH($A240,#REF!, 0), MATCH(AR$4,#REF!, 0))</f>
        <v>#REF!</v>
      </c>
      <c r="AS240" s="153" t="e">
        <f>INDEX(#REF!, MATCH($A240,#REF!, 0), MATCH(AS$4,#REF!, 0))</f>
        <v>#REF!</v>
      </c>
      <c r="AT240" s="153" t="e">
        <f>INDEX(#REF!, MATCH($A240,#REF!, 0), MATCH(AT$4,#REF!, 0))</f>
        <v>#REF!</v>
      </c>
      <c r="AU240" s="153" t="e">
        <f>INDEX(#REF!, MATCH($A240,#REF!, 0), MATCH(AU$4,#REF!, 0))</f>
        <v>#REF!</v>
      </c>
      <c r="AV240" s="153" t="e">
        <f>INDEX(#REF!, MATCH($A240,#REF!, 0), MATCH(AV$4,#REF!, 0))</f>
        <v>#REF!</v>
      </c>
      <c r="AW240" s="153" t="e">
        <f>INDEX(#REF!, MATCH($A240,#REF!, 0), MATCH(AW$4,#REF!, 0))</f>
        <v>#REF!</v>
      </c>
      <c r="AX240" s="344" t="e">
        <f>INDEX(#REF!, MATCH($A240,#REF!, 0), MATCH(AX$4,#REF!, 0))</f>
        <v>#REF!</v>
      </c>
      <c r="AY240" s="153" t="e">
        <f>INDEX(#REF!, MATCH($A240,#REF!, 0), MATCH(AY$4,#REF!, 0))</f>
        <v>#REF!</v>
      </c>
      <c r="AZ240" s="153" t="e">
        <f>INDEX(#REF!, MATCH($A240,#REF!, 0), MATCH(AZ$4,#REF!, 0))</f>
        <v>#REF!</v>
      </c>
      <c r="BA240" s="153" t="e">
        <f>INDEX(#REF!, MATCH($A240,#REF!, 0), MATCH(BA$4,#REF!, 0))</f>
        <v>#REF!</v>
      </c>
      <c r="BB240" s="153" t="e">
        <f>INDEX(#REF!, MATCH($A240,#REF!, 0), MATCH(BB$4,#REF!, 0))</f>
        <v>#REF!</v>
      </c>
      <c r="BC240" s="153" t="e">
        <f>INDEX(#REF!, MATCH($A240,#REF!, 0), MATCH(BC$4,#REF!, 0))</f>
        <v>#REF!</v>
      </c>
      <c r="BD240" s="386" t="e">
        <f>INDEX(#REF!, MATCH($A240,#REF!, 0), MATCH(BD$4,#REF!, 0))</f>
        <v>#REF!</v>
      </c>
      <c r="BE240" s="344" t="e">
        <f>INDEX(#REF!, MATCH($A240,#REF!, 0), MATCH(BE$4,#REF!, 0))</f>
        <v>#REF!</v>
      </c>
      <c r="BF240" s="153" t="e">
        <f>INDEX(#REF!, MATCH($A240,#REF!, 0), MATCH(BF$4,#REF!, 0))</f>
        <v>#REF!</v>
      </c>
      <c r="BG240" s="153" t="e">
        <f>INDEX(#REF!, MATCH($A240,#REF!, 0), MATCH(BG$4,#REF!, 0))</f>
        <v>#REF!</v>
      </c>
      <c r="BH240" s="153" t="e">
        <f>INDEX(#REF!, MATCH($A240,#REF!, 0), MATCH(BH$4,#REF!, 0))</f>
        <v>#REF!</v>
      </c>
      <c r="BI240" s="153" t="e">
        <f>INDEX(#REF!, MATCH($A240,#REF!, 0), MATCH(BI$4,#REF!, 0))</f>
        <v>#REF!</v>
      </c>
      <c r="BJ240" s="153" t="e">
        <f>INDEX(#REF!, MATCH($A240,#REF!, 0), MATCH(BJ$4,#REF!, 0))</f>
        <v>#REF!</v>
      </c>
      <c r="BK240" s="386" t="e">
        <f>INDEX(#REF!, MATCH($A240,#REF!, 0), MATCH(BK$4,#REF!, 0))</f>
        <v>#REF!</v>
      </c>
      <c r="BL240" s="93" t="e">
        <f t="shared" ref="BL240:BR240" si="703">BK240+BL57</f>
        <v>#REF!</v>
      </c>
      <c r="BM240" s="93" t="e">
        <f t="shared" si="703"/>
        <v>#REF!</v>
      </c>
      <c r="BN240" s="93" t="e">
        <f t="shared" si="703"/>
        <v>#REF!</v>
      </c>
      <c r="BO240" s="93" t="e">
        <f t="shared" si="703"/>
        <v>#REF!</v>
      </c>
      <c r="BP240" s="93" t="e">
        <f t="shared" si="703"/>
        <v>#REF!</v>
      </c>
      <c r="BQ240" s="93" t="e">
        <f t="shared" si="703"/>
        <v>#REF!</v>
      </c>
      <c r="BR240" s="93" t="e">
        <f t="shared" si="703"/>
        <v>#REF!</v>
      </c>
    </row>
    <row r="241" spans="1:91">
      <c r="A241" s="111" t="s">
        <v>198</v>
      </c>
      <c r="B241" s="206" t="str">
        <f t="shared" si="697"/>
        <v>股东权益差额(特殊报表科目)</v>
      </c>
      <c r="D241" s="153" t="e">
        <f>INDEX(#REF!, MATCH($A241,#REF!, 0), MATCH(D$4,#REF!, 0))</f>
        <v>#REF!</v>
      </c>
      <c r="E241" s="153" t="e">
        <f>INDEX(#REF!, MATCH($A241,#REF!, 0), MATCH(E$4,#REF!, 0))</f>
        <v>#REF!</v>
      </c>
      <c r="F241" s="153" t="e">
        <f>INDEX(#REF!, MATCH($A241,#REF!, 0), MATCH(F$4,#REF!, 0))</f>
        <v>#REF!</v>
      </c>
      <c r="G241" s="153" t="e">
        <f>INDEX(#REF!, MATCH($A241,#REF!, 0), MATCH(G$4,#REF!, 0))</f>
        <v>#REF!</v>
      </c>
      <c r="H241" s="153" t="e">
        <f>INDEX(#REF!, MATCH($A241,#REF!, 0), MATCH(H$4,#REF!, 0))</f>
        <v>#REF!</v>
      </c>
      <c r="I241" s="153" t="e">
        <f>INDEX(#REF!, MATCH($A241,#REF!, 0), MATCH(I$4,#REF!, 0))</f>
        <v>#REF!</v>
      </c>
      <c r="J241" s="153" t="e">
        <f>INDEX(#REF!, MATCH($A241,#REF!, 0), MATCH(J$4,#REF!, 0))</f>
        <v>#REF!</v>
      </c>
      <c r="K241" s="153" t="e">
        <f>INDEX(#REF!, MATCH($A241,#REF!, 0), MATCH(K$4,#REF!, 0))</f>
        <v>#REF!</v>
      </c>
      <c r="L241" s="153" t="e">
        <f>INDEX(#REF!, MATCH($A241,#REF!, 0), MATCH(L$4,#REF!, 0))</f>
        <v>#REF!</v>
      </c>
      <c r="M241" s="153" t="e">
        <f>INDEX(#REF!, MATCH($A241,#REF!, 0), MATCH(M$4,#REF!, 0))</f>
        <v>#REF!</v>
      </c>
      <c r="N241" s="153" t="e">
        <f>INDEX(#REF!, MATCH($A241,#REF!, 0), MATCH(N$4,#REF!, 0))</f>
        <v>#REF!</v>
      </c>
      <c r="O241" s="153" t="e">
        <f>INDEX(#REF!, MATCH($A241,#REF!, 0), MATCH(O$4,#REF!, 0))</f>
        <v>#REF!</v>
      </c>
      <c r="P241" s="153" t="e">
        <f>INDEX(#REF!, MATCH($A241,#REF!, 0), MATCH(P$4,#REF!, 0))</f>
        <v>#REF!</v>
      </c>
      <c r="Q241" s="153" t="e">
        <f>INDEX(#REF!, MATCH($A241,#REF!, 0), MATCH(Q$4,#REF!, 0))</f>
        <v>#REF!</v>
      </c>
      <c r="R241" s="153" t="e">
        <f>INDEX(#REF!, MATCH($A241,#REF!, 0), MATCH(R$4,#REF!, 0))</f>
        <v>#REF!</v>
      </c>
      <c r="S241" s="153" t="e">
        <f>INDEX(#REF!, MATCH($A241,#REF!, 0), MATCH(S$4,#REF!, 0))</f>
        <v>#REF!</v>
      </c>
      <c r="T241" s="153" t="e">
        <f>INDEX(#REF!, MATCH($A241,#REF!, 0), MATCH(T$4,#REF!, 0))</f>
        <v>#REF!</v>
      </c>
      <c r="U241" s="153" t="e">
        <f>INDEX(#REF!, MATCH($A241,#REF!, 0), MATCH(U$4,#REF!, 0))</f>
        <v>#REF!</v>
      </c>
      <c r="V241" s="344" t="e">
        <f>INDEX(#REF!, MATCH($A241,#REF!, 0), MATCH(V$4,#REF!, 0))</f>
        <v>#REF!</v>
      </c>
      <c r="W241" s="153" t="e">
        <f>INDEX(#REF!, MATCH($A241,#REF!, 0), MATCH(W$4,#REF!, 0))</f>
        <v>#REF!</v>
      </c>
      <c r="X241" s="153" t="e">
        <f>INDEX(#REF!, MATCH($A241,#REF!, 0), MATCH(X$4,#REF!, 0))</f>
        <v>#REF!</v>
      </c>
      <c r="Y241" s="153" t="e">
        <f>INDEX(#REF!, MATCH($A241,#REF!, 0), MATCH(Y$4,#REF!, 0))</f>
        <v>#REF!</v>
      </c>
      <c r="Z241" s="153" t="e">
        <f>INDEX(#REF!, MATCH($A241,#REF!, 0), MATCH(Z$4,#REF!, 0))</f>
        <v>#REF!</v>
      </c>
      <c r="AA241" s="153" t="e">
        <f>INDEX(#REF!, MATCH($A241,#REF!, 0), MATCH(AA$4,#REF!, 0))</f>
        <v>#REF!</v>
      </c>
      <c r="AB241" s="153" t="e">
        <f>INDEX(#REF!, MATCH($A241,#REF!, 0), MATCH(AB$4,#REF!, 0))</f>
        <v>#REF!</v>
      </c>
      <c r="AC241" s="344" t="e">
        <f>INDEX(#REF!, MATCH($A241,#REF!, 0), MATCH(AC$4,#REF!, 0))</f>
        <v>#REF!</v>
      </c>
      <c r="AD241" s="153" t="e">
        <f>INDEX(#REF!, MATCH($A241,#REF!, 0), MATCH(AD$4,#REF!, 0))</f>
        <v>#REF!</v>
      </c>
      <c r="AE241" s="153" t="e">
        <f>INDEX(#REF!, MATCH($A241,#REF!, 0), MATCH(AE$4,#REF!, 0))</f>
        <v>#REF!</v>
      </c>
      <c r="AF241" s="153" t="e">
        <f>INDEX(#REF!, MATCH($A241,#REF!, 0), MATCH(AF$4,#REF!, 0))</f>
        <v>#REF!</v>
      </c>
      <c r="AG241" s="153" t="e">
        <f>INDEX(#REF!, MATCH($A241,#REF!, 0), MATCH(AG$4,#REF!, 0))</f>
        <v>#REF!</v>
      </c>
      <c r="AH241" s="153" t="e">
        <f>INDEX(#REF!, MATCH($A241,#REF!, 0), MATCH(AH$4,#REF!, 0))</f>
        <v>#REF!</v>
      </c>
      <c r="AI241" s="153" t="e">
        <f>INDEX(#REF!, MATCH($A241,#REF!, 0), MATCH(AI$4,#REF!, 0))</f>
        <v>#REF!</v>
      </c>
      <c r="AJ241" s="344" t="e">
        <f>INDEX(#REF!, MATCH($A241,#REF!, 0), MATCH(AJ$4,#REF!, 0))</f>
        <v>#REF!</v>
      </c>
      <c r="AK241" s="153" t="e">
        <f>INDEX(#REF!, MATCH($A241,#REF!, 0), MATCH(AK$4,#REF!, 0))</f>
        <v>#REF!</v>
      </c>
      <c r="AL241" s="153" t="e">
        <f>INDEX(#REF!, MATCH($A241,#REF!, 0), MATCH(AL$4,#REF!, 0))</f>
        <v>#REF!</v>
      </c>
      <c r="AM241" s="153" t="e">
        <f>INDEX(#REF!, MATCH($A241,#REF!, 0), MATCH(AM$4,#REF!, 0))</f>
        <v>#REF!</v>
      </c>
      <c r="AN241" s="153" t="e">
        <f>INDEX(#REF!, MATCH($A241,#REF!, 0), MATCH(AN$4,#REF!, 0))</f>
        <v>#REF!</v>
      </c>
      <c r="AO241" s="153" t="e">
        <f>INDEX(#REF!, MATCH($A241,#REF!, 0), MATCH(AO$4,#REF!, 0))</f>
        <v>#REF!</v>
      </c>
      <c r="AP241" s="153" t="e">
        <f>INDEX(#REF!, MATCH($A241,#REF!, 0), MATCH(AP$4,#REF!, 0))</f>
        <v>#REF!</v>
      </c>
      <c r="AQ241" s="344" t="e">
        <f>INDEX(#REF!, MATCH($A241,#REF!, 0), MATCH(AQ$4,#REF!, 0))</f>
        <v>#REF!</v>
      </c>
      <c r="AR241" s="153" t="e">
        <f>INDEX(#REF!, MATCH($A241,#REF!, 0), MATCH(AR$4,#REF!, 0))</f>
        <v>#REF!</v>
      </c>
      <c r="AS241" s="153" t="e">
        <f>INDEX(#REF!, MATCH($A241,#REF!, 0), MATCH(AS$4,#REF!, 0))</f>
        <v>#REF!</v>
      </c>
      <c r="AT241" s="153" t="e">
        <f>INDEX(#REF!, MATCH($A241,#REF!, 0), MATCH(AT$4,#REF!, 0))</f>
        <v>#REF!</v>
      </c>
      <c r="AU241" s="153" t="e">
        <f>INDEX(#REF!, MATCH($A241,#REF!, 0), MATCH(AU$4,#REF!, 0))</f>
        <v>#REF!</v>
      </c>
      <c r="AV241" s="153" t="e">
        <f>INDEX(#REF!, MATCH($A241,#REF!, 0), MATCH(AV$4,#REF!, 0))</f>
        <v>#REF!</v>
      </c>
      <c r="AW241" s="153" t="e">
        <f>INDEX(#REF!, MATCH($A241,#REF!, 0), MATCH(AW$4,#REF!, 0))</f>
        <v>#REF!</v>
      </c>
      <c r="AX241" s="344" t="e">
        <f>INDEX(#REF!, MATCH($A241,#REF!, 0), MATCH(AX$4,#REF!, 0))</f>
        <v>#REF!</v>
      </c>
      <c r="AY241" s="153" t="e">
        <f>INDEX(#REF!, MATCH($A241,#REF!, 0), MATCH(AY$4,#REF!, 0))</f>
        <v>#REF!</v>
      </c>
      <c r="AZ241" s="153" t="e">
        <f>INDEX(#REF!, MATCH($A241,#REF!, 0), MATCH(AZ$4,#REF!, 0))</f>
        <v>#REF!</v>
      </c>
      <c r="BA241" s="153" t="e">
        <f>INDEX(#REF!, MATCH($A241,#REF!, 0), MATCH(BA$4,#REF!, 0))</f>
        <v>#REF!</v>
      </c>
      <c r="BB241" s="153" t="e">
        <f>INDEX(#REF!, MATCH($A241,#REF!, 0), MATCH(BB$4,#REF!, 0))</f>
        <v>#REF!</v>
      </c>
      <c r="BC241" s="153" t="e">
        <f>INDEX(#REF!, MATCH($A241,#REF!, 0), MATCH(BC$4,#REF!, 0))</f>
        <v>#REF!</v>
      </c>
      <c r="BD241" s="386" t="e">
        <f>INDEX(#REF!, MATCH($A241,#REF!, 0), MATCH(BD$4,#REF!, 0))</f>
        <v>#REF!</v>
      </c>
      <c r="BE241" s="344" t="e">
        <f>INDEX(#REF!, MATCH($A241,#REF!, 0), MATCH(BE$4,#REF!, 0))</f>
        <v>#REF!</v>
      </c>
      <c r="BF241" s="153" t="e">
        <f>INDEX(#REF!, MATCH($A241,#REF!, 0), MATCH(BF$4,#REF!, 0))</f>
        <v>#REF!</v>
      </c>
      <c r="BG241" s="153" t="e">
        <f>INDEX(#REF!, MATCH($A241,#REF!, 0), MATCH(BG$4,#REF!, 0))</f>
        <v>#REF!</v>
      </c>
      <c r="BH241" s="153" t="e">
        <f>INDEX(#REF!, MATCH($A241,#REF!, 0), MATCH(BH$4,#REF!, 0))</f>
        <v>#REF!</v>
      </c>
      <c r="BI241" s="153" t="e">
        <f>INDEX(#REF!, MATCH($A241,#REF!, 0), MATCH(BI$4,#REF!, 0))</f>
        <v>#REF!</v>
      </c>
      <c r="BJ241" s="153" t="e">
        <f>INDEX(#REF!, MATCH($A241,#REF!, 0), MATCH(BJ$4,#REF!, 0))</f>
        <v>#REF!</v>
      </c>
      <c r="BK241" s="386" t="e">
        <f>INDEX(#REF!, MATCH($A241,#REF!, 0), MATCH(BK$4,#REF!, 0))</f>
        <v>#REF!</v>
      </c>
      <c r="BL241" s="112" t="e">
        <f>BK241</f>
        <v>#REF!</v>
      </c>
      <c r="BM241" s="112" t="e">
        <f t="shared" si="699"/>
        <v>#REF!</v>
      </c>
      <c r="BN241" s="112" t="e">
        <f t="shared" si="699"/>
        <v>#REF!</v>
      </c>
      <c r="BO241" s="112" t="e">
        <f t="shared" si="699"/>
        <v>#REF!</v>
      </c>
      <c r="BP241" s="112" t="e">
        <f t="shared" ref="BP241:BR242" si="704">BO241</f>
        <v>#REF!</v>
      </c>
      <c r="BQ241" s="112" t="e">
        <f t="shared" si="704"/>
        <v>#REF!</v>
      </c>
      <c r="BR241" s="112" t="e">
        <f t="shared" si="704"/>
        <v>#REF!</v>
      </c>
    </row>
    <row r="242" spans="1:91">
      <c r="A242" s="111" t="s">
        <v>199</v>
      </c>
      <c r="B242" s="206" t="str">
        <f t="shared" si="697"/>
        <v>股权权益差额(合计平衡项目)</v>
      </c>
      <c r="D242" s="153" t="e">
        <f>INDEX(#REF!, MATCH($A242,#REF!, 0), MATCH(D$4,#REF!, 0))</f>
        <v>#REF!</v>
      </c>
      <c r="E242" s="153" t="e">
        <f>INDEX(#REF!, MATCH($A242,#REF!, 0), MATCH(E$4,#REF!, 0))</f>
        <v>#REF!</v>
      </c>
      <c r="F242" s="153" t="e">
        <f>INDEX(#REF!, MATCH($A242,#REF!, 0), MATCH(F$4,#REF!, 0))</f>
        <v>#REF!</v>
      </c>
      <c r="G242" s="153" t="e">
        <f>INDEX(#REF!, MATCH($A242,#REF!, 0), MATCH(G$4,#REF!, 0))</f>
        <v>#REF!</v>
      </c>
      <c r="H242" s="153" t="e">
        <f>INDEX(#REF!, MATCH($A242,#REF!, 0), MATCH(H$4,#REF!, 0))</f>
        <v>#REF!</v>
      </c>
      <c r="I242" s="153" t="e">
        <f>INDEX(#REF!, MATCH($A242,#REF!, 0), MATCH(I$4,#REF!, 0))</f>
        <v>#REF!</v>
      </c>
      <c r="J242" s="153" t="e">
        <f>INDEX(#REF!, MATCH($A242,#REF!, 0), MATCH(J$4,#REF!, 0))</f>
        <v>#REF!</v>
      </c>
      <c r="K242" s="153" t="e">
        <f>INDEX(#REF!, MATCH($A242,#REF!, 0), MATCH(K$4,#REF!, 0))</f>
        <v>#REF!</v>
      </c>
      <c r="L242" s="153" t="e">
        <f>INDEX(#REF!, MATCH($A242,#REF!, 0), MATCH(L$4,#REF!, 0))</f>
        <v>#REF!</v>
      </c>
      <c r="M242" s="153" t="e">
        <f>INDEX(#REF!, MATCH($A242,#REF!, 0), MATCH(M$4,#REF!, 0))</f>
        <v>#REF!</v>
      </c>
      <c r="N242" s="153" t="e">
        <f>INDEX(#REF!, MATCH($A242,#REF!, 0), MATCH(N$4,#REF!, 0))</f>
        <v>#REF!</v>
      </c>
      <c r="O242" s="153" t="e">
        <f>INDEX(#REF!, MATCH($A242,#REF!, 0), MATCH(O$4,#REF!, 0))</f>
        <v>#REF!</v>
      </c>
      <c r="P242" s="153" t="e">
        <f>INDEX(#REF!, MATCH($A242,#REF!, 0), MATCH(P$4,#REF!, 0))</f>
        <v>#REF!</v>
      </c>
      <c r="Q242" s="153" t="e">
        <f>INDEX(#REF!, MATCH($A242,#REF!, 0), MATCH(Q$4,#REF!, 0))</f>
        <v>#REF!</v>
      </c>
      <c r="R242" s="153" t="e">
        <f>INDEX(#REF!, MATCH($A242,#REF!, 0), MATCH(R$4,#REF!, 0))</f>
        <v>#REF!</v>
      </c>
      <c r="S242" s="153" t="e">
        <f>INDEX(#REF!, MATCH($A242,#REF!, 0), MATCH(S$4,#REF!, 0))</f>
        <v>#REF!</v>
      </c>
      <c r="T242" s="153" t="e">
        <f>INDEX(#REF!, MATCH($A242,#REF!, 0), MATCH(T$4,#REF!, 0))</f>
        <v>#REF!</v>
      </c>
      <c r="U242" s="153" t="e">
        <f>INDEX(#REF!, MATCH($A242,#REF!, 0), MATCH(U$4,#REF!, 0))</f>
        <v>#REF!</v>
      </c>
      <c r="V242" s="344" t="e">
        <f>INDEX(#REF!, MATCH($A242,#REF!, 0), MATCH(V$4,#REF!, 0))</f>
        <v>#REF!</v>
      </c>
      <c r="W242" s="153" t="e">
        <f>INDEX(#REF!, MATCH($A242,#REF!, 0), MATCH(W$4,#REF!, 0))</f>
        <v>#REF!</v>
      </c>
      <c r="X242" s="153" t="e">
        <f>INDEX(#REF!, MATCH($A242,#REF!, 0), MATCH(X$4,#REF!, 0))</f>
        <v>#REF!</v>
      </c>
      <c r="Y242" s="153" t="e">
        <f>INDEX(#REF!, MATCH($A242,#REF!, 0), MATCH(Y$4,#REF!, 0))</f>
        <v>#REF!</v>
      </c>
      <c r="Z242" s="153" t="e">
        <f>INDEX(#REF!, MATCH($A242,#REF!, 0), MATCH(Z$4,#REF!, 0))</f>
        <v>#REF!</v>
      </c>
      <c r="AA242" s="153" t="e">
        <f>INDEX(#REF!, MATCH($A242,#REF!, 0), MATCH(AA$4,#REF!, 0))</f>
        <v>#REF!</v>
      </c>
      <c r="AB242" s="153" t="e">
        <f>INDEX(#REF!, MATCH($A242,#REF!, 0), MATCH(AB$4,#REF!, 0))</f>
        <v>#REF!</v>
      </c>
      <c r="AC242" s="344" t="e">
        <f>INDEX(#REF!, MATCH($A242,#REF!, 0), MATCH(AC$4,#REF!, 0))</f>
        <v>#REF!</v>
      </c>
      <c r="AD242" s="153" t="e">
        <f>INDEX(#REF!, MATCH($A242,#REF!, 0), MATCH(AD$4,#REF!, 0))</f>
        <v>#REF!</v>
      </c>
      <c r="AE242" s="153" t="e">
        <f>INDEX(#REF!, MATCH($A242,#REF!, 0), MATCH(AE$4,#REF!, 0))</f>
        <v>#REF!</v>
      </c>
      <c r="AF242" s="153" t="e">
        <f>INDEX(#REF!, MATCH($A242,#REF!, 0), MATCH(AF$4,#REF!, 0))</f>
        <v>#REF!</v>
      </c>
      <c r="AG242" s="153" t="e">
        <f>INDEX(#REF!, MATCH($A242,#REF!, 0), MATCH(AG$4,#REF!, 0))</f>
        <v>#REF!</v>
      </c>
      <c r="AH242" s="153" t="e">
        <f>INDEX(#REF!, MATCH($A242,#REF!, 0), MATCH(AH$4,#REF!, 0))</f>
        <v>#REF!</v>
      </c>
      <c r="AI242" s="153" t="e">
        <f>INDEX(#REF!, MATCH($A242,#REF!, 0), MATCH(AI$4,#REF!, 0))</f>
        <v>#REF!</v>
      </c>
      <c r="AJ242" s="344" t="e">
        <f>INDEX(#REF!, MATCH($A242,#REF!, 0), MATCH(AJ$4,#REF!, 0))</f>
        <v>#REF!</v>
      </c>
      <c r="AK242" s="153" t="e">
        <f>INDEX(#REF!, MATCH($A242,#REF!, 0), MATCH(AK$4,#REF!, 0))</f>
        <v>#REF!</v>
      </c>
      <c r="AL242" s="153" t="e">
        <f>INDEX(#REF!, MATCH($A242,#REF!, 0), MATCH(AL$4,#REF!, 0))</f>
        <v>#REF!</v>
      </c>
      <c r="AM242" s="153" t="e">
        <f>INDEX(#REF!, MATCH($A242,#REF!, 0), MATCH(AM$4,#REF!, 0))</f>
        <v>#REF!</v>
      </c>
      <c r="AN242" s="153" t="e">
        <f>INDEX(#REF!, MATCH($A242,#REF!, 0), MATCH(AN$4,#REF!, 0))</f>
        <v>#REF!</v>
      </c>
      <c r="AO242" s="153" t="e">
        <f>INDEX(#REF!, MATCH($A242,#REF!, 0), MATCH(AO$4,#REF!, 0))</f>
        <v>#REF!</v>
      </c>
      <c r="AP242" s="153" t="e">
        <f>INDEX(#REF!, MATCH($A242,#REF!, 0), MATCH(AP$4,#REF!, 0))</f>
        <v>#REF!</v>
      </c>
      <c r="AQ242" s="344" t="e">
        <f>INDEX(#REF!, MATCH($A242,#REF!, 0), MATCH(AQ$4,#REF!, 0))</f>
        <v>#REF!</v>
      </c>
      <c r="AR242" s="153" t="e">
        <f>INDEX(#REF!, MATCH($A242,#REF!, 0), MATCH(AR$4,#REF!, 0))</f>
        <v>#REF!</v>
      </c>
      <c r="AS242" s="153" t="e">
        <f>INDEX(#REF!, MATCH($A242,#REF!, 0), MATCH(AS$4,#REF!, 0))</f>
        <v>#REF!</v>
      </c>
      <c r="AT242" s="153" t="e">
        <f>INDEX(#REF!, MATCH($A242,#REF!, 0), MATCH(AT$4,#REF!, 0))</f>
        <v>#REF!</v>
      </c>
      <c r="AU242" s="153" t="e">
        <f>INDEX(#REF!, MATCH($A242,#REF!, 0), MATCH(AU$4,#REF!, 0))</f>
        <v>#REF!</v>
      </c>
      <c r="AV242" s="153" t="e">
        <f>INDEX(#REF!, MATCH($A242,#REF!, 0), MATCH(AV$4,#REF!, 0))</f>
        <v>#REF!</v>
      </c>
      <c r="AW242" s="153" t="e">
        <f>INDEX(#REF!, MATCH($A242,#REF!, 0), MATCH(AW$4,#REF!, 0))</f>
        <v>#REF!</v>
      </c>
      <c r="AX242" s="344" t="e">
        <f>INDEX(#REF!, MATCH($A242,#REF!, 0), MATCH(AX$4,#REF!, 0))</f>
        <v>#REF!</v>
      </c>
      <c r="AY242" s="153" t="e">
        <f>INDEX(#REF!, MATCH($A242,#REF!, 0), MATCH(AY$4,#REF!, 0))</f>
        <v>#REF!</v>
      </c>
      <c r="AZ242" s="153" t="e">
        <f>INDEX(#REF!, MATCH($A242,#REF!, 0), MATCH(AZ$4,#REF!, 0))</f>
        <v>#REF!</v>
      </c>
      <c r="BA242" s="153" t="e">
        <f>INDEX(#REF!, MATCH($A242,#REF!, 0), MATCH(BA$4,#REF!, 0))</f>
        <v>#REF!</v>
      </c>
      <c r="BB242" s="153" t="e">
        <f>INDEX(#REF!, MATCH($A242,#REF!, 0), MATCH(BB$4,#REF!, 0))</f>
        <v>#REF!</v>
      </c>
      <c r="BC242" s="153" t="e">
        <f>INDEX(#REF!, MATCH($A242,#REF!, 0), MATCH(BC$4,#REF!, 0))</f>
        <v>#REF!</v>
      </c>
      <c r="BD242" s="386" t="e">
        <f>INDEX(#REF!, MATCH($A242,#REF!, 0), MATCH(BD$4,#REF!, 0))</f>
        <v>#REF!</v>
      </c>
      <c r="BE242" s="344" t="e">
        <f>INDEX(#REF!, MATCH($A242,#REF!, 0), MATCH(BE$4,#REF!, 0))</f>
        <v>#REF!</v>
      </c>
      <c r="BF242" s="153" t="e">
        <f>INDEX(#REF!, MATCH($A242,#REF!, 0), MATCH(BF$4,#REF!, 0))</f>
        <v>#REF!</v>
      </c>
      <c r="BG242" s="153" t="e">
        <f>INDEX(#REF!, MATCH($A242,#REF!, 0), MATCH(BG$4,#REF!, 0))</f>
        <v>#REF!</v>
      </c>
      <c r="BH242" s="153" t="e">
        <f>INDEX(#REF!, MATCH($A242,#REF!, 0), MATCH(BH$4,#REF!, 0))</f>
        <v>#REF!</v>
      </c>
      <c r="BI242" s="153" t="e">
        <f>INDEX(#REF!, MATCH($A242,#REF!, 0), MATCH(BI$4,#REF!, 0))</f>
        <v>#REF!</v>
      </c>
      <c r="BJ242" s="153" t="e">
        <f>INDEX(#REF!, MATCH($A242,#REF!, 0), MATCH(BJ$4,#REF!, 0))</f>
        <v>#REF!</v>
      </c>
      <c r="BK242" s="386" t="e">
        <f>INDEX(#REF!, MATCH($A242,#REF!, 0), MATCH(BK$4,#REF!, 0))</f>
        <v>#REF!</v>
      </c>
      <c r="BL242" s="112" t="e">
        <f>BK242</f>
        <v>#REF!</v>
      </c>
      <c r="BM242" s="112" t="e">
        <f t="shared" si="699"/>
        <v>#REF!</v>
      </c>
      <c r="BN242" s="112" t="e">
        <f t="shared" si="699"/>
        <v>#REF!</v>
      </c>
      <c r="BO242" s="112" t="e">
        <f t="shared" si="699"/>
        <v>#REF!</v>
      </c>
      <c r="BP242" s="112" t="e">
        <f t="shared" si="704"/>
        <v>#REF!</v>
      </c>
      <c r="BQ242" s="112" t="e">
        <f t="shared" si="704"/>
        <v>#REF!</v>
      </c>
      <c r="BR242" s="112" t="e">
        <f t="shared" si="704"/>
        <v>#REF!</v>
      </c>
    </row>
    <row r="243" spans="1:91">
      <c r="A243" s="192" t="s">
        <v>201</v>
      </c>
      <c r="B243" s="85" t="s">
        <v>229</v>
      </c>
      <c r="D243" s="153" t="e">
        <f>INDEX(#REF!, MATCH($A243,#REF!, 0), MATCH(D$4,#REF!, 0))</f>
        <v>#REF!</v>
      </c>
      <c r="E243" s="153" t="e">
        <f>INDEX(#REF!, MATCH($A243,#REF!, 0), MATCH(E$4,#REF!, 0))</f>
        <v>#REF!</v>
      </c>
      <c r="F243" s="153" t="e">
        <f>INDEX(#REF!, MATCH($A243,#REF!, 0), MATCH(F$4,#REF!, 0))</f>
        <v>#REF!</v>
      </c>
      <c r="G243" s="153" t="e">
        <f>INDEX(#REF!, MATCH($A243,#REF!, 0), MATCH(G$4,#REF!, 0))</f>
        <v>#REF!</v>
      </c>
      <c r="H243" s="153" t="e">
        <f>INDEX(#REF!, MATCH($A243,#REF!, 0), MATCH(H$4,#REF!, 0))</f>
        <v>#REF!</v>
      </c>
      <c r="I243" s="153" t="e">
        <f>INDEX(#REF!, MATCH($A243,#REF!, 0), MATCH(I$4,#REF!, 0))</f>
        <v>#REF!</v>
      </c>
      <c r="J243" s="153" t="e">
        <f>INDEX(#REF!, MATCH($A243,#REF!, 0), MATCH(J$4,#REF!, 0))</f>
        <v>#REF!</v>
      </c>
      <c r="K243" s="153" t="e">
        <f>INDEX(#REF!, MATCH($A243,#REF!, 0), MATCH(K$4,#REF!, 0))</f>
        <v>#REF!</v>
      </c>
      <c r="L243" s="153" t="e">
        <f>INDEX(#REF!, MATCH($A243,#REF!, 0), MATCH(L$4,#REF!, 0))</f>
        <v>#REF!</v>
      </c>
      <c r="M243" s="153" t="e">
        <f>INDEX(#REF!, MATCH($A243,#REF!, 0), MATCH(M$4,#REF!, 0))</f>
        <v>#REF!</v>
      </c>
      <c r="N243" s="153" t="e">
        <f>INDEX(#REF!, MATCH($A243,#REF!, 0), MATCH(N$4,#REF!, 0))</f>
        <v>#REF!</v>
      </c>
      <c r="O243" s="153" t="e">
        <f>INDEX(#REF!, MATCH($A243,#REF!, 0), MATCH(O$4,#REF!, 0))</f>
        <v>#REF!</v>
      </c>
      <c r="P243" s="153" t="e">
        <f>INDEX(#REF!, MATCH($A243,#REF!, 0), MATCH(P$4,#REF!, 0))</f>
        <v>#REF!</v>
      </c>
      <c r="Q243" s="153" t="e">
        <f>INDEX(#REF!, MATCH($A243,#REF!, 0), MATCH(Q$4,#REF!, 0))</f>
        <v>#REF!</v>
      </c>
      <c r="R243" s="153" t="e">
        <f>INDEX(#REF!, MATCH($A243,#REF!, 0), MATCH(R$4,#REF!, 0))</f>
        <v>#REF!</v>
      </c>
      <c r="S243" s="153" t="e">
        <f>INDEX(#REF!, MATCH($A243,#REF!, 0), MATCH(S$4,#REF!, 0))</f>
        <v>#REF!</v>
      </c>
      <c r="T243" s="153" t="e">
        <f>INDEX(#REF!, MATCH($A243,#REF!, 0), MATCH(T$4,#REF!, 0))</f>
        <v>#REF!</v>
      </c>
      <c r="U243" s="153" t="e">
        <f>INDEX(#REF!, MATCH($A243,#REF!, 0), MATCH(U$4,#REF!, 0))</f>
        <v>#REF!</v>
      </c>
      <c r="V243" s="344" t="e">
        <f>INDEX(#REF!, MATCH($A243,#REF!, 0), MATCH(V$4,#REF!, 0))</f>
        <v>#REF!</v>
      </c>
      <c r="W243" s="153" t="e">
        <f>INDEX(#REF!, MATCH($A243,#REF!, 0), MATCH(W$4,#REF!, 0))</f>
        <v>#REF!</v>
      </c>
      <c r="X243" s="153" t="e">
        <f>INDEX(#REF!, MATCH($A243,#REF!, 0), MATCH(X$4,#REF!, 0))</f>
        <v>#REF!</v>
      </c>
      <c r="Y243" s="153" t="e">
        <f>INDEX(#REF!, MATCH($A243,#REF!, 0), MATCH(Y$4,#REF!, 0))</f>
        <v>#REF!</v>
      </c>
      <c r="Z243" s="153" t="e">
        <f>INDEX(#REF!, MATCH($A243,#REF!, 0), MATCH(Z$4,#REF!, 0))</f>
        <v>#REF!</v>
      </c>
      <c r="AA243" s="153" t="e">
        <f>INDEX(#REF!, MATCH($A243,#REF!, 0), MATCH(AA$4,#REF!, 0))</f>
        <v>#REF!</v>
      </c>
      <c r="AB243" s="153" t="e">
        <f>INDEX(#REF!, MATCH($A243,#REF!, 0), MATCH(AB$4,#REF!, 0))</f>
        <v>#REF!</v>
      </c>
      <c r="AC243" s="344" t="e">
        <f>INDEX(#REF!, MATCH($A243,#REF!, 0), MATCH(AC$4,#REF!, 0))</f>
        <v>#REF!</v>
      </c>
      <c r="AD243" s="153" t="e">
        <f>INDEX(#REF!, MATCH($A243,#REF!, 0), MATCH(AD$4,#REF!, 0))</f>
        <v>#REF!</v>
      </c>
      <c r="AE243" s="153" t="e">
        <f>INDEX(#REF!, MATCH($A243,#REF!, 0), MATCH(AE$4,#REF!, 0))</f>
        <v>#REF!</v>
      </c>
      <c r="AF243" s="153" t="e">
        <f>INDEX(#REF!, MATCH($A243,#REF!, 0), MATCH(AF$4,#REF!, 0))</f>
        <v>#REF!</v>
      </c>
      <c r="AG243" s="153" t="e">
        <f>INDEX(#REF!, MATCH($A243,#REF!, 0), MATCH(AG$4,#REF!, 0))</f>
        <v>#REF!</v>
      </c>
      <c r="AH243" s="153" t="e">
        <f>INDEX(#REF!, MATCH($A243,#REF!, 0), MATCH(AH$4,#REF!, 0))</f>
        <v>#REF!</v>
      </c>
      <c r="AI243" s="153" t="e">
        <f>INDEX(#REF!, MATCH($A243,#REF!, 0), MATCH(AI$4,#REF!, 0))</f>
        <v>#REF!</v>
      </c>
      <c r="AJ243" s="344" t="e">
        <f>INDEX(#REF!, MATCH($A243,#REF!, 0), MATCH(AJ$4,#REF!, 0))</f>
        <v>#REF!</v>
      </c>
      <c r="AK243" s="153" t="e">
        <f>INDEX(#REF!, MATCH($A243,#REF!, 0), MATCH(AK$4,#REF!, 0))</f>
        <v>#REF!</v>
      </c>
      <c r="AL243" s="153" t="e">
        <f>INDEX(#REF!, MATCH($A243,#REF!, 0), MATCH(AL$4,#REF!, 0))</f>
        <v>#REF!</v>
      </c>
      <c r="AM243" s="153" t="e">
        <f>INDEX(#REF!, MATCH($A243,#REF!, 0), MATCH(AM$4,#REF!, 0))</f>
        <v>#REF!</v>
      </c>
      <c r="AN243" s="153" t="e">
        <f>INDEX(#REF!, MATCH($A243,#REF!, 0), MATCH(AN$4,#REF!, 0))</f>
        <v>#REF!</v>
      </c>
      <c r="AO243" s="153" t="e">
        <f>INDEX(#REF!, MATCH($A243,#REF!, 0), MATCH(AO$4,#REF!, 0))</f>
        <v>#REF!</v>
      </c>
      <c r="AP243" s="153" t="e">
        <f>INDEX(#REF!, MATCH($A243,#REF!, 0), MATCH(AP$4,#REF!, 0))</f>
        <v>#REF!</v>
      </c>
      <c r="AQ243" s="344" t="e">
        <f>INDEX(#REF!, MATCH($A243,#REF!, 0), MATCH(AQ$4,#REF!, 0))</f>
        <v>#REF!</v>
      </c>
      <c r="AR243" s="153" t="e">
        <f>INDEX(#REF!, MATCH($A243,#REF!, 0), MATCH(AR$4,#REF!, 0))</f>
        <v>#REF!</v>
      </c>
      <c r="AS243" s="153" t="e">
        <f>INDEX(#REF!, MATCH($A243,#REF!, 0), MATCH(AS$4,#REF!, 0))</f>
        <v>#REF!</v>
      </c>
      <c r="AT243" s="153" t="e">
        <f>INDEX(#REF!, MATCH($A243,#REF!, 0), MATCH(AT$4,#REF!, 0))</f>
        <v>#REF!</v>
      </c>
      <c r="AU243" s="153" t="e">
        <f>INDEX(#REF!, MATCH($A243,#REF!, 0), MATCH(AU$4,#REF!, 0))</f>
        <v>#REF!</v>
      </c>
      <c r="AV243" s="153" t="e">
        <f>INDEX(#REF!, MATCH($A243,#REF!, 0), MATCH(AV$4,#REF!, 0))</f>
        <v>#REF!</v>
      </c>
      <c r="AW243" s="153" t="e">
        <f>INDEX(#REF!, MATCH($A243,#REF!, 0), MATCH(AW$4,#REF!, 0))</f>
        <v>#REF!</v>
      </c>
      <c r="AX243" s="344" t="e">
        <f>INDEX(#REF!, MATCH($A243,#REF!, 0), MATCH(AX$4,#REF!, 0))</f>
        <v>#REF!</v>
      </c>
      <c r="AY243" s="153" t="e">
        <f>INDEX(#REF!, MATCH($A243,#REF!, 0), MATCH(AY$4,#REF!, 0))</f>
        <v>#REF!</v>
      </c>
      <c r="AZ243" s="153" t="e">
        <f>INDEX(#REF!, MATCH($A243,#REF!, 0), MATCH(AZ$4,#REF!, 0))</f>
        <v>#REF!</v>
      </c>
      <c r="BA243" s="153" t="e">
        <f>INDEX(#REF!, MATCH($A243,#REF!, 0), MATCH(BA$4,#REF!, 0))</f>
        <v>#REF!</v>
      </c>
      <c r="BB243" s="153" t="e">
        <f>INDEX(#REF!, MATCH($A243,#REF!, 0), MATCH(BB$4,#REF!, 0))</f>
        <v>#REF!</v>
      </c>
      <c r="BC243" s="153" t="e">
        <f>INDEX(#REF!, MATCH($A243,#REF!, 0), MATCH(BC$4,#REF!, 0))</f>
        <v>#REF!</v>
      </c>
      <c r="BD243" s="386" t="e">
        <f>INDEX(#REF!, MATCH($A243,#REF!, 0), MATCH(BD$4,#REF!, 0))</f>
        <v>#REF!</v>
      </c>
      <c r="BE243" s="344" t="e">
        <f>INDEX(#REF!, MATCH($A243,#REF!, 0), MATCH(BE$4,#REF!, 0))</f>
        <v>#REF!</v>
      </c>
      <c r="BF243" s="153" t="e">
        <f>INDEX(#REF!, MATCH($A243,#REF!, 0), MATCH(BF$4,#REF!, 0))</f>
        <v>#REF!</v>
      </c>
      <c r="BG243" s="153" t="e">
        <f>INDEX(#REF!, MATCH($A243,#REF!, 0), MATCH(BG$4,#REF!, 0))</f>
        <v>#REF!</v>
      </c>
      <c r="BH243" s="153" t="e">
        <f>INDEX(#REF!, MATCH($A243,#REF!, 0), MATCH(BH$4,#REF!, 0))</f>
        <v>#REF!</v>
      </c>
      <c r="BI243" s="153" t="e">
        <f>INDEX(#REF!, MATCH($A243,#REF!, 0), MATCH(BI$4,#REF!, 0))</f>
        <v>#REF!</v>
      </c>
      <c r="BJ243" s="153" t="e">
        <f>INDEX(#REF!, MATCH($A243,#REF!, 0), MATCH(BJ$4,#REF!, 0))</f>
        <v>#REF!</v>
      </c>
      <c r="BK243" s="386" t="e">
        <f>INDEX(#REF!, MATCH($A243,#REF!, 0), MATCH(BK$4,#REF!, 0))</f>
        <v>#REF!</v>
      </c>
    </row>
    <row r="245" spans="1:91" s="244" customFormat="1" ht="14.1">
      <c r="A245" s="254"/>
      <c r="B245" s="240"/>
      <c r="C245" s="241"/>
      <c r="V245" s="326"/>
      <c r="AC245" s="326"/>
      <c r="AJ245" s="326"/>
      <c r="AQ245" s="326"/>
      <c r="AX245" s="326"/>
      <c r="BD245" s="369"/>
      <c r="BE245" s="326"/>
      <c r="BK245" s="369"/>
      <c r="BS245" s="235"/>
      <c r="BT245" s="243"/>
      <c r="BU245" s="235"/>
      <c r="BV245" s="235"/>
      <c r="BW245" s="235"/>
      <c r="BX245" s="235"/>
      <c r="BY245" s="235"/>
      <c r="BZ245" s="235"/>
      <c r="CA245" s="235"/>
      <c r="CB245" s="235"/>
      <c r="CC245" s="235"/>
      <c r="CD245" s="235"/>
      <c r="CE245" s="235"/>
      <c r="CF245" s="235"/>
      <c r="CG245" s="235"/>
      <c r="CH245" s="235"/>
      <c r="CI245" s="235"/>
      <c r="CJ245" s="235"/>
      <c r="CK245" s="235"/>
      <c r="CL245" s="235"/>
      <c r="CM245" s="235"/>
    </row>
    <row r="246" spans="1:91" ht="14.1">
      <c r="B246" s="147" t="s">
        <v>419</v>
      </c>
      <c r="D246" s="189" t="e">
        <f t="shared" ref="D246:BR246" si="705">D247-D248</f>
        <v>#REF!</v>
      </c>
      <c r="E246" s="189" t="e">
        <f t="shared" si="705"/>
        <v>#REF!</v>
      </c>
      <c r="F246" s="189" t="e">
        <f t="shared" si="705"/>
        <v>#REF!</v>
      </c>
      <c r="G246" s="189" t="e">
        <f t="shared" si="705"/>
        <v>#REF!</v>
      </c>
      <c r="H246" s="189" t="e">
        <f t="shared" si="705"/>
        <v>#REF!</v>
      </c>
      <c r="I246" s="189" t="e">
        <f t="shared" si="705"/>
        <v>#REF!</v>
      </c>
      <c r="J246" s="189" t="e">
        <f t="shared" si="705"/>
        <v>#REF!</v>
      </c>
      <c r="K246" s="189" t="e">
        <f t="shared" si="705"/>
        <v>#REF!</v>
      </c>
      <c r="L246" s="189" t="e">
        <f t="shared" si="705"/>
        <v>#REF!</v>
      </c>
      <c r="M246" s="189" t="e">
        <f t="shared" si="705"/>
        <v>#REF!</v>
      </c>
      <c r="N246" s="189" t="e">
        <f t="shared" si="705"/>
        <v>#REF!</v>
      </c>
      <c r="O246" s="189" t="e">
        <f t="shared" si="705"/>
        <v>#REF!</v>
      </c>
      <c r="P246" s="189" t="e">
        <f t="shared" si="705"/>
        <v>#REF!</v>
      </c>
      <c r="Q246" s="189" t="e">
        <f t="shared" si="705"/>
        <v>#REF!</v>
      </c>
      <c r="R246" s="189" t="e">
        <f t="shared" si="705"/>
        <v>#REF!</v>
      </c>
      <c r="S246" s="189" t="e">
        <f t="shared" si="705"/>
        <v>#REF!</v>
      </c>
      <c r="T246" s="189" t="e">
        <f t="shared" si="705"/>
        <v>#REF!</v>
      </c>
      <c r="U246" s="189" t="e">
        <f t="shared" si="705"/>
        <v>#REF!</v>
      </c>
      <c r="V246" s="341" t="e">
        <f t="shared" ref="V246:AA246" si="706">V247-V248</f>
        <v>#REF!</v>
      </c>
      <c r="W246" s="189" t="e">
        <f t="shared" si="706"/>
        <v>#REF!</v>
      </c>
      <c r="X246" s="189" t="e">
        <f t="shared" si="706"/>
        <v>#REF!</v>
      </c>
      <c r="Y246" s="189" t="e">
        <f t="shared" si="706"/>
        <v>#REF!</v>
      </c>
      <c r="Z246" s="189" t="e">
        <f t="shared" si="706"/>
        <v>#REF!</v>
      </c>
      <c r="AA246" s="189" t="e">
        <f t="shared" si="706"/>
        <v>#REF!</v>
      </c>
      <c r="AB246" s="189" t="e">
        <f t="shared" si="705"/>
        <v>#REF!</v>
      </c>
      <c r="AC246" s="341" t="e">
        <f t="shared" ref="AC246:AH246" si="707">AC247-AC248</f>
        <v>#REF!</v>
      </c>
      <c r="AD246" s="189" t="e">
        <f t="shared" si="707"/>
        <v>#REF!</v>
      </c>
      <c r="AE246" s="189" t="e">
        <f t="shared" si="707"/>
        <v>#REF!</v>
      </c>
      <c r="AF246" s="189" t="e">
        <f t="shared" si="707"/>
        <v>#REF!</v>
      </c>
      <c r="AG246" s="189" t="e">
        <f t="shared" si="707"/>
        <v>#REF!</v>
      </c>
      <c r="AH246" s="189" t="e">
        <f t="shared" si="707"/>
        <v>#REF!</v>
      </c>
      <c r="AI246" s="189" t="e">
        <f t="shared" si="705"/>
        <v>#REF!</v>
      </c>
      <c r="AJ246" s="341" t="e">
        <f t="shared" ref="AJ246:AO246" si="708">AJ247-AJ248</f>
        <v>#REF!</v>
      </c>
      <c r="AK246" s="189" t="e">
        <f t="shared" si="708"/>
        <v>#REF!</v>
      </c>
      <c r="AL246" s="189" t="e">
        <f t="shared" si="708"/>
        <v>#REF!</v>
      </c>
      <c r="AM246" s="189" t="e">
        <f t="shared" si="708"/>
        <v>#REF!</v>
      </c>
      <c r="AN246" s="189" t="e">
        <f t="shared" si="708"/>
        <v>#REF!</v>
      </c>
      <c r="AO246" s="189" t="e">
        <f t="shared" si="708"/>
        <v>#REF!</v>
      </c>
      <c r="AP246" s="189" t="e">
        <f t="shared" si="705"/>
        <v>#REF!</v>
      </c>
      <c r="AQ246" s="341" t="e">
        <f t="shared" ref="AQ246:AV246" si="709">AQ247-AQ248</f>
        <v>#REF!</v>
      </c>
      <c r="AR246" s="189" t="e">
        <f t="shared" si="709"/>
        <v>#REF!</v>
      </c>
      <c r="AS246" s="189" t="e">
        <f t="shared" si="709"/>
        <v>#REF!</v>
      </c>
      <c r="AT246" s="189" t="e">
        <f t="shared" si="709"/>
        <v>#REF!</v>
      </c>
      <c r="AU246" s="189" t="e">
        <f t="shared" si="709"/>
        <v>#REF!</v>
      </c>
      <c r="AV246" s="189" t="e">
        <f t="shared" si="709"/>
        <v>#REF!</v>
      </c>
      <c r="AW246" s="189" t="e">
        <f t="shared" si="705"/>
        <v>#REF!</v>
      </c>
      <c r="AX246" s="341" t="e">
        <f t="shared" si="705"/>
        <v>#REF!</v>
      </c>
      <c r="AY246" s="189" t="e">
        <f t="shared" ref="AY246:AZ246" si="710">AY247-AY248</f>
        <v>#REF!</v>
      </c>
      <c r="AZ246" s="189" t="e">
        <f t="shared" si="710"/>
        <v>#REF!</v>
      </c>
      <c r="BA246" s="189" t="e">
        <f t="shared" ref="BA246:BC246" si="711">BA247-BA248</f>
        <v>#REF!</v>
      </c>
      <c r="BB246" s="189" t="e">
        <f t="shared" si="711"/>
        <v>#REF!</v>
      </c>
      <c r="BC246" s="189" t="e">
        <f t="shared" si="711"/>
        <v>#REF!</v>
      </c>
      <c r="BD246" s="384" t="e">
        <f t="shared" ref="BD246:BJ246" si="712">BD247-BD248</f>
        <v>#REF!</v>
      </c>
      <c r="BE246" s="341" t="e">
        <f t="shared" si="712"/>
        <v>#REF!</v>
      </c>
      <c r="BF246" s="189" t="e">
        <f t="shared" si="712"/>
        <v>#REF!</v>
      </c>
      <c r="BG246" s="189" t="e">
        <f t="shared" si="712"/>
        <v>#REF!</v>
      </c>
      <c r="BH246" s="189" t="e">
        <f t="shared" si="712"/>
        <v>#REF!</v>
      </c>
      <c r="BI246" s="189" t="e">
        <f t="shared" si="712"/>
        <v>#REF!</v>
      </c>
      <c r="BJ246" s="189" t="e">
        <f t="shared" si="712"/>
        <v>#REF!</v>
      </c>
      <c r="BK246" s="384" t="e">
        <f t="shared" ref="BK246" si="713">BK247-BK248</f>
        <v>#REF!</v>
      </c>
      <c r="BL246" s="189" t="e">
        <f t="shared" si="705"/>
        <v>#REF!</v>
      </c>
      <c r="BM246" s="189" t="e">
        <f t="shared" si="705"/>
        <v>#REF!</v>
      </c>
      <c r="BN246" s="189" t="e">
        <f t="shared" si="705"/>
        <v>#REF!</v>
      </c>
      <c r="BO246" s="189" t="e">
        <f t="shared" si="705"/>
        <v>#REF!</v>
      </c>
      <c r="BP246" s="189" t="e">
        <f t="shared" si="705"/>
        <v>#REF!</v>
      </c>
      <c r="BQ246" s="189" t="e">
        <f t="shared" si="705"/>
        <v>#REF!</v>
      </c>
      <c r="BR246" s="189" t="e">
        <f t="shared" si="705"/>
        <v>#REF!</v>
      </c>
    </row>
    <row r="247" spans="1:91">
      <c r="B247" s="85" t="s">
        <v>271</v>
      </c>
      <c r="D247" s="189" t="e">
        <f t="shared" ref="D247:BR247" si="714">D144+D146</f>
        <v>#REF!</v>
      </c>
      <c r="E247" s="189" t="e">
        <f t="shared" si="714"/>
        <v>#REF!</v>
      </c>
      <c r="F247" s="189" t="e">
        <f t="shared" si="714"/>
        <v>#REF!</v>
      </c>
      <c r="G247" s="189" t="e">
        <f t="shared" si="714"/>
        <v>#REF!</v>
      </c>
      <c r="H247" s="189" t="e">
        <f t="shared" si="714"/>
        <v>#REF!</v>
      </c>
      <c r="I247" s="189" t="e">
        <f t="shared" si="714"/>
        <v>#REF!</v>
      </c>
      <c r="J247" s="189" t="e">
        <f t="shared" si="714"/>
        <v>#REF!</v>
      </c>
      <c r="K247" s="189" t="e">
        <f t="shared" si="714"/>
        <v>#REF!</v>
      </c>
      <c r="L247" s="189" t="e">
        <f t="shared" si="714"/>
        <v>#REF!</v>
      </c>
      <c r="M247" s="189" t="e">
        <f t="shared" si="714"/>
        <v>#REF!</v>
      </c>
      <c r="N247" s="189" t="e">
        <f t="shared" si="714"/>
        <v>#REF!</v>
      </c>
      <c r="O247" s="189" t="e">
        <f t="shared" si="714"/>
        <v>#REF!</v>
      </c>
      <c r="P247" s="189" t="e">
        <f t="shared" si="714"/>
        <v>#REF!</v>
      </c>
      <c r="Q247" s="189" t="e">
        <f t="shared" si="714"/>
        <v>#REF!</v>
      </c>
      <c r="R247" s="189" t="e">
        <f t="shared" si="714"/>
        <v>#REF!</v>
      </c>
      <c r="S247" s="189" t="e">
        <f t="shared" si="714"/>
        <v>#REF!</v>
      </c>
      <c r="T247" s="189" t="e">
        <f t="shared" si="714"/>
        <v>#REF!</v>
      </c>
      <c r="U247" s="189" t="e">
        <f t="shared" si="714"/>
        <v>#REF!</v>
      </c>
      <c r="V247" s="341" t="e">
        <f t="shared" ref="V247:AA247" si="715">V144+V146</f>
        <v>#REF!</v>
      </c>
      <c r="W247" s="189" t="e">
        <f t="shared" si="715"/>
        <v>#REF!</v>
      </c>
      <c r="X247" s="189" t="e">
        <f t="shared" si="715"/>
        <v>#REF!</v>
      </c>
      <c r="Y247" s="189" t="e">
        <f t="shared" si="715"/>
        <v>#REF!</v>
      </c>
      <c r="Z247" s="189" t="e">
        <f t="shared" si="715"/>
        <v>#REF!</v>
      </c>
      <c r="AA247" s="189" t="e">
        <f t="shared" si="715"/>
        <v>#REF!</v>
      </c>
      <c r="AB247" s="189" t="e">
        <f t="shared" si="714"/>
        <v>#REF!</v>
      </c>
      <c r="AC247" s="341" t="e">
        <f t="shared" ref="AC247:AH247" si="716">AC144+AC146</f>
        <v>#REF!</v>
      </c>
      <c r="AD247" s="189" t="e">
        <f t="shared" si="716"/>
        <v>#REF!</v>
      </c>
      <c r="AE247" s="189" t="e">
        <f t="shared" si="716"/>
        <v>#REF!</v>
      </c>
      <c r="AF247" s="189" t="e">
        <f t="shared" si="716"/>
        <v>#REF!</v>
      </c>
      <c r="AG247" s="189" t="e">
        <f t="shared" si="716"/>
        <v>#REF!</v>
      </c>
      <c r="AH247" s="189" t="e">
        <f t="shared" si="716"/>
        <v>#REF!</v>
      </c>
      <c r="AI247" s="189" t="e">
        <f t="shared" si="714"/>
        <v>#REF!</v>
      </c>
      <c r="AJ247" s="341" t="e">
        <f t="shared" ref="AJ247:AO247" si="717">AJ144+AJ146</f>
        <v>#REF!</v>
      </c>
      <c r="AK247" s="189" t="e">
        <f t="shared" si="717"/>
        <v>#REF!</v>
      </c>
      <c r="AL247" s="189" t="e">
        <f t="shared" si="717"/>
        <v>#REF!</v>
      </c>
      <c r="AM247" s="189" t="e">
        <f t="shared" si="717"/>
        <v>#REF!</v>
      </c>
      <c r="AN247" s="189" t="e">
        <f t="shared" si="717"/>
        <v>#REF!</v>
      </c>
      <c r="AO247" s="189" t="e">
        <f t="shared" si="717"/>
        <v>#REF!</v>
      </c>
      <c r="AP247" s="189" t="e">
        <f t="shared" si="714"/>
        <v>#REF!</v>
      </c>
      <c r="AQ247" s="341" t="e">
        <f t="shared" ref="AQ247:AV247" si="718">AQ144+AQ146</f>
        <v>#REF!</v>
      </c>
      <c r="AR247" s="189" t="e">
        <f t="shared" si="718"/>
        <v>#REF!</v>
      </c>
      <c r="AS247" s="189" t="e">
        <f t="shared" si="718"/>
        <v>#REF!</v>
      </c>
      <c r="AT247" s="189" t="e">
        <f t="shared" si="718"/>
        <v>#REF!</v>
      </c>
      <c r="AU247" s="189" t="e">
        <f t="shared" si="718"/>
        <v>#REF!</v>
      </c>
      <c r="AV247" s="189" t="e">
        <f t="shared" si="718"/>
        <v>#REF!</v>
      </c>
      <c r="AW247" s="189" t="e">
        <f t="shared" si="714"/>
        <v>#REF!</v>
      </c>
      <c r="AX247" s="341" t="e">
        <f t="shared" si="714"/>
        <v>#REF!</v>
      </c>
      <c r="AY247" s="189" t="e">
        <f t="shared" ref="AY247:AZ247" si="719">AY144+AY146</f>
        <v>#REF!</v>
      </c>
      <c r="AZ247" s="189" t="e">
        <f t="shared" si="719"/>
        <v>#REF!</v>
      </c>
      <c r="BA247" s="189" t="e">
        <f t="shared" ref="BA247:BC247" si="720">BA144+BA146</f>
        <v>#REF!</v>
      </c>
      <c r="BB247" s="189" t="e">
        <f t="shared" si="720"/>
        <v>#REF!</v>
      </c>
      <c r="BC247" s="189" t="e">
        <f t="shared" si="720"/>
        <v>#REF!</v>
      </c>
      <c r="BD247" s="384" t="e">
        <f t="shared" ref="BD247:BJ247" si="721">BD144+BD146</f>
        <v>#REF!</v>
      </c>
      <c r="BE247" s="341" t="e">
        <f t="shared" si="721"/>
        <v>#REF!</v>
      </c>
      <c r="BF247" s="189" t="e">
        <f t="shared" si="721"/>
        <v>#REF!</v>
      </c>
      <c r="BG247" s="189" t="e">
        <f t="shared" si="721"/>
        <v>#REF!</v>
      </c>
      <c r="BH247" s="189" t="e">
        <f t="shared" si="721"/>
        <v>#REF!</v>
      </c>
      <c r="BI247" s="189" t="e">
        <f t="shared" si="721"/>
        <v>#REF!</v>
      </c>
      <c r="BJ247" s="189" t="e">
        <f t="shared" si="721"/>
        <v>#REF!</v>
      </c>
      <c r="BK247" s="384" t="e">
        <f t="shared" ref="BK247" si="722">BK144+BK146</f>
        <v>#REF!</v>
      </c>
      <c r="BL247" s="189" t="e">
        <f t="shared" si="714"/>
        <v>#REF!</v>
      </c>
      <c r="BM247" s="189" t="e">
        <f t="shared" si="714"/>
        <v>#REF!</v>
      </c>
      <c r="BN247" s="189" t="e">
        <f t="shared" si="714"/>
        <v>#REF!</v>
      </c>
      <c r="BO247" s="189" t="e">
        <f t="shared" si="714"/>
        <v>#REF!</v>
      </c>
      <c r="BP247" s="189" t="e">
        <f t="shared" si="714"/>
        <v>#REF!</v>
      </c>
      <c r="BQ247" s="189" t="e">
        <f t="shared" si="714"/>
        <v>#REF!</v>
      </c>
      <c r="BR247" s="189" t="e">
        <f t="shared" si="714"/>
        <v>#REF!</v>
      </c>
    </row>
    <row r="248" spans="1:91">
      <c r="B248" s="85" t="s">
        <v>291</v>
      </c>
      <c r="D248" s="189" t="e">
        <f t="shared" ref="D248:P248" si="723">D199</f>
        <v>#REF!</v>
      </c>
      <c r="E248" s="189" t="e">
        <f t="shared" si="723"/>
        <v>#REF!</v>
      </c>
      <c r="F248" s="189" t="e">
        <f t="shared" si="723"/>
        <v>#REF!</v>
      </c>
      <c r="G248" s="189" t="e">
        <f t="shared" si="723"/>
        <v>#REF!</v>
      </c>
      <c r="H248" s="189" t="e">
        <f t="shared" si="723"/>
        <v>#REF!</v>
      </c>
      <c r="I248" s="189" t="e">
        <f t="shared" si="723"/>
        <v>#REF!</v>
      </c>
      <c r="J248" s="189" t="e">
        <f t="shared" si="723"/>
        <v>#REF!</v>
      </c>
      <c r="K248" s="189" t="e">
        <f t="shared" si="723"/>
        <v>#REF!</v>
      </c>
      <c r="L248" s="189" t="e">
        <f t="shared" si="723"/>
        <v>#REF!</v>
      </c>
      <c r="M248" s="189" t="e">
        <f t="shared" si="723"/>
        <v>#REF!</v>
      </c>
      <c r="N248" s="189" t="e">
        <f t="shared" si="723"/>
        <v>#REF!</v>
      </c>
      <c r="O248" s="189" t="e">
        <f t="shared" si="723"/>
        <v>#REF!</v>
      </c>
      <c r="P248" s="189" t="e">
        <f t="shared" si="723"/>
        <v>#REF!</v>
      </c>
      <c r="Q248" s="189" t="e">
        <f t="shared" ref="Q248:BR248" si="724">Q199</f>
        <v>#REF!</v>
      </c>
      <c r="R248" s="189" t="e">
        <f t="shared" si="724"/>
        <v>#REF!</v>
      </c>
      <c r="S248" s="189" t="e">
        <f t="shared" si="724"/>
        <v>#REF!</v>
      </c>
      <c r="T248" s="189" t="e">
        <f t="shared" si="724"/>
        <v>#REF!</v>
      </c>
      <c r="U248" s="189" t="e">
        <f t="shared" si="724"/>
        <v>#REF!</v>
      </c>
      <c r="V248" s="341" t="e">
        <f t="shared" ref="V248:AA248" si="725">V199</f>
        <v>#REF!</v>
      </c>
      <c r="W248" s="189" t="e">
        <f t="shared" si="725"/>
        <v>#REF!</v>
      </c>
      <c r="X248" s="189" t="e">
        <f t="shared" si="725"/>
        <v>#REF!</v>
      </c>
      <c r="Y248" s="189" t="e">
        <f t="shared" si="725"/>
        <v>#REF!</v>
      </c>
      <c r="Z248" s="189" t="e">
        <f t="shared" si="725"/>
        <v>#REF!</v>
      </c>
      <c r="AA248" s="189" t="e">
        <f t="shared" si="725"/>
        <v>#REF!</v>
      </c>
      <c r="AB248" s="189" t="e">
        <f t="shared" si="724"/>
        <v>#REF!</v>
      </c>
      <c r="AC248" s="341" t="e">
        <f t="shared" ref="AC248:AH248" si="726">AC199</f>
        <v>#REF!</v>
      </c>
      <c r="AD248" s="189" t="e">
        <f t="shared" si="726"/>
        <v>#REF!</v>
      </c>
      <c r="AE248" s="189" t="e">
        <f t="shared" si="726"/>
        <v>#REF!</v>
      </c>
      <c r="AF248" s="189" t="e">
        <f t="shared" si="726"/>
        <v>#REF!</v>
      </c>
      <c r="AG248" s="189" t="e">
        <f t="shared" si="726"/>
        <v>#REF!</v>
      </c>
      <c r="AH248" s="189" t="e">
        <f t="shared" si="726"/>
        <v>#REF!</v>
      </c>
      <c r="AI248" s="189" t="e">
        <f t="shared" si="724"/>
        <v>#REF!</v>
      </c>
      <c r="AJ248" s="341" t="e">
        <f t="shared" ref="AJ248:AO248" si="727">AJ199</f>
        <v>#REF!</v>
      </c>
      <c r="AK248" s="189" t="e">
        <f t="shared" si="727"/>
        <v>#REF!</v>
      </c>
      <c r="AL248" s="189" t="e">
        <f t="shared" si="727"/>
        <v>#REF!</v>
      </c>
      <c r="AM248" s="189" t="e">
        <f t="shared" si="727"/>
        <v>#REF!</v>
      </c>
      <c r="AN248" s="189" t="e">
        <f t="shared" si="727"/>
        <v>#REF!</v>
      </c>
      <c r="AO248" s="189" t="e">
        <f t="shared" si="727"/>
        <v>#REF!</v>
      </c>
      <c r="AP248" s="189" t="e">
        <f t="shared" si="724"/>
        <v>#REF!</v>
      </c>
      <c r="AQ248" s="341" t="e">
        <f t="shared" ref="AQ248:AV248" si="728">AQ199</f>
        <v>#REF!</v>
      </c>
      <c r="AR248" s="189" t="e">
        <f t="shared" si="728"/>
        <v>#REF!</v>
      </c>
      <c r="AS248" s="189" t="e">
        <f t="shared" si="728"/>
        <v>#REF!</v>
      </c>
      <c r="AT248" s="189" t="e">
        <f t="shared" si="728"/>
        <v>#REF!</v>
      </c>
      <c r="AU248" s="189" t="e">
        <f t="shared" si="728"/>
        <v>#REF!</v>
      </c>
      <c r="AV248" s="189" t="e">
        <f t="shared" si="728"/>
        <v>#REF!</v>
      </c>
      <c r="AW248" s="189" t="e">
        <f t="shared" si="724"/>
        <v>#REF!</v>
      </c>
      <c r="AX248" s="341" t="e">
        <f t="shared" si="724"/>
        <v>#REF!</v>
      </c>
      <c r="AY248" s="189" t="e">
        <f t="shared" ref="AY248:AZ248" si="729">AY199</f>
        <v>#REF!</v>
      </c>
      <c r="AZ248" s="189" t="e">
        <f t="shared" si="729"/>
        <v>#REF!</v>
      </c>
      <c r="BA248" s="189" t="e">
        <f t="shared" ref="BA248:BC248" si="730">BA199</f>
        <v>#REF!</v>
      </c>
      <c r="BB248" s="189" t="e">
        <f t="shared" si="730"/>
        <v>#REF!</v>
      </c>
      <c r="BC248" s="189" t="e">
        <f t="shared" si="730"/>
        <v>#REF!</v>
      </c>
      <c r="BD248" s="384" t="e">
        <f t="shared" ref="BD248:BJ248" si="731">BD199</f>
        <v>#REF!</v>
      </c>
      <c r="BE248" s="341" t="e">
        <f t="shared" si="731"/>
        <v>#REF!</v>
      </c>
      <c r="BF248" s="189" t="e">
        <f t="shared" si="731"/>
        <v>#REF!</v>
      </c>
      <c r="BG248" s="189" t="e">
        <f t="shared" si="731"/>
        <v>#REF!</v>
      </c>
      <c r="BH248" s="189" t="e">
        <f t="shared" si="731"/>
        <v>#REF!</v>
      </c>
      <c r="BI248" s="189" t="e">
        <f t="shared" si="731"/>
        <v>#REF!</v>
      </c>
      <c r="BJ248" s="189" t="e">
        <f t="shared" si="731"/>
        <v>#REF!</v>
      </c>
      <c r="BK248" s="384" t="e">
        <f t="shared" ref="BK248" si="732">BK199</f>
        <v>#REF!</v>
      </c>
      <c r="BL248" s="189" t="e">
        <f t="shared" si="724"/>
        <v>#REF!</v>
      </c>
      <c r="BM248" s="189" t="e">
        <f t="shared" si="724"/>
        <v>#REF!</v>
      </c>
      <c r="BN248" s="189" t="e">
        <f t="shared" si="724"/>
        <v>#REF!</v>
      </c>
      <c r="BO248" s="189" t="e">
        <f t="shared" si="724"/>
        <v>#REF!</v>
      </c>
      <c r="BP248" s="189" t="e">
        <f t="shared" si="724"/>
        <v>#REF!</v>
      </c>
      <c r="BQ248" s="189" t="e">
        <f t="shared" si="724"/>
        <v>#REF!</v>
      </c>
      <c r="BR248" s="189" t="e">
        <f t="shared" si="724"/>
        <v>#REF!</v>
      </c>
    </row>
    <row r="249" spans="1:91">
      <c r="D249" s="189"/>
      <c r="E249" s="189"/>
      <c r="F249" s="189"/>
      <c r="G249" s="189"/>
      <c r="H249" s="189"/>
      <c r="I249" s="189"/>
      <c r="J249" s="189"/>
      <c r="K249" s="189"/>
      <c r="L249" s="189"/>
      <c r="M249" s="189"/>
      <c r="N249" s="189"/>
      <c r="O249" s="189"/>
      <c r="P249" s="189"/>
      <c r="Q249" s="189"/>
      <c r="R249" s="189"/>
      <c r="S249" s="189"/>
      <c r="T249" s="189"/>
      <c r="U249" s="189"/>
      <c r="V249" s="341"/>
      <c r="W249" s="189"/>
      <c r="X249" s="189"/>
      <c r="Y249" s="189"/>
      <c r="Z249" s="189"/>
      <c r="AA249" s="189"/>
      <c r="AB249" s="189"/>
      <c r="AC249" s="341"/>
      <c r="AD249" s="189"/>
      <c r="AE249" s="189"/>
      <c r="AF249" s="189"/>
      <c r="AG249" s="189"/>
      <c r="AH249" s="189"/>
      <c r="AI249" s="189"/>
      <c r="AJ249" s="341"/>
      <c r="AK249" s="189"/>
      <c r="AL249" s="189"/>
      <c r="AM249" s="189"/>
      <c r="AN249" s="189"/>
      <c r="AO249" s="189"/>
      <c r="AP249" s="189"/>
      <c r="AQ249" s="341"/>
      <c r="AR249" s="189"/>
      <c r="AS249" s="189"/>
      <c r="AT249" s="189"/>
      <c r="AU249" s="189"/>
      <c r="AV249" s="189"/>
      <c r="AW249" s="189"/>
      <c r="AX249" s="341"/>
      <c r="AY249" s="189"/>
      <c r="AZ249" s="189"/>
      <c r="BA249" s="189"/>
      <c r="BB249" s="189"/>
      <c r="BC249" s="189"/>
      <c r="BD249" s="384"/>
      <c r="BE249" s="341"/>
      <c r="BF249" s="189"/>
      <c r="BG249" s="189"/>
      <c r="BH249" s="189"/>
      <c r="BI249" s="189"/>
      <c r="BJ249" s="189"/>
      <c r="BK249" s="384"/>
    </row>
    <row r="250" spans="1:91">
      <c r="B250" s="210" t="s">
        <v>304</v>
      </c>
      <c r="D250" s="189" t="e">
        <f t="shared" ref="D250:P250" si="733">C247-D247</f>
        <v>#REF!</v>
      </c>
      <c r="E250" s="189" t="e">
        <f t="shared" si="733"/>
        <v>#REF!</v>
      </c>
      <c r="F250" s="189" t="e">
        <f t="shared" si="733"/>
        <v>#REF!</v>
      </c>
      <c r="G250" s="189" t="e">
        <f t="shared" si="733"/>
        <v>#REF!</v>
      </c>
      <c r="H250" s="189" t="e">
        <f t="shared" si="733"/>
        <v>#REF!</v>
      </c>
      <c r="I250" s="189" t="e">
        <f t="shared" si="733"/>
        <v>#REF!</v>
      </c>
      <c r="J250" s="189" t="e">
        <f t="shared" si="733"/>
        <v>#REF!</v>
      </c>
      <c r="K250" s="189" t="e">
        <f t="shared" si="733"/>
        <v>#REF!</v>
      </c>
      <c r="L250" s="189" t="e">
        <f t="shared" si="733"/>
        <v>#REF!</v>
      </c>
      <c r="M250" s="189" t="e">
        <f t="shared" si="733"/>
        <v>#REF!</v>
      </c>
      <c r="N250" s="189" t="e">
        <f t="shared" si="733"/>
        <v>#REF!</v>
      </c>
      <c r="O250" s="189" t="e">
        <f t="shared" si="733"/>
        <v>#REF!</v>
      </c>
      <c r="P250" s="189" t="e">
        <f t="shared" si="733"/>
        <v>#REF!</v>
      </c>
      <c r="Q250" s="189" t="e">
        <f t="shared" ref="Q250:U250" si="734">P247-Q247</f>
        <v>#REF!</v>
      </c>
      <c r="R250" s="189" t="e">
        <f t="shared" si="734"/>
        <v>#REF!</v>
      </c>
      <c r="S250" s="189" t="e">
        <f t="shared" si="734"/>
        <v>#REF!</v>
      </c>
      <c r="T250" s="189" t="e">
        <f t="shared" si="734"/>
        <v>#REF!</v>
      </c>
      <c r="U250" s="189" t="e">
        <f t="shared" si="734"/>
        <v>#REF!</v>
      </c>
      <c r="V250" s="341" t="e">
        <f>#REF!-V247</f>
        <v>#REF!</v>
      </c>
      <c r="W250" s="189" t="e">
        <f>#REF!-W247</f>
        <v>#REF!</v>
      </c>
      <c r="X250" s="189" t="e">
        <f>#REF!-X247</f>
        <v>#REF!</v>
      </c>
      <c r="Y250" s="189" t="e">
        <f>#REF!-Y247</f>
        <v>#REF!</v>
      </c>
      <c r="Z250" s="189" t="e">
        <f>G247-Z247</f>
        <v>#REF!</v>
      </c>
      <c r="AA250" s="189" t="e">
        <f>N247-AA247</f>
        <v>#REF!</v>
      </c>
      <c r="AB250" s="189" t="e">
        <f>U247-AB247</f>
        <v>#REF!</v>
      </c>
      <c r="AC250" s="341" t="e">
        <f>#REF!-AC247</f>
        <v>#REF!</v>
      </c>
      <c r="AD250" s="189" t="e">
        <f>#REF!-AD247</f>
        <v>#REF!</v>
      </c>
      <c r="AE250" s="189" t="e">
        <f>#REF!-AE247</f>
        <v>#REF!</v>
      </c>
      <c r="AF250" s="189" t="e">
        <f>G247-AF247</f>
        <v>#REF!</v>
      </c>
      <c r="AG250" s="189" t="e">
        <f>N247-AG247</f>
        <v>#REF!</v>
      </c>
      <c r="AH250" s="189" t="e">
        <f>U247-AH247</f>
        <v>#REF!</v>
      </c>
      <c r="AI250" s="189" t="e">
        <f>AB247-AI247</f>
        <v>#REF!</v>
      </c>
      <c r="AJ250" s="341" t="e">
        <f>E247-AJ247</f>
        <v>#REF!</v>
      </c>
      <c r="AK250" s="189" t="e">
        <f>F247-AK247</f>
        <v>#REF!</v>
      </c>
      <c r="AL250" s="189" t="e">
        <f>G247-AL247</f>
        <v>#REF!</v>
      </c>
      <c r="AM250" s="189" t="e">
        <f>N247-AM247</f>
        <v>#REF!</v>
      </c>
      <c r="AN250" s="189" t="e">
        <f>U247-AN247</f>
        <v>#REF!</v>
      </c>
      <c r="AO250" s="189" t="e">
        <f>AB247-AO247</f>
        <v>#REF!</v>
      </c>
      <c r="AP250" s="189" t="e">
        <f>AI247-AP247</f>
        <v>#REF!</v>
      </c>
      <c r="AQ250" s="341" t="e">
        <f>L247-AQ247</f>
        <v>#REF!</v>
      </c>
      <c r="AR250" s="189" t="e">
        <f>M247-AR247</f>
        <v>#REF!</v>
      </c>
      <c r="AS250" s="189" t="e">
        <f>N247-AS247</f>
        <v>#REF!</v>
      </c>
      <c r="AT250" s="189" t="e">
        <f>U247-AT247</f>
        <v>#REF!</v>
      </c>
      <c r="AU250" s="189" t="e">
        <f>AB247-AU247</f>
        <v>#REF!</v>
      </c>
      <c r="AV250" s="189" t="e">
        <f>AI247-AV247</f>
        <v>#REF!</v>
      </c>
      <c r="AW250" s="189" t="e">
        <f>AP247-AW247</f>
        <v>#REF!</v>
      </c>
      <c r="AX250" s="341" t="e">
        <f>S247-AX247</f>
        <v>#REF!</v>
      </c>
      <c r="AY250" s="189" t="e">
        <f>T247-AY247</f>
        <v>#REF!</v>
      </c>
      <c r="AZ250" s="189" t="e">
        <f>U247-AZ247</f>
        <v>#REF!</v>
      </c>
      <c r="BA250" s="189" t="e">
        <f>AB247-BA247</f>
        <v>#REF!</v>
      </c>
      <c r="BB250" s="189" t="e">
        <f>AI247-BB247</f>
        <v>#REF!</v>
      </c>
      <c r="BC250" s="189" t="e">
        <f>AP247-BC247</f>
        <v>#REF!</v>
      </c>
      <c r="BD250" s="384" t="e">
        <f t="shared" ref="BD250" si="735">AW247-BD247</f>
        <v>#REF!</v>
      </c>
      <c r="BE250" s="341" t="e">
        <f>Z247-BE247</f>
        <v>#REF!</v>
      </c>
      <c r="BF250" s="189" t="e">
        <f>AA247-BF247</f>
        <v>#REF!</v>
      </c>
      <c r="BG250" s="189" t="e">
        <f>AB247-BG247</f>
        <v>#REF!</v>
      </c>
      <c r="BH250" s="189" t="e">
        <f>AI247-BH247</f>
        <v>#REF!</v>
      </c>
      <c r="BI250" s="189" t="e">
        <f>AP247-BI247</f>
        <v>#REF!</v>
      </c>
      <c r="BJ250" s="189" t="e">
        <f>AW247-BJ247</f>
        <v>#REF!</v>
      </c>
      <c r="BK250" s="384" t="e">
        <f t="shared" ref="BK250" si="736">BD247-BK247</f>
        <v>#REF!</v>
      </c>
      <c r="BL250" s="189" t="e">
        <f>BK247-BL247</f>
        <v>#REF!</v>
      </c>
      <c r="BM250" s="189" t="e">
        <f t="shared" ref="BM250:BO250" si="737">BL247-BM247</f>
        <v>#REF!</v>
      </c>
      <c r="BN250" s="189" t="e">
        <f t="shared" si="737"/>
        <v>#REF!</v>
      </c>
      <c r="BO250" s="189" t="e">
        <f t="shared" si="737"/>
        <v>#REF!</v>
      </c>
      <c r="BP250" s="189" t="e">
        <f>BO247-BP247</f>
        <v>#REF!</v>
      </c>
      <c r="BQ250" s="189" t="e">
        <f>BP247-BQ247</f>
        <v>#REF!</v>
      </c>
      <c r="BR250" s="189" t="e">
        <f>BQ247-BR247</f>
        <v>#REF!</v>
      </c>
    </row>
    <row r="251" spans="1:91">
      <c r="B251" s="210" t="s">
        <v>305</v>
      </c>
      <c r="D251" s="189" t="e">
        <f t="shared" ref="D251:P251" si="738">D248-C248</f>
        <v>#REF!</v>
      </c>
      <c r="E251" s="189" t="e">
        <f t="shared" si="738"/>
        <v>#REF!</v>
      </c>
      <c r="F251" s="189" t="e">
        <f t="shared" si="738"/>
        <v>#REF!</v>
      </c>
      <c r="G251" s="189" t="e">
        <f t="shared" si="738"/>
        <v>#REF!</v>
      </c>
      <c r="H251" s="189" t="e">
        <f t="shared" si="738"/>
        <v>#REF!</v>
      </c>
      <c r="I251" s="189" t="e">
        <f t="shared" si="738"/>
        <v>#REF!</v>
      </c>
      <c r="J251" s="189" t="e">
        <f t="shared" si="738"/>
        <v>#REF!</v>
      </c>
      <c r="K251" s="189" t="e">
        <f t="shared" si="738"/>
        <v>#REF!</v>
      </c>
      <c r="L251" s="189" t="e">
        <f t="shared" si="738"/>
        <v>#REF!</v>
      </c>
      <c r="M251" s="189" t="e">
        <f t="shared" si="738"/>
        <v>#REF!</v>
      </c>
      <c r="N251" s="189" t="e">
        <f t="shared" si="738"/>
        <v>#REF!</v>
      </c>
      <c r="O251" s="189" t="e">
        <f t="shared" si="738"/>
        <v>#REF!</v>
      </c>
      <c r="P251" s="189" t="e">
        <f t="shared" si="738"/>
        <v>#REF!</v>
      </c>
      <c r="Q251" s="189" t="e">
        <f t="shared" ref="Q251:U251" si="739">Q248-P248</f>
        <v>#REF!</v>
      </c>
      <c r="R251" s="189" t="e">
        <f t="shared" si="739"/>
        <v>#REF!</v>
      </c>
      <c r="S251" s="189" t="e">
        <f t="shared" si="739"/>
        <v>#REF!</v>
      </c>
      <c r="T251" s="189" t="e">
        <f t="shared" si="739"/>
        <v>#REF!</v>
      </c>
      <c r="U251" s="189" t="e">
        <f t="shared" si="739"/>
        <v>#REF!</v>
      </c>
      <c r="V251" s="341" t="e">
        <f>V248-#REF!</f>
        <v>#REF!</v>
      </c>
      <c r="W251" s="189" t="e">
        <f>W248-#REF!</f>
        <v>#REF!</v>
      </c>
      <c r="X251" s="189" t="e">
        <f>X248-#REF!</f>
        <v>#REF!</v>
      </c>
      <c r="Y251" s="189" t="e">
        <f>Y248-#REF!</f>
        <v>#REF!</v>
      </c>
      <c r="Z251" s="189" t="e">
        <f>Z248-G248</f>
        <v>#REF!</v>
      </c>
      <c r="AA251" s="189" t="e">
        <f>AA248-N248</f>
        <v>#REF!</v>
      </c>
      <c r="AB251" s="189" t="e">
        <f>AB248-U248</f>
        <v>#REF!</v>
      </c>
      <c r="AC251" s="341" t="e">
        <f>AC248-#REF!</f>
        <v>#REF!</v>
      </c>
      <c r="AD251" s="189" t="e">
        <f>AD248-#REF!</f>
        <v>#REF!</v>
      </c>
      <c r="AE251" s="189" t="e">
        <f>AE248-#REF!</f>
        <v>#REF!</v>
      </c>
      <c r="AF251" s="189" t="e">
        <f>AF248-G248</f>
        <v>#REF!</v>
      </c>
      <c r="AG251" s="189" t="e">
        <f>AG248-N248</f>
        <v>#REF!</v>
      </c>
      <c r="AH251" s="189" t="e">
        <f>AH248-U248</f>
        <v>#REF!</v>
      </c>
      <c r="AI251" s="189" t="e">
        <f>AI248-AB248</f>
        <v>#REF!</v>
      </c>
      <c r="AJ251" s="341" t="e">
        <f>AJ248-E248</f>
        <v>#REF!</v>
      </c>
      <c r="AK251" s="189" t="e">
        <f>AK248-F248</f>
        <v>#REF!</v>
      </c>
      <c r="AL251" s="189" t="e">
        <f>AL248-G248</f>
        <v>#REF!</v>
      </c>
      <c r="AM251" s="189" t="e">
        <f>AM248-N248</f>
        <v>#REF!</v>
      </c>
      <c r="AN251" s="189" t="e">
        <f>AN248-U248</f>
        <v>#REF!</v>
      </c>
      <c r="AO251" s="189" t="e">
        <f>AO248-AB248</f>
        <v>#REF!</v>
      </c>
      <c r="AP251" s="189" t="e">
        <f>AP248-AI248</f>
        <v>#REF!</v>
      </c>
      <c r="AQ251" s="341" t="e">
        <f>AQ248-L248</f>
        <v>#REF!</v>
      </c>
      <c r="AR251" s="189" t="e">
        <f>AR248-M248</f>
        <v>#REF!</v>
      </c>
      <c r="AS251" s="189" t="e">
        <f>AS248-N248</f>
        <v>#REF!</v>
      </c>
      <c r="AT251" s="189" t="e">
        <f>AT248-U248</f>
        <v>#REF!</v>
      </c>
      <c r="AU251" s="189" t="e">
        <f>AU248-AB248</f>
        <v>#REF!</v>
      </c>
      <c r="AV251" s="189" t="e">
        <f>AV248-AI248</f>
        <v>#REF!</v>
      </c>
      <c r="AW251" s="189" t="e">
        <f>AW248-AP248</f>
        <v>#REF!</v>
      </c>
      <c r="AX251" s="341" t="e">
        <f>AX248-S248</f>
        <v>#REF!</v>
      </c>
      <c r="AY251" s="189" t="e">
        <f>AY248-T248</f>
        <v>#REF!</v>
      </c>
      <c r="AZ251" s="189" t="e">
        <f>AZ248-U248</f>
        <v>#REF!</v>
      </c>
      <c r="BA251" s="189" t="e">
        <f>BA248-AB248</f>
        <v>#REF!</v>
      </c>
      <c r="BB251" s="189" t="e">
        <f>BB248-AI248</f>
        <v>#REF!</v>
      </c>
      <c r="BC251" s="189" t="e">
        <f>BC248-AP248</f>
        <v>#REF!</v>
      </c>
      <c r="BD251" s="384" t="e">
        <f t="shared" ref="BD251" si="740">BD248-AW248</f>
        <v>#REF!</v>
      </c>
      <c r="BE251" s="341" t="e">
        <f>BE248-Z248</f>
        <v>#REF!</v>
      </c>
      <c r="BF251" s="189" t="e">
        <f>BF248-AA248</f>
        <v>#REF!</v>
      </c>
      <c r="BG251" s="189" t="e">
        <f>BG248-AB248</f>
        <v>#REF!</v>
      </c>
      <c r="BH251" s="189" t="e">
        <f>BH248-AI248</f>
        <v>#REF!</v>
      </c>
      <c r="BI251" s="189" t="e">
        <f>BI248-AP248</f>
        <v>#REF!</v>
      </c>
      <c r="BJ251" s="189" t="e">
        <f>BJ248-AW248</f>
        <v>#REF!</v>
      </c>
      <c r="BK251" s="384" t="e">
        <f t="shared" ref="BK251" si="741">BK248-BD248</f>
        <v>#REF!</v>
      </c>
      <c r="BL251" s="189" t="e">
        <f>BL248-BK248</f>
        <v>#REF!</v>
      </c>
      <c r="BM251" s="189" t="e">
        <f t="shared" ref="BM251:BO251" si="742">BM248-BL248</f>
        <v>#REF!</v>
      </c>
      <c r="BN251" s="189" t="e">
        <f t="shared" si="742"/>
        <v>#REF!</v>
      </c>
      <c r="BO251" s="189" t="e">
        <f t="shared" si="742"/>
        <v>#REF!</v>
      </c>
      <c r="BP251" s="189" t="e">
        <f>BP248-BO248</f>
        <v>#REF!</v>
      </c>
      <c r="BQ251" s="189" t="e">
        <f>BQ248-BP248</f>
        <v>#REF!</v>
      </c>
      <c r="BR251" s="189" t="e">
        <f>BR248-BQ248</f>
        <v>#REF!</v>
      </c>
    </row>
    <row r="252" spans="1:91">
      <c r="V252" s="341"/>
      <c r="W252" s="189"/>
      <c r="X252" s="189"/>
      <c r="Y252" s="189"/>
      <c r="Z252" s="189"/>
      <c r="AA252" s="189"/>
      <c r="AC252" s="341"/>
      <c r="AD252" s="189"/>
      <c r="AE252" s="189"/>
      <c r="AF252" s="189"/>
      <c r="AG252" s="189"/>
      <c r="AH252" s="189"/>
      <c r="AJ252" s="341"/>
      <c r="AK252" s="189"/>
      <c r="AL252" s="189"/>
      <c r="AM252" s="189"/>
      <c r="AN252" s="189"/>
      <c r="AO252" s="189"/>
      <c r="AQ252" s="341"/>
      <c r="AR252" s="189"/>
      <c r="AS252" s="189"/>
      <c r="AT252" s="189"/>
      <c r="AU252" s="189"/>
      <c r="AV252" s="189"/>
      <c r="AW252" s="189"/>
      <c r="AX252" s="341"/>
      <c r="AY252" s="189"/>
      <c r="AZ252" s="189"/>
      <c r="BA252" s="189"/>
      <c r="BB252" s="189"/>
      <c r="BC252" s="189"/>
      <c r="BD252" s="384"/>
      <c r="BE252" s="341"/>
      <c r="BF252" s="189"/>
      <c r="BG252" s="189"/>
      <c r="BH252" s="189"/>
      <c r="BI252" s="189"/>
      <c r="BJ252" s="189"/>
      <c r="BK252" s="384"/>
    </row>
    <row r="253" spans="1:91" ht="14.25" customHeight="1">
      <c r="A253" s="105" t="s">
        <v>178</v>
      </c>
      <c r="B253" s="117" t="s">
        <v>126</v>
      </c>
      <c r="C253" s="117"/>
      <c r="D253" s="146" t="e">
        <f>INDEX(#REF!, MATCH($A253,#REF!, 0), MATCH(D$4,#REF!, 0))</f>
        <v>#REF!</v>
      </c>
      <c r="E253" s="146" t="e">
        <f>INDEX(#REF!, MATCH($A253,#REF!, 0), MATCH(E$4,#REF!, 0))</f>
        <v>#REF!</v>
      </c>
      <c r="F253" s="146" t="e">
        <f>INDEX(#REF!, MATCH($A253,#REF!, 0), MATCH(F$4,#REF!, 0))</f>
        <v>#REF!</v>
      </c>
      <c r="G253" s="146" t="e">
        <f>INDEX(#REF!, MATCH($A253,#REF!, 0), MATCH(G$4,#REF!, 0))</f>
        <v>#REF!</v>
      </c>
      <c r="H253" s="146" t="e">
        <f>INDEX(#REF!, MATCH($A253,#REF!, 0), MATCH(H$4,#REF!, 0))</f>
        <v>#REF!</v>
      </c>
      <c r="I253" s="146" t="e">
        <f>INDEX(#REF!, MATCH($A253,#REF!, 0), MATCH(I$4,#REF!, 0))</f>
        <v>#REF!</v>
      </c>
      <c r="J253" s="146" t="e">
        <f>INDEX(#REF!, MATCH($A253,#REF!, 0), MATCH(J$4,#REF!, 0))</f>
        <v>#REF!</v>
      </c>
      <c r="K253" s="146" t="e">
        <f>INDEX(#REF!, MATCH($A253,#REF!, 0), MATCH(K$4,#REF!, 0))</f>
        <v>#REF!</v>
      </c>
      <c r="L253" s="146" t="e">
        <f>INDEX(#REF!, MATCH($A253,#REF!, 0), MATCH(L$4,#REF!, 0))</f>
        <v>#REF!</v>
      </c>
      <c r="M253" s="146" t="e">
        <f>INDEX(#REF!, MATCH($A253,#REF!, 0), MATCH(M$4,#REF!, 0))</f>
        <v>#REF!</v>
      </c>
      <c r="N253" s="146" t="e">
        <f>INDEX(#REF!, MATCH($A253,#REF!, 0), MATCH(N$4,#REF!, 0))</f>
        <v>#REF!</v>
      </c>
      <c r="O253" s="146" t="e">
        <f>INDEX(#REF!, MATCH($A253,#REF!, 0), MATCH(O$4,#REF!, 0))</f>
        <v>#REF!</v>
      </c>
      <c r="P253" s="146" t="e">
        <f>INDEX(#REF!, MATCH($A253,#REF!, 0), MATCH(P$4,#REF!, 0))</f>
        <v>#REF!</v>
      </c>
      <c r="Q253" s="146" t="e">
        <f>INDEX(#REF!, MATCH($A253,#REF!, 0), MATCH(Q$4,#REF!, 0))</f>
        <v>#REF!</v>
      </c>
      <c r="R253" s="146" t="e">
        <f>INDEX(#REF!, MATCH($A253,#REF!, 0), MATCH(R$4,#REF!, 0))</f>
        <v>#REF!</v>
      </c>
      <c r="S253" s="146" t="e">
        <f>INDEX(#REF!, MATCH($A253,#REF!, 0), MATCH(S$4,#REF!, 0))</f>
        <v>#REF!</v>
      </c>
      <c r="T253" s="146" t="e">
        <f>INDEX(#REF!, MATCH($A253,#REF!, 0), MATCH(T$4,#REF!, 0))</f>
        <v>#REF!</v>
      </c>
      <c r="U253" s="146" t="e">
        <f>INDEX(#REF!, MATCH($A253,#REF!, 0), MATCH(U$4,#REF!, 0))</f>
        <v>#REF!</v>
      </c>
      <c r="V253" s="320" t="e">
        <f>INDEX(#REF!, MATCH($A253,#REF!, 0), MATCH(V$4,#REF!, 0))</f>
        <v>#REF!</v>
      </c>
      <c r="W253" s="146" t="e">
        <f>INDEX(#REF!, MATCH($A253,#REF!, 0), MATCH(W$4,#REF!, 0))</f>
        <v>#REF!</v>
      </c>
      <c r="X253" s="146" t="e">
        <f>INDEX(#REF!, MATCH($A253,#REF!, 0), MATCH(X$4,#REF!, 0))</f>
        <v>#REF!</v>
      </c>
      <c r="Y253" s="146" t="e">
        <f>INDEX(#REF!, MATCH($A253,#REF!, 0), MATCH(Y$4,#REF!, 0))</f>
        <v>#REF!</v>
      </c>
      <c r="Z253" s="146" t="e">
        <f>INDEX(#REF!, MATCH($A253,#REF!, 0), MATCH(Z$4,#REF!, 0))</f>
        <v>#REF!</v>
      </c>
      <c r="AA253" s="146" t="e">
        <f>INDEX(#REF!, MATCH($A253,#REF!, 0), MATCH(AA$4,#REF!, 0))</f>
        <v>#REF!</v>
      </c>
      <c r="AB253" s="146" t="e">
        <f>INDEX(#REF!, MATCH($A253,#REF!, 0), MATCH(AB$4,#REF!, 0))</f>
        <v>#REF!</v>
      </c>
      <c r="AC253" s="320" t="e">
        <f>INDEX(#REF!, MATCH($A253,#REF!, 0), MATCH(AC$4,#REF!, 0))</f>
        <v>#REF!</v>
      </c>
      <c r="AD253" s="146" t="e">
        <f>INDEX(#REF!, MATCH($A253,#REF!, 0), MATCH(AD$4,#REF!, 0))</f>
        <v>#REF!</v>
      </c>
      <c r="AE253" s="146" t="e">
        <f>INDEX(#REF!, MATCH($A253,#REF!, 0), MATCH(AE$4,#REF!, 0))</f>
        <v>#REF!</v>
      </c>
      <c r="AF253" s="146" t="e">
        <f>INDEX(#REF!, MATCH($A253,#REF!, 0), MATCH(AF$4,#REF!, 0))</f>
        <v>#REF!</v>
      </c>
      <c r="AG253" s="146" t="e">
        <f>INDEX(#REF!, MATCH($A253,#REF!, 0), MATCH(AG$4,#REF!, 0))</f>
        <v>#REF!</v>
      </c>
      <c r="AH253" s="146" t="e">
        <f>INDEX(#REF!, MATCH($A253,#REF!, 0), MATCH(AH$4,#REF!, 0))</f>
        <v>#REF!</v>
      </c>
      <c r="AI253" s="146" t="e">
        <f>INDEX(#REF!, MATCH($A253,#REF!, 0), MATCH(AI$4,#REF!, 0))</f>
        <v>#REF!</v>
      </c>
      <c r="AJ253" s="320" t="e">
        <f>INDEX(#REF!, MATCH($A253,#REF!, 0), MATCH(AJ$4,#REF!, 0))</f>
        <v>#REF!</v>
      </c>
      <c r="AK253" s="146" t="e">
        <f>INDEX(#REF!, MATCH($A253,#REF!, 0), MATCH(AK$4,#REF!, 0))</f>
        <v>#REF!</v>
      </c>
      <c r="AL253" s="146" t="e">
        <f>INDEX(#REF!, MATCH($A253,#REF!, 0), MATCH(AL$4,#REF!, 0))</f>
        <v>#REF!</v>
      </c>
      <c r="AM253" s="146" t="e">
        <f>INDEX(#REF!, MATCH($A253,#REF!, 0), MATCH(AM$4,#REF!, 0))</f>
        <v>#REF!</v>
      </c>
      <c r="AN253" s="146" t="e">
        <f>INDEX(#REF!, MATCH($A253,#REF!, 0), MATCH(AN$4,#REF!, 0))</f>
        <v>#REF!</v>
      </c>
      <c r="AO253" s="146" t="e">
        <f>INDEX(#REF!, MATCH($A253,#REF!, 0), MATCH(AO$4,#REF!, 0))</f>
        <v>#REF!</v>
      </c>
      <c r="AP253" s="146" t="e">
        <f>INDEX(#REF!, MATCH($A253,#REF!, 0), MATCH(AP$4,#REF!, 0))</f>
        <v>#REF!</v>
      </c>
      <c r="AQ253" s="320" t="e">
        <f>INDEX(#REF!, MATCH($A253,#REF!, 0), MATCH(AQ$4,#REF!, 0))</f>
        <v>#REF!</v>
      </c>
      <c r="AR253" s="146" t="e">
        <f>INDEX(#REF!, MATCH($A253,#REF!, 0), MATCH(AR$4,#REF!, 0))</f>
        <v>#REF!</v>
      </c>
      <c r="AS253" s="146" t="e">
        <f>INDEX(#REF!, MATCH($A253,#REF!, 0), MATCH(AS$4,#REF!, 0))</f>
        <v>#REF!</v>
      </c>
      <c r="AT253" s="146" t="e">
        <f>INDEX(#REF!, MATCH($A253,#REF!, 0), MATCH(AT$4,#REF!, 0))</f>
        <v>#REF!</v>
      </c>
      <c r="AU253" s="146" t="e">
        <f>INDEX(#REF!, MATCH($A253,#REF!, 0), MATCH(AU$4,#REF!, 0))</f>
        <v>#REF!</v>
      </c>
      <c r="AV253" s="146" t="e">
        <f>INDEX(#REF!, MATCH($A253,#REF!, 0), MATCH(AV$4,#REF!, 0))</f>
        <v>#REF!</v>
      </c>
      <c r="AW253" s="146" t="e">
        <f>INDEX(#REF!, MATCH($A253,#REF!, 0), MATCH(AW$4,#REF!, 0))</f>
        <v>#REF!</v>
      </c>
      <c r="AX253" s="320" t="e">
        <f>INDEX(#REF!, MATCH($A253,#REF!, 0), MATCH(AX$4,#REF!, 0))</f>
        <v>#REF!</v>
      </c>
      <c r="AY253" s="146" t="e">
        <f>INDEX(#REF!, MATCH($A253,#REF!, 0), MATCH(AY$4,#REF!, 0))</f>
        <v>#REF!</v>
      </c>
      <c r="AZ253" s="146" t="e">
        <f>INDEX(#REF!, MATCH($A253,#REF!, 0), MATCH(AZ$4,#REF!, 0))</f>
        <v>#REF!</v>
      </c>
      <c r="BA253" s="146" t="e">
        <f>INDEX(#REF!, MATCH($A253,#REF!, 0), MATCH(BA$4,#REF!, 0))</f>
        <v>#REF!</v>
      </c>
      <c r="BB253" s="146" t="e">
        <f>INDEX(#REF!, MATCH($A253,#REF!, 0), MATCH(BB$4,#REF!, 0))</f>
        <v>#REF!</v>
      </c>
      <c r="BC253" s="146" t="e">
        <f>INDEX(#REF!, MATCH($A253,#REF!, 0), MATCH(BC$4,#REF!, 0))</f>
        <v>#REF!</v>
      </c>
      <c r="BD253" s="364" t="e">
        <f>INDEX(#REF!, MATCH($A253,#REF!, 0), MATCH(BD$4,#REF!, 0))</f>
        <v>#REF!</v>
      </c>
      <c r="BE253" s="320" t="e">
        <f>INDEX(#REF!, MATCH($A253,#REF!, 0), MATCH(BE$4,#REF!, 0))</f>
        <v>#REF!</v>
      </c>
      <c r="BF253" s="146" t="e">
        <f>INDEX(#REF!, MATCH($A253,#REF!, 0), MATCH(BF$4,#REF!, 0))</f>
        <v>#REF!</v>
      </c>
      <c r="BG253" s="146" t="e">
        <f>INDEX(#REF!, MATCH($A253,#REF!, 0), MATCH(BG$4,#REF!, 0))</f>
        <v>#REF!</v>
      </c>
      <c r="BH253" s="146" t="e">
        <f>INDEX(#REF!, MATCH($A253,#REF!, 0), MATCH(BH$4,#REF!, 0))</f>
        <v>#REF!</v>
      </c>
      <c r="BI253" s="146" t="e">
        <f>INDEX(#REF!, MATCH($A253,#REF!, 0), MATCH(BI$4,#REF!, 0))</f>
        <v>#REF!</v>
      </c>
      <c r="BJ253" s="146" t="e">
        <f>INDEX(#REF!, MATCH($A253,#REF!, 0), MATCH(BJ$4,#REF!, 0))</f>
        <v>#REF!</v>
      </c>
      <c r="BK253" s="364" t="e">
        <f>INDEX(#REF!, MATCH($A253,#REF!, 0), MATCH(BK$4,#REF!, 0))</f>
        <v>#REF!</v>
      </c>
      <c r="BL253" s="112" t="e">
        <f>BK253</f>
        <v>#REF!</v>
      </c>
      <c r="BM253" s="112" t="e">
        <f t="shared" ref="BM253:BO255" si="743">BL253</f>
        <v>#REF!</v>
      </c>
      <c r="BN253" s="112" t="e">
        <f t="shared" si="743"/>
        <v>#REF!</v>
      </c>
      <c r="BO253" s="112" t="e">
        <f t="shared" si="743"/>
        <v>#REF!</v>
      </c>
      <c r="BP253" s="112" t="e">
        <f>BO253</f>
        <v>#REF!</v>
      </c>
      <c r="BQ253" s="112" t="e">
        <f>BP253</f>
        <v>#REF!</v>
      </c>
      <c r="BR253" s="112" t="e">
        <f>BQ253</f>
        <v>#REF!</v>
      </c>
      <c r="BT253" s="121"/>
    </row>
    <row r="254" spans="1:91" ht="14.25" customHeight="1">
      <c r="A254" s="105"/>
      <c r="B254" s="117" t="s">
        <v>306</v>
      </c>
      <c r="C254" s="117"/>
      <c r="D254" s="146" t="e">
        <f t="shared" ref="D254:U254" si="744">C253-D253</f>
        <v>#REF!</v>
      </c>
      <c r="E254" s="146" t="e">
        <f t="shared" si="744"/>
        <v>#REF!</v>
      </c>
      <c r="F254" s="146" t="e">
        <f t="shared" si="744"/>
        <v>#REF!</v>
      </c>
      <c r="G254" s="146" t="e">
        <f t="shared" si="744"/>
        <v>#REF!</v>
      </c>
      <c r="H254" s="146" t="e">
        <f t="shared" si="744"/>
        <v>#REF!</v>
      </c>
      <c r="I254" s="146" t="e">
        <f t="shared" si="744"/>
        <v>#REF!</v>
      </c>
      <c r="J254" s="146" t="e">
        <f t="shared" si="744"/>
        <v>#REF!</v>
      </c>
      <c r="K254" s="146" t="e">
        <f t="shared" si="744"/>
        <v>#REF!</v>
      </c>
      <c r="L254" s="146" t="e">
        <f t="shared" si="744"/>
        <v>#REF!</v>
      </c>
      <c r="M254" s="146" t="e">
        <f t="shared" si="744"/>
        <v>#REF!</v>
      </c>
      <c r="N254" s="146" t="e">
        <f t="shared" si="744"/>
        <v>#REF!</v>
      </c>
      <c r="O254" s="146" t="e">
        <f t="shared" si="744"/>
        <v>#REF!</v>
      </c>
      <c r="P254" s="146" t="e">
        <f t="shared" si="744"/>
        <v>#REF!</v>
      </c>
      <c r="Q254" s="146" t="e">
        <f t="shared" si="744"/>
        <v>#REF!</v>
      </c>
      <c r="R254" s="146" t="e">
        <f t="shared" si="744"/>
        <v>#REF!</v>
      </c>
      <c r="S254" s="146" t="e">
        <f t="shared" si="744"/>
        <v>#REF!</v>
      </c>
      <c r="T254" s="146" t="e">
        <f t="shared" si="744"/>
        <v>#REF!</v>
      </c>
      <c r="U254" s="146" t="e">
        <f t="shared" si="744"/>
        <v>#REF!</v>
      </c>
      <c r="V254" s="320" t="e">
        <f>#REF!-V253</f>
        <v>#REF!</v>
      </c>
      <c r="W254" s="146" t="e">
        <f>#REF!-W253</f>
        <v>#REF!</v>
      </c>
      <c r="X254" s="146" t="e">
        <f>#REF!-X253</f>
        <v>#REF!</v>
      </c>
      <c r="Y254" s="146" t="e">
        <f>#REF!-Y253</f>
        <v>#REF!</v>
      </c>
      <c r="Z254" s="146" t="e">
        <f>G253-Z253</f>
        <v>#REF!</v>
      </c>
      <c r="AA254" s="146" t="e">
        <f>N253-AA253</f>
        <v>#REF!</v>
      </c>
      <c r="AB254" s="146" t="e">
        <f>U253-AB253</f>
        <v>#REF!</v>
      </c>
      <c r="AC254" s="320" t="e">
        <f>#REF!-AC253</f>
        <v>#REF!</v>
      </c>
      <c r="AD254" s="146" t="e">
        <f>#REF!-AD253</f>
        <v>#REF!</v>
      </c>
      <c r="AE254" s="146" t="e">
        <f>#REF!-AE253</f>
        <v>#REF!</v>
      </c>
      <c r="AF254" s="146" t="e">
        <f>G253-AF253</f>
        <v>#REF!</v>
      </c>
      <c r="AG254" s="146" t="e">
        <f>N253-AG253</f>
        <v>#REF!</v>
      </c>
      <c r="AH254" s="146" t="e">
        <f>U253-AH253</f>
        <v>#REF!</v>
      </c>
      <c r="AI254" s="146" t="e">
        <f>AB253-AI253</f>
        <v>#REF!</v>
      </c>
      <c r="AJ254" s="320" t="e">
        <f>E253-AJ253</f>
        <v>#REF!</v>
      </c>
      <c r="AK254" s="146" t="e">
        <f>F253-AK253</f>
        <v>#REF!</v>
      </c>
      <c r="AL254" s="146" t="e">
        <f>G253-AL253</f>
        <v>#REF!</v>
      </c>
      <c r="AM254" s="146" t="e">
        <f>N253-AM253</f>
        <v>#REF!</v>
      </c>
      <c r="AN254" s="146" t="e">
        <f>U253-AN253</f>
        <v>#REF!</v>
      </c>
      <c r="AO254" s="146" t="e">
        <f>AB253-AO253</f>
        <v>#REF!</v>
      </c>
      <c r="AP254" s="146" t="e">
        <f>AI253-AP253</f>
        <v>#REF!</v>
      </c>
      <c r="AQ254" s="320" t="e">
        <f>L253-AQ253</f>
        <v>#REF!</v>
      </c>
      <c r="AR254" s="146" t="e">
        <f>M253-AR253</f>
        <v>#REF!</v>
      </c>
      <c r="AS254" s="146" t="e">
        <f>N253-AS253</f>
        <v>#REF!</v>
      </c>
      <c r="AT254" s="146" t="e">
        <f>U253-AT253</f>
        <v>#REF!</v>
      </c>
      <c r="AU254" s="146" t="e">
        <f>AB253-AU253</f>
        <v>#REF!</v>
      </c>
      <c r="AV254" s="146" t="e">
        <f>AI253-AV253</f>
        <v>#REF!</v>
      </c>
      <c r="AW254" s="146" t="e">
        <f>AP253-AW253</f>
        <v>#REF!</v>
      </c>
      <c r="AX254" s="320" t="e">
        <f>S253-AX253</f>
        <v>#REF!</v>
      </c>
      <c r="AY254" s="146" t="e">
        <f>T253-AY253</f>
        <v>#REF!</v>
      </c>
      <c r="AZ254" s="146" t="e">
        <f>U253-AZ253</f>
        <v>#REF!</v>
      </c>
      <c r="BA254" s="146" t="e">
        <f>AB253-BA253</f>
        <v>#REF!</v>
      </c>
      <c r="BB254" s="146" t="e">
        <f>AI253-BB253</f>
        <v>#REF!</v>
      </c>
      <c r="BC254" s="146" t="e">
        <f>AP253-BC253</f>
        <v>#REF!</v>
      </c>
      <c r="BD254" s="364" t="e">
        <f t="shared" ref="BD254" si="745">AW253-BD253</f>
        <v>#REF!</v>
      </c>
      <c r="BE254" s="320" t="e">
        <f>Z253-BE253</f>
        <v>#REF!</v>
      </c>
      <c r="BF254" s="146" t="e">
        <f>AA253-BF253</f>
        <v>#REF!</v>
      </c>
      <c r="BG254" s="146" t="e">
        <f>AB253-BG253</f>
        <v>#REF!</v>
      </c>
      <c r="BH254" s="146" t="e">
        <f>AI253-BH253</f>
        <v>#REF!</v>
      </c>
      <c r="BI254" s="146" t="e">
        <f>AP253-BI253</f>
        <v>#REF!</v>
      </c>
      <c r="BJ254" s="146" t="e">
        <f>AW253-BJ253</f>
        <v>#REF!</v>
      </c>
      <c r="BK254" s="364" t="e">
        <f t="shared" ref="BK254" si="746">BD253-BK253</f>
        <v>#REF!</v>
      </c>
      <c r="BL254" s="146" t="e">
        <f>BK253-BL253</f>
        <v>#REF!</v>
      </c>
      <c r="BM254" s="146" t="e">
        <f t="shared" ref="BM254:BO254" si="747">BL253-BM253</f>
        <v>#REF!</v>
      </c>
      <c r="BN254" s="146" t="e">
        <f t="shared" si="747"/>
        <v>#REF!</v>
      </c>
      <c r="BO254" s="146" t="e">
        <f t="shared" si="747"/>
        <v>#REF!</v>
      </c>
      <c r="BP254" s="146" t="e">
        <f>BO253-BP253</f>
        <v>#REF!</v>
      </c>
      <c r="BQ254" s="146" t="e">
        <f>BP253-BQ253</f>
        <v>#REF!</v>
      </c>
      <c r="BR254" s="146" t="e">
        <f>BQ253-BR253</f>
        <v>#REF!</v>
      </c>
      <c r="BT254" s="121"/>
    </row>
    <row r="255" spans="1:91" ht="14.25" customHeight="1">
      <c r="A255" s="105" t="s">
        <v>188</v>
      </c>
      <c r="B255" s="117" t="s">
        <v>127</v>
      </c>
      <c r="C255" s="117"/>
      <c r="D255" s="146" t="e">
        <f>INDEX(#REF!, MATCH($A255,#REF!, 0), MATCH(D$4,#REF!, 0))</f>
        <v>#REF!</v>
      </c>
      <c r="E255" s="146" t="e">
        <f>INDEX(#REF!, MATCH($A255,#REF!, 0), MATCH(E$4,#REF!, 0))</f>
        <v>#REF!</v>
      </c>
      <c r="F255" s="146" t="e">
        <f>INDEX(#REF!, MATCH($A255,#REF!, 0), MATCH(F$4,#REF!, 0))</f>
        <v>#REF!</v>
      </c>
      <c r="G255" s="146" t="e">
        <f>INDEX(#REF!, MATCH($A255,#REF!, 0), MATCH(G$4,#REF!, 0))</f>
        <v>#REF!</v>
      </c>
      <c r="H255" s="146" t="e">
        <f>INDEX(#REF!, MATCH($A255,#REF!, 0), MATCH(H$4,#REF!, 0))</f>
        <v>#REF!</v>
      </c>
      <c r="I255" s="146" t="e">
        <f>INDEX(#REF!, MATCH($A255,#REF!, 0), MATCH(I$4,#REF!, 0))</f>
        <v>#REF!</v>
      </c>
      <c r="J255" s="146" t="e">
        <f>INDEX(#REF!, MATCH($A255,#REF!, 0), MATCH(J$4,#REF!, 0))</f>
        <v>#REF!</v>
      </c>
      <c r="K255" s="146" t="e">
        <f>INDEX(#REF!, MATCH($A255,#REF!, 0), MATCH(K$4,#REF!, 0))</f>
        <v>#REF!</v>
      </c>
      <c r="L255" s="146" t="e">
        <f>INDEX(#REF!, MATCH($A255,#REF!, 0), MATCH(L$4,#REF!, 0))</f>
        <v>#REF!</v>
      </c>
      <c r="M255" s="146" t="e">
        <f>INDEX(#REF!, MATCH($A255,#REF!, 0), MATCH(M$4,#REF!, 0))</f>
        <v>#REF!</v>
      </c>
      <c r="N255" s="146" t="e">
        <f>INDEX(#REF!, MATCH($A255,#REF!, 0), MATCH(N$4,#REF!, 0))</f>
        <v>#REF!</v>
      </c>
      <c r="O255" s="146" t="e">
        <f>INDEX(#REF!, MATCH($A255,#REF!, 0), MATCH(O$4,#REF!, 0))</f>
        <v>#REF!</v>
      </c>
      <c r="P255" s="146" t="e">
        <f>INDEX(#REF!, MATCH($A255,#REF!, 0), MATCH(P$4,#REF!, 0))</f>
        <v>#REF!</v>
      </c>
      <c r="Q255" s="146" t="e">
        <f>INDEX(#REF!, MATCH($A255,#REF!, 0), MATCH(Q$4,#REF!, 0))</f>
        <v>#REF!</v>
      </c>
      <c r="R255" s="146" t="e">
        <f>INDEX(#REF!, MATCH($A255,#REF!, 0), MATCH(R$4,#REF!, 0))</f>
        <v>#REF!</v>
      </c>
      <c r="S255" s="146" t="e">
        <f>INDEX(#REF!, MATCH($A255,#REF!, 0), MATCH(S$4,#REF!, 0))</f>
        <v>#REF!</v>
      </c>
      <c r="T255" s="146" t="e">
        <f>INDEX(#REF!, MATCH($A255,#REF!, 0), MATCH(T$4,#REF!, 0))</f>
        <v>#REF!</v>
      </c>
      <c r="U255" s="146" t="e">
        <f>INDEX(#REF!, MATCH($A255,#REF!, 0), MATCH(U$4,#REF!, 0))</f>
        <v>#REF!</v>
      </c>
      <c r="V255" s="320" t="e">
        <f>INDEX(#REF!, MATCH($A255,#REF!, 0), MATCH(V$4,#REF!, 0))</f>
        <v>#REF!</v>
      </c>
      <c r="W255" s="146" t="e">
        <f>INDEX(#REF!, MATCH($A255,#REF!, 0), MATCH(W$4,#REF!, 0))</f>
        <v>#REF!</v>
      </c>
      <c r="X255" s="146" t="e">
        <f>INDEX(#REF!, MATCH($A255,#REF!, 0), MATCH(X$4,#REF!, 0))</f>
        <v>#REF!</v>
      </c>
      <c r="Y255" s="146" t="e">
        <f>INDEX(#REF!, MATCH($A255,#REF!, 0), MATCH(Y$4,#REF!, 0))</f>
        <v>#REF!</v>
      </c>
      <c r="Z255" s="146" t="e">
        <f>INDEX(#REF!, MATCH($A255,#REF!, 0), MATCH(Z$4,#REF!, 0))</f>
        <v>#REF!</v>
      </c>
      <c r="AA255" s="146" t="e">
        <f>INDEX(#REF!, MATCH($A255,#REF!, 0), MATCH(AA$4,#REF!, 0))</f>
        <v>#REF!</v>
      </c>
      <c r="AB255" s="146" t="e">
        <f>INDEX(#REF!, MATCH($A255,#REF!, 0), MATCH(AB$4,#REF!, 0))</f>
        <v>#REF!</v>
      </c>
      <c r="AC255" s="320" t="e">
        <f>INDEX(#REF!, MATCH($A255,#REF!, 0), MATCH(AC$4,#REF!, 0))</f>
        <v>#REF!</v>
      </c>
      <c r="AD255" s="146" t="e">
        <f>INDEX(#REF!, MATCH($A255,#REF!, 0), MATCH(AD$4,#REF!, 0))</f>
        <v>#REF!</v>
      </c>
      <c r="AE255" s="146" t="e">
        <f>INDEX(#REF!, MATCH($A255,#REF!, 0), MATCH(AE$4,#REF!, 0))</f>
        <v>#REF!</v>
      </c>
      <c r="AF255" s="146" t="e">
        <f>INDEX(#REF!, MATCH($A255,#REF!, 0), MATCH(AF$4,#REF!, 0))</f>
        <v>#REF!</v>
      </c>
      <c r="AG255" s="146" t="e">
        <f>INDEX(#REF!, MATCH($A255,#REF!, 0), MATCH(AG$4,#REF!, 0))</f>
        <v>#REF!</v>
      </c>
      <c r="AH255" s="146" t="e">
        <f>INDEX(#REF!, MATCH($A255,#REF!, 0), MATCH(AH$4,#REF!, 0))</f>
        <v>#REF!</v>
      </c>
      <c r="AI255" s="146" t="e">
        <f>INDEX(#REF!, MATCH($A255,#REF!, 0), MATCH(AI$4,#REF!, 0))</f>
        <v>#REF!</v>
      </c>
      <c r="AJ255" s="320" t="e">
        <f>INDEX(#REF!, MATCH($A255,#REF!, 0), MATCH(AJ$4,#REF!, 0))</f>
        <v>#REF!</v>
      </c>
      <c r="AK255" s="146" t="e">
        <f>INDEX(#REF!, MATCH($A255,#REF!, 0), MATCH(AK$4,#REF!, 0))</f>
        <v>#REF!</v>
      </c>
      <c r="AL255" s="146" t="e">
        <f>INDEX(#REF!, MATCH($A255,#REF!, 0), MATCH(AL$4,#REF!, 0))</f>
        <v>#REF!</v>
      </c>
      <c r="AM255" s="146" t="e">
        <f>INDEX(#REF!, MATCH($A255,#REF!, 0), MATCH(AM$4,#REF!, 0))</f>
        <v>#REF!</v>
      </c>
      <c r="AN255" s="146" t="e">
        <f>INDEX(#REF!, MATCH($A255,#REF!, 0), MATCH(AN$4,#REF!, 0))</f>
        <v>#REF!</v>
      </c>
      <c r="AO255" s="146" t="e">
        <f>INDEX(#REF!, MATCH($A255,#REF!, 0), MATCH(AO$4,#REF!, 0))</f>
        <v>#REF!</v>
      </c>
      <c r="AP255" s="146" t="e">
        <f>INDEX(#REF!, MATCH($A255,#REF!, 0), MATCH(AP$4,#REF!, 0))</f>
        <v>#REF!</v>
      </c>
      <c r="AQ255" s="320" t="e">
        <f>INDEX(#REF!, MATCH($A255,#REF!, 0), MATCH(AQ$4,#REF!, 0))</f>
        <v>#REF!</v>
      </c>
      <c r="AR255" s="146" t="e">
        <f>INDEX(#REF!, MATCH($A255,#REF!, 0), MATCH(AR$4,#REF!, 0))</f>
        <v>#REF!</v>
      </c>
      <c r="AS255" s="146" t="e">
        <f>INDEX(#REF!, MATCH($A255,#REF!, 0), MATCH(AS$4,#REF!, 0))</f>
        <v>#REF!</v>
      </c>
      <c r="AT255" s="146" t="e">
        <f>INDEX(#REF!, MATCH($A255,#REF!, 0), MATCH(AT$4,#REF!, 0))</f>
        <v>#REF!</v>
      </c>
      <c r="AU255" s="146" t="e">
        <f>INDEX(#REF!, MATCH($A255,#REF!, 0), MATCH(AU$4,#REF!, 0))</f>
        <v>#REF!</v>
      </c>
      <c r="AV255" s="146" t="e">
        <f>INDEX(#REF!, MATCH($A255,#REF!, 0), MATCH(AV$4,#REF!, 0))</f>
        <v>#REF!</v>
      </c>
      <c r="AW255" s="146" t="e">
        <f>INDEX(#REF!, MATCH($A255,#REF!, 0), MATCH(AW$4,#REF!, 0))</f>
        <v>#REF!</v>
      </c>
      <c r="AX255" s="320" t="e">
        <f>INDEX(#REF!, MATCH($A255,#REF!, 0), MATCH(AX$4,#REF!, 0))</f>
        <v>#REF!</v>
      </c>
      <c r="AY255" s="146" t="e">
        <f>INDEX(#REF!, MATCH($A255,#REF!, 0), MATCH(AY$4,#REF!, 0))</f>
        <v>#REF!</v>
      </c>
      <c r="AZ255" s="146" t="e">
        <f>INDEX(#REF!, MATCH($A255,#REF!, 0), MATCH(AZ$4,#REF!, 0))</f>
        <v>#REF!</v>
      </c>
      <c r="BA255" s="146" t="e">
        <f>INDEX(#REF!, MATCH($A255,#REF!, 0), MATCH(BA$4,#REF!, 0))</f>
        <v>#REF!</v>
      </c>
      <c r="BB255" s="146" t="e">
        <f>INDEX(#REF!, MATCH($A255,#REF!, 0), MATCH(BB$4,#REF!, 0))</f>
        <v>#REF!</v>
      </c>
      <c r="BC255" s="146" t="e">
        <f>INDEX(#REF!, MATCH($A255,#REF!, 0), MATCH(BC$4,#REF!, 0))</f>
        <v>#REF!</v>
      </c>
      <c r="BD255" s="364" t="e">
        <f>INDEX(#REF!, MATCH($A255,#REF!, 0), MATCH(BD$4,#REF!, 0))</f>
        <v>#REF!</v>
      </c>
      <c r="BE255" s="320" t="e">
        <f>INDEX(#REF!, MATCH($A255,#REF!, 0), MATCH(BE$4,#REF!, 0))</f>
        <v>#REF!</v>
      </c>
      <c r="BF255" s="146" t="e">
        <f>INDEX(#REF!, MATCH($A255,#REF!, 0), MATCH(BF$4,#REF!, 0))</f>
        <v>#REF!</v>
      </c>
      <c r="BG255" s="146" t="e">
        <f>INDEX(#REF!, MATCH($A255,#REF!, 0), MATCH(BG$4,#REF!, 0))</f>
        <v>#REF!</v>
      </c>
      <c r="BH255" s="146" t="e">
        <f>INDEX(#REF!, MATCH($A255,#REF!, 0), MATCH(BH$4,#REF!, 0))</f>
        <v>#REF!</v>
      </c>
      <c r="BI255" s="146" t="e">
        <f>INDEX(#REF!, MATCH($A255,#REF!, 0), MATCH(BI$4,#REF!, 0))</f>
        <v>#REF!</v>
      </c>
      <c r="BJ255" s="146" t="e">
        <f>INDEX(#REF!, MATCH($A255,#REF!, 0), MATCH(BJ$4,#REF!, 0))</f>
        <v>#REF!</v>
      </c>
      <c r="BK255" s="364" t="e">
        <f>INDEX(#REF!, MATCH($A255,#REF!, 0), MATCH(BK$4,#REF!, 0))</f>
        <v>#REF!</v>
      </c>
      <c r="BL255" s="112" t="e">
        <f>BK255</f>
        <v>#REF!</v>
      </c>
      <c r="BM255" s="112" t="e">
        <f t="shared" si="743"/>
        <v>#REF!</v>
      </c>
      <c r="BN255" s="112" t="e">
        <f t="shared" si="743"/>
        <v>#REF!</v>
      </c>
      <c r="BO255" s="112" t="e">
        <f t="shared" si="743"/>
        <v>#REF!</v>
      </c>
      <c r="BP255" s="112" t="e">
        <f>BO255</f>
        <v>#REF!</v>
      </c>
      <c r="BQ255" s="112" t="e">
        <f>BP255</f>
        <v>#REF!</v>
      </c>
      <c r="BR255" s="112" t="e">
        <f>BQ255</f>
        <v>#REF!</v>
      </c>
      <c r="BT255" s="121"/>
    </row>
    <row r="256" spans="1:91" ht="14.25" customHeight="1">
      <c r="A256" s="105"/>
      <c r="B256" s="117" t="s">
        <v>307</v>
      </c>
      <c r="C256" s="117"/>
      <c r="D256" s="146" t="e">
        <f t="shared" ref="D256:U256" si="748">D255-C255</f>
        <v>#REF!</v>
      </c>
      <c r="E256" s="146" t="e">
        <f t="shared" si="748"/>
        <v>#REF!</v>
      </c>
      <c r="F256" s="146" t="e">
        <f t="shared" si="748"/>
        <v>#REF!</v>
      </c>
      <c r="G256" s="146" t="e">
        <f t="shared" si="748"/>
        <v>#REF!</v>
      </c>
      <c r="H256" s="146" t="e">
        <f t="shared" si="748"/>
        <v>#REF!</v>
      </c>
      <c r="I256" s="146" t="e">
        <f t="shared" si="748"/>
        <v>#REF!</v>
      </c>
      <c r="J256" s="146" t="e">
        <f t="shared" si="748"/>
        <v>#REF!</v>
      </c>
      <c r="K256" s="146" t="e">
        <f t="shared" si="748"/>
        <v>#REF!</v>
      </c>
      <c r="L256" s="146" t="e">
        <f t="shared" si="748"/>
        <v>#REF!</v>
      </c>
      <c r="M256" s="146" t="e">
        <f t="shared" si="748"/>
        <v>#REF!</v>
      </c>
      <c r="N256" s="146" t="e">
        <f t="shared" si="748"/>
        <v>#REF!</v>
      </c>
      <c r="O256" s="146" t="e">
        <f t="shared" si="748"/>
        <v>#REF!</v>
      </c>
      <c r="P256" s="146" t="e">
        <f t="shared" si="748"/>
        <v>#REF!</v>
      </c>
      <c r="Q256" s="146" t="e">
        <f t="shared" si="748"/>
        <v>#REF!</v>
      </c>
      <c r="R256" s="146" t="e">
        <f t="shared" si="748"/>
        <v>#REF!</v>
      </c>
      <c r="S256" s="146" t="e">
        <f t="shared" si="748"/>
        <v>#REF!</v>
      </c>
      <c r="T256" s="146" t="e">
        <f t="shared" si="748"/>
        <v>#REF!</v>
      </c>
      <c r="U256" s="146" t="e">
        <f t="shared" si="748"/>
        <v>#REF!</v>
      </c>
      <c r="V256" s="320" t="e">
        <f>V255-#REF!</f>
        <v>#REF!</v>
      </c>
      <c r="W256" s="146" t="e">
        <f>W255-#REF!</f>
        <v>#REF!</v>
      </c>
      <c r="X256" s="146" t="e">
        <f>X255-#REF!</f>
        <v>#REF!</v>
      </c>
      <c r="Y256" s="146" t="e">
        <f>Y255-#REF!</f>
        <v>#REF!</v>
      </c>
      <c r="Z256" s="146" t="e">
        <f>Z255-G255</f>
        <v>#REF!</v>
      </c>
      <c r="AA256" s="146" t="e">
        <f>AA255-N255</f>
        <v>#REF!</v>
      </c>
      <c r="AB256" s="146" t="e">
        <f>AB255-U255</f>
        <v>#REF!</v>
      </c>
      <c r="AC256" s="320" t="e">
        <f>AC255-#REF!</f>
        <v>#REF!</v>
      </c>
      <c r="AD256" s="146" t="e">
        <f>AD255-#REF!</f>
        <v>#REF!</v>
      </c>
      <c r="AE256" s="146" t="e">
        <f>AE255-#REF!</f>
        <v>#REF!</v>
      </c>
      <c r="AF256" s="146" t="e">
        <f>AF255-G255</f>
        <v>#REF!</v>
      </c>
      <c r="AG256" s="146" t="e">
        <f>AG255-N255</f>
        <v>#REF!</v>
      </c>
      <c r="AH256" s="146" t="e">
        <f>AH255-U255</f>
        <v>#REF!</v>
      </c>
      <c r="AI256" s="146" t="e">
        <f>AI255-AB255</f>
        <v>#REF!</v>
      </c>
      <c r="AJ256" s="320" t="e">
        <f>AJ255-E255</f>
        <v>#REF!</v>
      </c>
      <c r="AK256" s="146" t="e">
        <f>AK255-F255</f>
        <v>#REF!</v>
      </c>
      <c r="AL256" s="146" t="e">
        <f>AL255-G255</f>
        <v>#REF!</v>
      </c>
      <c r="AM256" s="146" t="e">
        <f>AM255-N255</f>
        <v>#REF!</v>
      </c>
      <c r="AN256" s="146" t="e">
        <f>AN255-U255</f>
        <v>#REF!</v>
      </c>
      <c r="AO256" s="146" t="e">
        <f>AO255-AB255</f>
        <v>#REF!</v>
      </c>
      <c r="AP256" s="146" t="e">
        <f>AP255-AI255</f>
        <v>#REF!</v>
      </c>
      <c r="AQ256" s="320" t="e">
        <f>AQ255-L255</f>
        <v>#REF!</v>
      </c>
      <c r="AR256" s="146" t="e">
        <f>AR255-M255</f>
        <v>#REF!</v>
      </c>
      <c r="AS256" s="146" t="e">
        <f>AS255-N255</f>
        <v>#REF!</v>
      </c>
      <c r="AT256" s="146" t="e">
        <f>AT255-U255</f>
        <v>#REF!</v>
      </c>
      <c r="AU256" s="146" t="e">
        <f>AU255-AB255</f>
        <v>#REF!</v>
      </c>
      <c r="AV256" s="146" t="e">
        <f>AV255-AI255</f>
        <v>#REF!</v>
      </c>
      <c r="AW256" s="146" t="e">
        <f>AW255-AP255</f>
        <v>#REF!</v>
      </c>
      <c r="AX256" s="320" t="e">
        <f>AX255-S255</f>
        <v>#REF!</v>
      </c>
      <c r="AY256" s="146" t="e">
        <f>AY255-T255</f>
        <v>#REF!</v>
      </c>
      <c r="AZ256" s="146" t="e">
        <f>AZ255-U255</f>
        <v>#REF!</v>
      </c>
      <c r="BA256" s="146" t="e">
        <f>BA255-AB255</f>
        <v>#REF!</v>
      </c>
      <c r="BB256" s="146" t="e">
        <f>BB255-AI255</f>
        <v>#REF!</v>
      </c>
      <c r="BC256" s="146" t="e">
        <f>BC255-AP255</f>
        <v>#REF!</v>
      </c>
      <c r="BD256" s="364" t="e">
        <f t="shared" ref="BD256" si="749">BD255-AW255</f>
        <v>#REF!</v>
      </c>
      <c r="BE256" s="320" t="e">
        <f>BE255-Z255</f>
        <v>#REF!</v>
      </c>
      <c r="BF256" s="146" t="e">
        <f>BF255-AA255</f>
        <v>#REF!</v>
      </c>
      <c r="BG256" s="146" t="e">
        <f>BG255-AB255</f>
        <v>#REF!</v>
      </c>
      <c r="BH256" s="146" t="e">
        <f>BH255-AI255</f>
        <v>#REF!</v>
      </c>
      <c r="BI256" s="146" t="e">
        <f>BI255-AP255</f>
        <v>#REF!</v>
      </c>
      <c r="BJ256" s="146" t="e">
        <f>BJ255-AW255</f>
        <v>#REF!</v>
      </c>
      <c r="BK256" s="364" t="e">
        <f t="shared" ref="BK256" si="750">BK255-BD255</f>
        <v>#REF!</v>
      </c>
      <c r="BL256" s="146" t="e">
        <f>BL255-BK255</f>
        <v>#REF!</v>
      </c>
      <c r="BM256" s="146" t="e">
        <f t="shared" ref="BM256:BO256" si="751">BM255-BL255</f>
        <v>#REF!</v>
      </c>
      <c r="BN256" s="146" t="e">
        <f t="shared" si="751"/>
        <v>#REF!</v>
      </c>
      <c r="BO256" s="146" t="e">
        <f t="shared" si="751"/>
        <v>#REF!</v>
      </c>
      <c r="BP256" s="146" t="e">
        <f>BP255-BO255</f>
        <v>#REF!</v>
      </c>
      <c r="BQ256" s="146" t="e">
        <f>BQ255-BP255</f>
        <v>#REF!</v>
      </c>
      <c r="BR256" s="146" t="e">
        <f>BR255-BQ255</f>
        <v>#REF!</v>
      </c>
      <c r="BT256" s="121"/>
    </row>
    <row r="257" spans="1:91" s="250" customFormat="1" ht="12.6" thickBot="1">
      <c r="A257" s="268"/>
      <c r="B257" s="246"/>
      <c r="C257" s="246"/>
      <c r="D257" s="269"/>
      <c r="E257" s="269"/>
      <c r="F257" s="269"/>
      <c r="G257" s="269"/>
      <c r="H257" s="269"/>
      <c r="I257" s="269"/>
      <c r="J257" s="269"/>
      <c r="K257" s="269"/>
      <c r="L257" s="269"/>
      <c r="M257" s="269"/>
      <c r="N257" s="269"/>
      <c r="O257" s="269"/>
      <c r="P257" s="269"/>
      <c r="Q257" s="269"/>
      <c r="R257" s="269"/>
      <c r="S257" s="270"/>
      <c r="T257" s="270"/>
      <c r="U257" s="271"/>
      <c r="V257" s="345"/>
      <c r="W257" s="271"/>
      <c r="X257" s="271"/>
      <c r="Y257" s="271"/>
      <c r="Z257" s="271"/>
      <c r="AA257" s="271"/>
      <c r="AB257" s="271"/>
      <c r="AC257" s="345"/>
      <c r="AD257" s="271"/>
      <c r="AE257" s="271"/>
      <c r="AF257" s="271"/>
      <c r="AG257" s="271"/>
      <c r="AH257" s="271"/>
      <c r="AI257" s="271"/>
      <c r="AJ257" s="345"/>
      <c r="AK257" s="271"/>
      <c r="AL257" s="271"/>
      <c r="AM257" s="271"/>
      <c r="AN257" s="271"/>
      <c r="AO257" s="271"/>
      <c r="AP257" s="271"/>
      <c r="AQ257" s="345"/>
      <c r="AR257" s="271"/>
      <c r="AS257" s="271"/>
      <c r="AT257" s="271"/>
      <c r="AU257" s="271"/>
      <c r="AV257" s="271"/>
      <c r="AW257" s="271"/>
      <c r="AX257" s="345"/>
      <c r="AY257" s="271"/>
      <c r="AZ257" s="271"/>
      <c r="BA257" s="271"/>
      <c r="BB257" s="271"/>
      <c r="BC257" s="271"/>
      <c r="BD257" s="387"/>
      <c r="BE257" s="345"/>
      <c r="BF257" s="271"/>
      <c r="BG257" s="271"/>
      <c r="BH257" s="271"/>
      <c r="BI257" s="271"/>
      <c r="BJ257" s="271"/>
      <c r="BK257" s="387"/>
      <c r="BL257" s="272"/>
      <c r="BM257" s="272"/>
      <c r="BN257" s="248"/>
      <c r="BO257" s="248"/>
      <c r="BP257" s="272"/>
      <c r="BQ257" s="248"/>
      <c r="BR257" s="272"/>
      <c r="BS257" s="248"/>
      <c r="BT257" s="249"/>
      <c r="BU257" s="248"/>
      <c r="BV257" s="248"/>
      <c r="BW257" s="248"/>
      <c r="BX257" s="248"/>
      <c r="BY257" s="248"/>
      <c r="BZ257" s="248"/>
      <c r="CA257" s="248"/>
      <c r="CB257" s="248"/>
      <c r="CC257" s="248"/>
      <c r="CD257" s="248"/>
      <c r="CE257" s="248"/>
      <c r="CF257" s="248"/>
      <c r="CG257" s="248"/>
      <c r="CH257" s="248"/>
      <c r="CI257" s="248"/>
      <c r="CJ257" s="248"/>
      <c r="CK257" s="248"/>
      <c r="CL257" s="248"/>
      <c r="CM257" s="248"/>
    </row>
    <row r="258" spans="1:91">
      <c r="A258" s="130"/>
      <c r="B258" s="148" t="s">
        <v>52</v>
      </c>
      <c r="C258" s="211"/>
      <c r="D258" s="87">
        <f t="shared" ref="D258:U258" si="752">D2</f>
        <v>2001</v>
      </c>
      <c r="E258" s="87">
        <f t="shared" si="752"/>
        <v>2002</v>
      </c>
      <c r="F258" s="87">
        <f t="shared" si="752"/>
        <v>2003</v>
      </c>
      <c r="G258" s="87">
        <f t="shared" si="752"/>
        <v>2004</v>
      </c>
      <c r="H258" s="87">
        <f t="shared" si="752"/>
        <v>2005</v>
      </c>
      <c r="I258" s="87">
        <f t="shared" si="752"/>
        <v>2006</v>
      </c>
      <c r="J258" s="87">
        <f t="shared" si="752"/>
        <v>2007</v>
      </c>
      <c r="K258" s="87">
        <f t="shared" si="752"/>
        <v>2008</v>
      </c>
      <c r="L258" s="87">
        <f t="shared" si="752"/>
        <v>2009</v>
      </c>
      <c r="M258" s="87">
        <f t="shared" si="752"/>
        <v>2010</v>
      </c>
      <c r="N258" s="87">
        <f t="shared" si="752"/>
        <v>2011</v>
      </c>
      <c r="O258" s="87">
        <f t="shared" si="752"/>
        <v>2012</v>
      </c>
      <c r="P258" s="87">
        <f t="shared" si="752"/>
        <v>2013</v>
      </c>
      <c r="Q258" s="87">
        <f t="shared" si="752"/>
        <v>2014</v>
      </c>
      <c r="R258" s="87">
        <f t="shared" si="752"/>
        <v>2015</v>
      </c>
      <c r="S258" s="87">
        <f t="shared" si="752"/>
        <v>2016</v>
      </c>
      <c r="T258" s="87">
        <f t="shared" si="752"/>
        <v>2017</v>
      </c>
      <c r="U258" s="163">
        <f t="shared" si="752"/>
        <v>2018</v>
      </c>
      <c r="V258" s="346"/>
      <c r="W258" s="163"/>
      <c r="X258" s="163"/>
      <c r="Y258" s="163"/>
      <c r="Z258" s="163"/>
      <c r="AA258" s="163"/>
      <c r="AB258" s="163">
        <f>AB2</f>
        <v>2019</v>
      </c>
      <c r="AC258" s="346"/>
      <c r="AD258" s="163"/>
      <c r="AE258" s="163"/>
      <c r="AF258" s="163"/>
      <c r="AG258" s="163"/>
      <c r="AH258" s="163"/>
      <c r="AI258" s="163">
        <f>AI2</f>
        <v>2020</v>
      </c>
      <c r="AJ258" s="346"/>
      <c r="AK258" s="163"/>
      <c r="AL258" s="163"/>
      <c r="AM258" s="163"/>
      <c r="AN258" s="163"/>
      <c r="AO258" s="163"/>
      <c r="AP258" s="163">
        <f>AP2</f>
        <v>2021</v>
      </c>
      <c r="AQ258" s="346"/>
      <c r="AR258" s="163"/>
      <c r="AS258" s="163"/>
      <c r="AT258" s="163"/>
      <c r="AU258" s="163"/>
      <c r="AV258" s="163"/>
      <c r="AW258" s="163">
        <f>AW2</f>
        <v>2022</v>
      </c>
      <c r="AX258" s="346"/>
      <c r="AY258" s="163"/>
      <c r="AZ258" s="163"/>
      <c r="BA258" s="163"/>
      <c r="BB258" s="163"/>
      <c r="BC258" s="163"/>
      <c r="BD258" s="388">
        <f>BD2</f>
        <v>2023</v>
      </c>
      <c r="BE258" s="346"/>
      <c r="BF258" s="163"/>
      <c r="BG258" s="163"/>
      <c r="BH258" s="163"/>
      <c r="BI258" s="163"/>
      <c r="BJ258" s="163"/>
      <c r="BK258" s="388">
        <f>BK2</f>
        <v>2024</v>
      </c>
      <c r="BL258" s="163">
        <f t="shared" ref="BL258:BR258" si="753">BL2</f>
        <v>2025</v>
      </c>
      <c r="BM258" s="163">
        <f t="shared" si="753"/>
        <v>2026</v>
      </c>
      <c r="BN258" s="163">
        <f t="shared" si="753"/>
        <v>2027</v>
      </c>
      <c r="BO258" s="163">
        <f t="shared" si="753"/>
        <v>2028</v>
      </c>
      <c r="BP258" s="163">
        <f t="shared" si="753"/>
        <v>2029</v>
      </c>
      <c r="BQ258" s="163">
        <f t="shared" si="753"/>
        <v>2030</v>
      </c>
      <c r="BR258" s="163">
        <f t="shared" si="753"/>
        <v>2031</v>
      </c>
      <c r="BT258" s="121"/>
    </row>
    <row r="259" spans="1:91">
      <c r="A259" s="130"/>
      <c r="B259" s="117" t="s">
        <v>37</v>
      </c>
      <c r="C259" s="117"/>
      <c r="D259" s="157" t="e">
        <f t="shared" ref="D259:AI259" si="754">D59</f>
        <v>#REF!</v>
      </c>
      <c r="E259" s="157" t="e">
        <f t="shared" si="754"/>
        <v>#REF!</v>
      </c>
      <c r="F259" s="157" t="e">
        <f t="shared" si="754"/>
        <v>#REF!</v>
      </c>
      <c r="G259" s="157" t="e">
        <f t="shared" si="754"/>
        <v>#REF!</v>
      </c>
      <c r="H259" s="157" t="e">
        <f t="shared" si="754"/>
        <v>#REF!</v>
      </c>
      <c r="I259" s="157" t="e">
        <f t="shared" si="754"/>
        <v>#REF!</v>
      </c>
      <c r="J259" s="157" t="e">
        <f t="shared" si="754"/>
        <v>#REF!</v>
      </c>
      <c r="K259" s="157" t="e">
        <f t="shared" si="754"/>
        <v>#REF!</v>
      </c>
      <c r="L259" s="157" t="e">
        <f t="shared" si="754"/>
        <v>#REF!</v>
      </c>
      <c r="M259" s="157" t="e">
        <f t="shared" si="754"/>
        <v>#REF!</v>
      </c>
      <c r="N259" s="157" t="e">
        <f t="shared" si="754"/>
        <v>#REF!</v>
      </c>
      <c r="O259" s="157" t="e">
        <f t="shared" si="754"/>
        <v>#REF!</v>
      </c>
      <c r="P259" s="157" t="e">
        <f t="shared" si="754"/>
        <v>#REF!</v>
      </c>
      <c r="Q259" s="157" t="e">
        <f t="shared" si="754"/>
        <v>#REF!</v>
      </c>
      <c r="R259" s="157" t="e">
        <f t="shared" si="754"/>
        <v>#REF!</v>
      </c>
      <c r="S259" s="157" t="e">
        <f t="shared" si="754"/>
        <v>#REF!</v>
      </c>
      <c r="T259" s="157" t="e">
        <f t="shared" si="754"/>
        <v>#REF!</v>
      </c>
      <c r="U259" s="157" t="e">
        <f t="shared" si="754"/>
        <v>#REF!</v>
      </c>
      <c r="V259" s="327" t="e">
        <f t="shared" si="754"/>
        <v>#REF!</v>
      </c>
      <c r="W259" s="157" t="e">
        <f t="shared" si="754"/>
        <v>#REF!</v>
      </c>
      <c r="X259" s="157" t="e">
        <f t="shared" si="754"/>
        <v>#REF!</v>
      </c>
      <c r="Y259" s="157" t="e">
        <f t="shared" si="754"/>
        <v>#REF!</v>
      </c>
      <c r="Z259" s="157" t="e">
        <f t="shared" si="754"/>
        <v>#REF!</v>
      </c>
      <c r="AA259" s="157" t="e">
        <f t="shared" si="754"/>
        <v>#REF!</v>
      </c>
      <c r="AB259" s="157" t="e">
        <f t="shared" si="754"/>
        <v>#REF!</v>
      </c>
      <c r="AC259" s="327" t="e">
        <f t="shared" si="754"/>
        <v>#REF!</v>
      </c>
      <c r="AD259" s="157" t="e">
        <f t="shared" si="754"/>
        <v>#REF!</v>
      </c>
      <c r="AE259" s="157" t="e">
        <f t="shared" si="754"/>
        <v>#REF!</v>
      </c>
      <c r="AF259" s="157" t="e">
        <f t="shared" si="754"/>
        <v>#REF!</v>
      </c>
      <c r="AG259" s="157" t="e">
        <f t="shared" si="754"/>
        <v>#REF!</v>
      </c>
      <c r="AH259" s="157" t="e">
        <f t="shared" si="754"/>
        <v>#REF!</v>
      </c>
      <c r="AI259" s="157" t="e">
        <f t="shared" si="754"/>
        <v>#REF!</v>
      </c>
      <c r="AJ259" s="327" t="e">
        <f t="shared" ref="AJ259:BR259" si="755">AJ59</f>
        <v>#REF!</v>
      </c>
      <c r="AK259" s="157" t="e">
        <f t="shared" si="755"/>
        <v>#REF!</v>
      </c>
      <c r="AL259" s="157" t="e">
        <f t="shared" si="755"/>
        <v>#REF!</v>
      </c>
      <c r="AM259" s="157" t="e">
        <f t="shared" si="755"/>
        <v>#REF!</v>
      </c>
      <c r="AN259" s="157" t="e">
        <f t="shared" si="755"/>
        <v>#REF!</v>
      </c>
      <c r="AO259" s="157" t="e">
        <f t="shared" si="755"/>
        <v>#REF!</v>
      </c>
      <c r="AP259" s="157" t="e">
        <f t="shared" si="755"/>
        <v>#REF!</v>
      </c>
      <c r="AQ259" s="327" t="e">
        <f t="shared" si="755"/>
        <v>#REF!</v>
      </c>
      <c r="AR259" s="157" t="e">
        <f t="shared" si="755"/>
        <v>#REF!</v>
      </c>
      <c r="AS259" s="157" t="e">
        <f t="shared" si="755"/>
        <v>#REF!</v>
      </c>
      <c r="AT259" s="157" t="e">
        <f t="shared" si="755"/>
        <v>#REF!</v>
      </c>
      <c r="AU259" s="157" t="e">
        <f t="shared" si="755"/>
        <v>#REF!</v>
      </c>
      <c r="AV259" s="157" t="e">
        <f t="shared" si="755"/>
        <v>#REF!</v>
      </c>
      <c r="AW259" s="157" t="e">
        <f t="shared" si="755"/>
        <v>#REF!</v>
      </c>
      <c r="AX259" s="327" t="e">
        <f t="shared" si="755"/>
        <v>#REF!</v>
      </c>
      <c r="AY259" s="157" t="e">
        <f t="shared" si="755"/>
        <v>#REF!</v>
      </c>
      <c r="AZ259" s="157" t="e">
        <f t="shared" si="755"/>
        <v>#REF!</v>
      </c>
      <c r="BA259" s="157" t="e">
        <f t="shared" si="755"/>
        <v>#REF!</v>
      </c>
      <c r="BB259" s="157" t="e">
        <f t="shared" si="755"/>
        <v>#REF!</v>
      </c>
      <c r="BC259" s="157" t="e">
        <f t="shared" si="755"/>
        <v>#REF!</v>
      </c>
      <c r="BD259" s="370" t="e">
        <f t="shared" si="755"/>
        <v>#REF!</v>
      </c>
      <c r="BE259" s="327" t="e">
        <f t="shared" ref="BE259:BK259" si="756">BE59</f>
        <v>#REF!</v>
      </c>
      <c r="BF259" s="157" t="e">
        <f t="shared" si="756"/>
        <v>#REF!</v>
      </c>
      <c r="BG259" s="157" t="e">
        <f t="shared" si="756"/>
        <v>#REF!</v>
      </c>
      <c r="BH259" s="157" t="e">
        <f t="shared" si="756"/>
        <v>#REF!</v>
      </c>
      <c r="BI259" s="157" t="e">
        <f t="shared" si="756"/>
        <v>#REF!</v>
      </c>
      <c r="BJ259" s="157" t="e">
        <f t="shared" si="756"/>
        <v>#REF!</v>
      </c>
      <c r="BK259" s="370" t="e">
        <f t="shared" si="756"/>
        <v>#REF!</v>
      </c>
      <c r="BL259" s="150" t="e">
        <f t="shared" si="755"/>
        <v>#REF!</v>
      </c>
      <c r="BM259" s="150" t="e">
        <f t="shared" si="755"/>
        <v>#REF!</v>
      </c>
      <c r="BN259" s="150" t="e">
        <f t="shared" si="755"/>
        <v>#REF!</v>
      </c>
      <c r="BO259" s="150" t="e">
        <f t="shared" si="755"/>
        <v>#REF!</v>
      </c>
      <c r="BP259" s="150" t="e">
        <f t="shared" si="755"/>
        <v>#REF!</v>
      </c>
      <c r="BQ259" s="150" t="e">
        <f t="shared" si="755"/>
        <v>#REF!</v>
      </c>
      <c r="BR259" s="150" t="e">
        <f t="shared" si="755"/>
        <v>#REF!</v>
      </c>
      <c r="BT259" s="121"/>
    </row>
    <row r="260" spans="1:91">
      <c r="A260" s="130"/>
      <c r="B260" s="117" t="s">
        <v>109</v>
      </c>
      <c r="C260" s="117"/>
      <c r="D260" s="157" t="e">
        <f t="shared" ref="D260:AI260" si="757">D57</f>
        <v>#REF!</v>
      </c>
      <c r="E260" s="157" t="e">
        <f t="shared" si="757"/>
        <v>#REF!</v>
      </c>
      <c r="F260" s="157" t="e">
        <f t="shared" si="757"/>
        <v>#REF!</v>
      </c>
      <c r="G260" s="157" t="e">
        <f t="shared" si="757"/>
        <v>#REF!</v>
      </c>
      <c r="H260" s="157" t="e">
        <f t="shared" si="757"/>
        <v>#REF!</v>
      </c>
      <c r="I260" s="157" t="e">
        <f t="shared" si="757"/>
        <v>#REF!</v>
      </c>
      <c r="J260" s="157" t="e">
        <f t="shared" si="757"/>
        <v>#REF!</v>
      </c>
      <c r="K260" s="157" t="e">
        <f t="shared" si="757"/>
        <v>#REF!</v>
      </c>
      <c r="L260" s="157" t="e">
        <f t="shared" si="757"/>
        <v>#REF!</v>
      </c>
      <c r="M260" s="157" t="e">
        <f t="shared" si="757"/>
        <v>#REF!</v>
      </c>
      <c r="N260" s="157" t="e">
        <f t="shared" si="757"/>
        <v>#REF!</v>
      </c>
      <c r="O260" s="157" t="e">
        <f t="shared" si="757"/>
        <v>#REF!</v>
      </c>
      <c r="P260" s="157" t="e">
        <f t="shared" si="757"/>
        <v>#REF!</v>
      </c>
      <c r="Q260" s="157" t="e">
        <f t="shared" si="757"/>
        <v>#REF!</v>
      </c>
      <c r="R260" s="157" t="e">
        <f t="shared" si="757"/>
        <v>#REF!</v>
      </c>
      <c r="S260" s="157" t="e">
        <f t="shared" si="757"/>
        <v>#REF!</v>
      </c>
      <c r="T260" s="157" t="e">
        <f t="shared" si="757"/>
        <v>#REF!</v>
      </c>
      <c r="U260" s="157" t="e">
        <f t="shared" si="757"/>
        <v>#REF!</v>
      </c>
      <c r="V260" s="327" t="e">
        <f t="shared" si="757"/>
        <v>#REF!</v>
      </c>
      <c r="W260" s="157" t="e">
        <f t="shared" si="757"/>
        <v>#REF!</v>
      </c>
      <c r="X260" s="157" t="e">
        <f t="shared" si="757"/>
        <v>#REF!</v>
      </c>
      <c r="Y260" s="157" t="e">
        <f t="shared" si="757"/>
        <v>#REF!</v>
      </c>
      <c r="Z260" s="157" t="e">
        <f t="shared" si="757"/>
        <v>#REF!</v>
      </c>
      <c r="AA260" s="157" t="e">
        <f t="shared" si="757"/>
        <v>#REF!</v>
      </c>
      <c r="AB260" s="157" t="e">
        <f t="shared" si="757"/>
        <v>#REF!</v>
      </c>
      <c r="AC260" s="327" t="e">
        <f t="shared" si="757"/>
        <v>#REF!</v>
      </c>
      <c r="AD260" s="157" t="e">
        <f t="shared" si="757"/>
        <v>#REF!</v>
      </c>
      <c r="AE260" s="157" t="e">
        <f t="shared" si="757"/>
        <v>#REF!</v>
      </c>
      <c r="AF260" s="157" t="e">
        <f t="shared" si="757"/>
        <v>#REF!</v>
      </c>
      <c r="AG260" s="157" t="e">
        <f t="shared" si="757"/>
        <v>#REF!</v>
      </c>
      <c r="AH260" s="157" t="e">
        <f t="shared" si="757"/>
        <v>#REF!</v>
      </c>
      <c r="AI260" s="157" t="e">
        <f t="shared" si="757"/>
        <v>#REF!</v>
      </c>
      <c r="AJ260" s="327" t="e">
        <f t="shared" ref="AJ260:BD260" si="758">AJ57</f>
        <v>#REF!</v>
      </c>
      <c r="AK260" s="157" t="e">
        <f t="shared" si="758"/>
        <v>#REF!</v>
      </c>
      <c r="AL260" s="157" t="e">
        <f t="shared" si="758"/>
        <v>#REF!</v>
      </c>
      <c r="AM260" s="157" t="e">
        <f t="shared" si="758"/>
        <v>#REF!</v>
      </c>
      <c r="AN260" s="157" t="e">
        <f t="shared" si="758"/>
        <v>#REF!</v>
      </c>
      <c r="AO260" s="157" t="e">
        <f t="shared" si="758"/>
        <v>#REF!</v>
      </c>
      <c r="AP260" s="157" t="e">
        <f t="shared" si="758"/>
        <v>#REF!</v>
      </c>
      <c r="AQ260" s="327" t="e">
        <f t="shared" si="758"/>
        <v>#REF!</v>
      </c>
      <c r="AR260" s="157" t="e">
        <f t="shared" si="758"/>
        <v>#REF!</v>
      </c>
      <c r="AS260" s="157" t="e">
        <f t="shared" si="758"/>
        <v>#REF!</v>
      </c>
      <c r="AT260" s="157" t="e">
        <f t="shared" si="758"/>
        <v>#REF!</v>
      </c>
      <c r="AU260" s="157" t="e">
        <f t="shared" si="758"/>
        <v>#REF!</v>
      </c>
      <c r="AV260" s="157" t="e">
        <f t="shared" si="758"/>
        <v>#REF!</v>
      </c>
      <c r="AW260" s="157" t="e">
        <f t="shared" si="758"/>
        <v>#REF!</v>
      </c>
      <c r="AX260" s="327" t="e">
        <f t="shared" si="758"/>
        <v>#REF!</v>
      </c>
      <c r="AY260" s="157" t="e">
        <f t="shared" si="758"/>
        <v>#REF!</v>
      </c>
      <c r="AZ260" s="157" t="e">
        <f t="shared" si="758"/>
        <v>#REF!</v>
      </c>
      <c r="BA260" s="157" t="e">
        <f t="shared" si="758"/>
        <v>#REF!</v>
      </c>
      <c r="BB260" s="157" t="e">
        <f t="shared" si="758"/>
        <v>#REF!</v>
      </c>
      <c r="BC260" s="157" t="e">
        <f t="shared" si="758"/>
        <v>#REF!</v>
      </c>
      <c r="BD260" s="370" t="e">
        <f t="shared" si="758"/>
        <v>#REF!</v>
      </c>
      <c r="BE260" s="327" t="e">
        <f t="shared" ref="BE260:BK260" si="759">BE57</f>
        <v>#REF!</v>
      </c>
      <c r="BF260" s="157" t="e">
        <f t="shared" si="759"/>
        <v>#REF!</v>
      </c>
      <c r="BG260" s="157" t="e">
        <f t="shared" si="759"/>
        <v>#REF!</v>
      </c>
      <c r="BH260" s="157" t="e">
        <f t="shared" si="759"/>
        <v>#REF!</v>
      </c>
      <c r="BI260" s="157" t="e">
        <f t="shared" si="759"/>
        <v>#REF!</v>
      </c>
      <c r="BJ260" s="157" t="e">
        <f t="shared" si="759"/>
        <v>#REF!</v>
      </c>
      <c r="BK260" s="370" t="e">
        <f t="shared" si="759"/>
        <v>#REF!</v>
      </c>
      <c r="BL260" s="150" t="e">
        <f t="shared" ref="BL260:BR260" si="760">BL57</f>
        <v>#REF!</v>
      </c>
      <c r="BM260" s="150" t="e">
        <f t="shared" si="760"/>
        <v>#REF!</v>
      </c>
      <c r="BN260" s="150" t="e">
        <f t="shared" si="760"/>
        <v>#REF!</v>
      </c>
      <c r="BO260" s="150" t="e">
        <f t="shared" si="760"/>
        <v>#REF!</v>
      </c>
      <c r="BP260" s="150" t="e">
        <f t="shared" si="760"/>
        <v>#REF!</v>
      </c>
      <c r="BQ260" s="150" t="e">
        <f t="shared" si="760"/>
        <v>#REF!</v>
      </c>
      <c r="BR260" s="150" t="e">
        <f t="shared" si="760"/>
        <v>#REF!</v>
      </c>
      <c r="BT260" s="121"/>
    </row>
    <row r="261" spans="1:91" ht="13.8">
      <c r="A261" s="105" t="s">
        <v>164</v>
      </c>
      <c r="B261" s="212" t="s">
        <v>255</v>
      </c>
      <c r="C261" s="117"/>
      <c r="D261" s="146" t="e">
        <f>INDEX(#REF!, MATCH($A261,#REF!, 0), MATCH(D$4,#REF!, 0))</f>
        <v>#REF!</v>
      </c>
      <c r="E261" s="146" t="e">
        <f>INDEX(#REF!, MATCH($A261,#REF!, 0), MATCH(E$4,#REF!, 0))</f>
        <v>#REF!</v>
      </c>
      <c r="F261" s="146" t="e">
        <f>INDEX(#REF!, MATCH($A261,#REF!, 0), MATCH(F$4,#REF!, 0))</f>
        <v>#REF!</v>
      </c>
      <c r="G261" s="146" t="e">
        <f>INDEX(#REF!, MATCH($A261,#REF!, 0), MATCH(G$4,#REF!, 0))</f>
        <v>#REF!</v>
      </c>
      <c r="H261" s="146" t="e">
        <f>INDEX(#REF!, MATCH($A261,#REF!, 0), MATCH(H$4,#REF!, 0))</f>
        <v>#REF!</v>
      </c>
      <c r="I261" s="146" t="e">
        <f>INDEX(#REF!, MATCH($A261,#REF!, 0), MATCH(I$4,#REF!, 0))</f>
        <v>#REF!</v>
      </c>
      <c r="J261" s="146" t="e">
        <f>INDEX(#REF!, MATCH($A261,#REF!, 0), MATCH(J$4,#REF!, 0))</f>
        <v>#REF!</v>
      </c>
      <c r="K261" s="146" t="e">
        <f>INDEX(#REF!, MATCH($A261,#REF!, 0), MATCH(K$4,#REF!, 0))</f>
        <v>#REF!</v>
      </c>
      <c r="L261" s="146" t="e">
        <f>INDEX(#REF!, MATCH($A261,#REF!, 0), MATCH(L$4,#REF!, 0))</f>
        <v>#REF!</v>
      </c>
      <c r="M261" s="146" t="e">
        <f>INDEX(#REF!, MATCH($A261,#REF!, 0), MATCH(M$4,#REF!, 0))</f>
        <v>#REF!</v>
      </c>
      <c r="N261" s="146" t="e">
        <f>INDEX(#REF!, MATCH($A261,#REF!, 0), MATCH(N$4,#REF!, 0))</f>
        <v>#REF!</v>
      </c>
      <c r="O261" s="146" t="e">
        <f>INDEX(#REF!, MATCH($A261,#REF!, 0), MATCH(O$4,#REF!, 0))</f>
        <v>#REF!</v>
      </c>
      <c r="P261" s="146" t="e">
        <f>INDEX(#REF!, MATCH($A261,#REF!, 0), MATCH(P$4,#REF!, 0))</f>
        <v>#REF!</v>
      </c>
      <c r="Q261" s="146" t="e">
        <f>INDEX(#REF!, MATCH($A261,#REF!, 0), MATCH(Q$4,#REF!, 0))</f>
        <v>#REF!</v>
      </c>
      <c r="R261" s="146" t="e">
        <f>INDEX(#REF!, MATCH($A261,#REF!, 0), MATCH(R$4,#REF!, 0))</f>
        <v>#REF!</v>
      </c>
      <c r="S261" s="146" t="e">
        <f>INDEX(#REF!, MATCH($A261,#REF!, 0), MATCH(S$4,#REF!, 0))</f>
        <v>#REF!</v>
      </c>
      <c r="T261" s="146" t="e">
        <f>INDEX(#REF!, MATCH($A261,#REF!, 0), MATCH(T$4,#REF!, 0))</f>
        <v>#REF!</v>
      </c>
      <c r="U261" s="146" t="e">
        <f>INDEX(#REF!, MATCH($A261,#REF!, 0), MATCH(U$4,#REF!, 0))</f>
        <v>#REF!</v>
      </c>
      <c r="V261" s="320" t="e">
        <f>INDEX(#REF!, MATCH($A261,#REF!, 0), MATCH(V$4,#REF!, 0))</f>
        <v>#REF!</v>
      </c>
      <c r="W261" s="146" t="e">
        <f>INDEX(#REF!, MATCH($A261,#REF!, 0), MATCH(W$4,#REF!, 0))</f>
        <v>#REF!</v>
      </c>
      <c r="X261" s="146" t="e">
        <f>INDEX(#REF!, MATCH($A261,#REF!, 0), MATCH(X$4,#REF!, 0))</f>
        <v>#REF!</v>
      </c>
      <c r="Y261" s="146" t="e">
        <f>INDEX(#REF!, MATCH($A261,#REF!, 0), MATCH(Y$4,#REF!, 0))</f>
        <v>#REF!</v>
      </c>
      <c r="Z261" s="146" t="e">
        <f>INDEX(#REF!, MATCH($A261,#REF!, 0), MATCH(Z$4,#REF!, 0))</f>
        <v>#REF!</v>
      </c>
      <c r="AA261" s="146" t="e">
        <f>INDEX(#REF!, MATCH($A261,#REF!, 0), MATCH(AA$4,#REF!, 0))</f>
        <v>#REF!</v>
      </c>
      <c r="AB261" s="146" t="e">
        <f>INDEX(#REF!, MATCH($A261,#REF!, 0), MATCH(AB$4,#REF!, 0))</f>
        <v>#REF!</v>
      </c>
      <c r="AC261" s="320" t="e">
        <f>INDEX(#REF!, MATCH($A261,#REF!, 0), MATCH(AC$4,#REF!, 0))</f>
        <v>#REF!</v>
      </c>
      <c r="AD261" s="146" t="e">
        <f>INDEX(#REF!, MATCH($A261,#REF!, 0), MATCH(AD$4,#REF!, 0))</f>
        <v>#REF!</v>
      </c>
      <c r="AE261" s="146" t="e">
        <f>INDEX(#REF!, MATCH($A261,#REF!, 0), MATCH(AE$4,#REF!, 0))</f>
        <v>#REF!</v>
      </c>
      <c r="AF261" s="146" t="e">
        <f>INDEX(#REF!, MATCH($A261,#REF!, 0), MATCH(AF$4,#REF!, 0))</f>
        <v>#REF!</v>
      </c>
      <c r="AG261" s="146" t="e">
        <f>INDEX(#REF!, MATCH($A261,#REF!, 0), MATCH(AG$4,#REF!, 0))</f>
        <v>#REF!</v>
      </c>
      <c r="AH261" s="146" t="e">
        <f>INDEX(#REF!, MATCH($A261,#REF!, 0), MATCH(AH$4,#REF!, 0))</f>
        <v>#REF!</v>
      </c>
      <c r="AI261" s="146" t="e">
        <f>INDEX(#REF!, MATCH($A261,#REF!, 0), MATCH(AI$4,#REF!, 0))</f>
        <v>#REF!</v>
      </c>
      <c r="AJ261" s="320" t="e">
        <f>INDEX(#REF!, MATCH($A261,#REF!, 0), MATCH(AJ$4,#REF!, 0))</f>
        <v>#REF!</v>
      </c>
      <c r="AK261" s="146" t="e">
        <f>INDEX(#REF!, MATCH($A261,#REF!, 0), MATCH(AK$4,#REF!, 0))</f>
        <v>#REF!</v>
      </c>
      <c r="AL261" s="146" t="e">
        <f>INDEX(#REF!, MATCH($A261,#REF!, 0), MATCH(AL$4,#REF!, 0))</f>
        <v>#REF!</v>
      </c>
      <c r="AM261" s="146" t="e">
        <f>INDEX(#REF!, MATCH($A261,#REF!, 0), MATCH(AM$4,#REF!, 0))</f>
        <v>#REF!</v>
      </c>
      <c r="AN261" s="146" t="e">
        <f>INDEX(#REF!, MATCH($A261,#REF!, 0), MATCH(AN$4,#REF!, 0))</f>
        <v>#REF!</v>
      </c>
      <c r="AO261" s="146" t="e">
        <f>INDEX(#REF!, MATCH($A261,#REF!, 0), MATCH(AO$4,#REF!, 0))</f>
        <v>#REF!</v>
      </c>
      <c r="AP261" s="146" t="e">
        <f>INDEX(#REF!, MATCH($A261,#REF!, 0), MATCH(AP$4,#REF!, 0))</f>
        <v>#REF!</v>
      </c>
      <c r="AQ261" s="320" t="e">
        <f>INDEX(#REF!, MATCH($A261,#REF!, 0), MATCH(AQ$4,#REF!, 0))</f>
        <v>#REF!</v>
      </c>
      <c r="AR261" s="146" t="e">
        <f>INDEX(#REF!, MATCH($A261,#REF!, 0), MATCH(AR$4,#REF!, 0))</f>
        <v>#REF!</v>
      </c>
      <c r="AS261" s="146" t="e">
        <f>INDEX(#REF!, MATCH($A261,#REF!, 0), MATCH(AS$4,#REF!, 0))</f>
        <v>#REF!</v>
      </c>
      <c r="AT261" s="146" t="e">
        <f>INDEX(#REF!, MATCH($A261,#REF!, 0), MATCH(AT$4,#REF!, 0))</f>
        <v>#REF!</v>
      </c>
      <c r="AU261" s="146" t="e">
        <f>INDEX(#REF!, MATCH($A261,#REF!, 0), MATCH(AU$4,#REF!, 0))</f>
        <v>#REF!</v>
      </c>
      <c r="AV261" s="146" t="e">
        <f>INDEX(#REF!, MATCH($A261,#REF!, 0), MATCH(AV$4,#REF!, 0))</f>
        <v>#REF!</v>
      </c>
      <c r="AW261" s="146" t="e">
        <f>INDEX(#REF!, MATCH($A261,#REF!, 0), MATCH(AW$4,#REF!, 0))</f>
        <v>#REF!</v>
      </c>
      <c r="AX261" s="320" t="e">
        <f>INDEX(#REF!, MATCH($A261,#REF!, 0), MATCH(AX$4,#REF!, 0))</f>
        <v>#REF!</v>
      </c>
      <c r="AY261" s="146" t="e">
        <f>INDEX(#REF!, MATCH($A261,#REF!, 0), MATCH(AY$4,#REF!, 0))</f>
        <v>#REF!</v>
      </c>
      <c r="AZ261" s="146" t="e">
        <f>INDEX(#REF!, MATCH($A261,#REF!, 0), MATCH(AZ$4,#REF!, 0))</f>
        <v>#REF!</v>
      </c>
      <c r="BA261" s="146" t="e">
        <f>INDEX(#REF!, MATCH($A261,#REF!, 0), MATCH(BA$4,#REF!, 0))</f>
        <v>#REF!</v>
      </c>
      <c r="BB261" s="146" t="e">
        <f>INDEX(#REF!, MATCH($A261,#REF!, 0), MATCH(BB$4,#REF!, 0))</f>
        <v>#REF!</v>
      </c>
      <c r="BC261" s="146" t="e">
        <f>INDEX(#REF!, MATCH($A261,#REF!, 0), MATCH(BC$4,#REF!, 0))</f>
        <v>#REF!</v>
      </c>
      <c r="BD261" s="364" t="e">
        <f>INDEX(#REF!, MATCH($A261,#REF!, 0), MATCH(BD$4,#REF!, 0))</f>
        <v>#REF!</v>
      </c>
      <c r="BE261" s="320" t="e">
        <f>INDEX(#REF!, MATCH($A261,#REF!, 0), MATCH(BE$4,#REF!, 0))</f>
        <v>#REF!</v>
      </c>
      <c r="BF261" s="146" t="e">
        <f>INDEX(#REF!, MATCH($A261,#REF!, 0), MATCH(BF$4,#REF!, 0))</f>
        <v>#REF!</v>
      </c>
      <c r="BG261" s="146" t="e">
        <f>INDEX(#REF!, MATCH($A261,#REF!, 0), MATCH(BG$4,#REF!, 0))</f>
        <v>#REF!</v>
      </c>
      <c r="BH261" s="146" t="e">
        <f>INDEX(#REF!, MATCH($A261,#REF!, 0), MATCH(BH$4,#REF!, 0))</f>
        <v>#REF!</v>
      </c>
      <c r="BI261" s="146" t="e">
        <f>INDEX(#REF!, MATCH($A261,#REF!, 0), MATCH(BI$4,#REF!, 0))</f>
        <v>#REF!</v>
      </c>
      <c r="BJ261" s="146" t="e">
        <f>INDEX(#REF!, MATCH($A261,#REF!, 0), MATCH(BJ$4,#REF!, 0))</f>
        <v>#REF!</v>
      </c>
      <c r="BK261" s="364" t="e">
        <f>INDEX(#REF!, MATCH($A261,#REF!, 0), MATCH(BK$4,#REF!, 0))</f>
        <v>#REF!</v>
      </c>
      <c r="BL261" s="150"/>
      <c r="BM261" s="150"/>
      <c r="BN261" s="150"/>
      <c r="BO261" s="150"/>
      <c r="BP261" s="150"/>
      <c r="BQ261" s="150"/>
      <c r="BR261" s="150"/>
      <c r="BT261" s="121"/>
    </row>
    <row r="262" spans="1:91">
      <c r="A262" s="105" t="s">
        <v>241</v>
      </c>
      <c r="B262" s="213" t="s">
        <v>246</v>
      </c>
      <c r="C262" s="117"/>
      <c r="D262" s="146" t="e">
        <f>INDEX(#REF!, MATCH($A262,#REF!, 0), MATCH(D$4,#REF!, 0))</f>
        <v>#REF!</v>
      </c>
      <c r="E262" s="146" t="e">
        <f>INDEX(#REF!, MATCH($A262,#REF!, 0), MATCH(E$4,#REF!, 0))</f>
        <v>#REF!</v>
      </c>
      <c r="F262" s="146" t="e">
        <f>INDEX(#REF!, MATCH($A262,#REF!, 0), MATCH(F$4,#REF!, 0))</f>
        <v>#REF!</v>
      </c>
      <c r="G262" s="146" t="e">
        <f>INDEX(#REF!, MATCH($A262,#REF!, 0), MATCH(G$4,#REF!, 0))</f>
        <v>#REF!</v>
      </c>
      <c r="H262" s="146" t="e">
        <f>INDEX(#REF!, MATCH($A262,#REF!, 0), MATCH(H$4,#REF!, 0))</f>
        <v>#REF!</v>
      </c>
      <c r="I262" s="146" t="e">
        <f>INDEX(#REF!, MATCH($A262,#REF!, 0), MATCH(I$4,#REF!, 0))</f>
        <v>#REF!</v>
      </c>
      <c r="J262" s="146" t="e">
        <f>INDEX(#REF!, MATCH($A262,#REF!, 0), MATCH(J$4,#REF!, 0))</f>
        <v>#REF!</v>
      </c>
      <c r="K262" s="146" t="e">
        <f>INDEX(#REF!, MATCH($A262,#REF!, 0), MATCH(K$4,#REF!, 0))</f>
        <v>#REF!</v>
      </c>
      <c r="L262" s="146" t="e">
        <f>INDEX(#REF!, MATCH($A262,#REF!, 0), MATCH(L$4,#REF!, 0))</f>
        <v>#REF!</v>
      </c>
      <c r="M262" s="146" t="e">
        <f>INDEX(#REF!, MATCH($A262,#REF!, 0), MATCH(M$4,#REF!, 0))</f>
        <v>#REF!</v>
      </c>
      <c r="N262" s="146" t="e">
        <f>INDEX(#REF!, MATCH($A262,#REF!, 0), MATCH(N$4,#REF!, 0))</f>
        <v>#REF!</v>
      </c>
      <c r="O262" s="146" t="e">
        <f>INDEX(#REF!, MATCH($A262,#REF!, 0), MATCH(O$4,#REF!, 0))</f>
        <v>#REF!</v>
      </c>
      <c r="P262" s="146" t="e">
        <f>INDEX(#REF!, MATCH($A262,#REF!, 0), MATCH(P$4,#REF!, 0))</f>
        <v>#REF!</v>
      </c>
      <c r="Q262" s="146" t="e">
        <f>INDEX(#REF!, MATCH($A262,#REF!, 0), MATCH(Q$4,#REF!, 0))</f>
        <v>#REF!</v>
      </c>
      <c r="R262" s="146" t="e">
        <f>INDEX(#REF!, MATCH($A262,#REF!, 0), MATCH(R$4,#REF!, 0))</f>
        <v>#REF!</v>
      </c>
      <c r="S262" s="146" t="e">
        <f>INDEX(#REF!, MATCH($A262,#REF!, 0), MATCH(S$4,#REF!, 0))</f>
        <v>#REF!</v>
      </c>
      <c r="T262" s="146" t="e">
        <f>INDEX(#REF!, MATCH($A262,#REF!, 0), MATCH(T$4,#REF!, 0))</f>
        <v>#REF!</v>
      </c>
      <c r="U262" s="146" t="e">
        <f>INDEX(#REF!, MATCH($A262,#REF!, 0), MATCH(U$4,#REF!, 0))</f>
        <v>#REF!</v>
      </c>
      <c r="V262" s="320" t="e">
        <f>INDEX(#REF!, MATCH($A262,#REF!, 0), MATCH(V$4,#REF!, 0))</f>
        <v>#REF!</v>
      </c>
      <c r="W262" s="146" t="e">
        <f>INDEX(#REF!, MATCH($A262,#REF!, 0), MATCH(W$4,#REF!, 0))</f>
        <v>#REF!</v>
      </c>
      <c r="X262" s="146" t="e">
        <f>INDEX(#REF!, MATCH($A262,#REF!, 0), MATCH(X$4,#REF!, 0))</f>
        <v>#REF!</v>
      </c>
      <c r="Y262" s="146" t="e">
        <f>INDEX(#REF!, MATCH($A262,#REF!, 0), MATCH(Y$4,#REF!, 0))</f>
        <v>#REF!</v>
      </c>
      <c r="Z262" s="146" t="e">
        <f>INDEX(#REF!, MATCH($A262,#REF!, 0), MATCH(Z$4,#REF!, 0))</f>
        <v>#REF!</v>
      </c>
      <c r="AA262" s="146" t="e">
        <f>INDEX(#REF!, MATCH($A262,#REF!, 0), MATCH(AA$4,#REF!, 0))</f>
        <v>#REF!</v>
      </c>
      <c r="AB262" s="146" t="e">
        <f>INDEX(#REF!, MATCH($A262,#REF!, 0), MATCH(AB$4,#REF!, 0))</f>
        <v>#REF!</v>
      </c>
      <c r="AC262" s="320" t="e">
        <f>INDEX(#REF!, MATCH($A262,#REF!, 0), MATCH(AC$4,#REF!, 0))</f>
        <v>#REF!</v>
      </c>
      <c r="AD262" s="146" t="e">
        <f>INDEX(#REF!, MATCH($A262,#REF!, 0), MATCH(AD$4,#REF!, 0))</f>
        <v>#REF!</v>
      </c>
      <c r="AE262" s="146" t="e">
        <f>INDEX(#REF!, MATCH($A262,#REF!, 0), MATCH(AE$4,#REF!, 0))</f>
        <v>#REF!</v>
      </c>
      <c r="AF262" s="146" t="e">
        <f>INDEX(#REF!, MATCH($A262,#REF!, 0), MATCH(AF$4,#REF!, 0))</f>
        <v>#REF!</v>
      </c>
      <c r="AG262" s="146" t="e">
        <f>INDEX(#REF!, MATCH($A262,#REF!, 0), MATCH(AG$4,#REF!, 0))</f>
        <v>#REF!</v>
      </c>
      <c r="AH262" s="146" t="e">
        <f>INDEX(#REF!, MATCH($A262,#REF!, 0), MATCH(AH$4,#REF!, 0))</f>
        <v>#REF!</v>
      </c>
      <c r="AI262" s="146" t="e">
        <f>INDEX(#REF!, MATCH($A262,#REF!, 0), MATCH(AI$4,#REF!, 0))</f>
        <v>#REF!</v>
      </c>
      <c r="AJ262" s="320" t="e">
        <f>INDEX(#REF!, MATCH($A262,#REF!, 0), MATCH(AJ$4,#REF!, 0))</f>
        <v>#REF!</v>
      </c>
      <c r="AK262" s="146" t="e">
        <f>INDEX(#REF!, MATCH($A262,#REF!, 0), MATCH(AK$4,#REF!, 0))</f>
        <v>#REF!</v>
      </c>
      <c r="AL262" s="146" t="e">
        <f>INDEX(#REF!, MATCH($A262,#REF!, 0), MATCH(AL$4,#REF!, 0))</f>
        <v>#REF!</v>
      </c>
      <c r="AM262" s="146" t="e">
        <f>INDEX(#REF!, MATCH($A262,#REF!, 0), MATCH(AM$4,#REF!, 0))</f>
        <v>#REF!</v>
      </c>
      <c r="AN262" s="146" t="e">
        <f>INDEX(#REF!, MATCH($A262,#REF!, 0), MATCH(AN$4,#REF!, 0))</f>
        <v>#REF!</v>
      </c>
      <c r="AO262" s="146" t="e">
        <f>INDEX(#REF!, MATCH($A262,#REF!, 0), MATCH(AO$4,#REF!, 0))</f>
        <v>#REF!</v>
      </c>
      <c r="AP262" s="146" t="e">
        <f>INDEX(#REF!, MATCH($A262,#REF!, 0), MATCH(AP$4,#REF!, 0))</f>
        <v>#REF!</v>
      </c>
      <c r="AQ262" s="320" t="e">
        <f>INDEX(#REF!, MATCH($A262,#REF!, 0), MATCH(AQ$4,#REF!, 0))</f>
        <v>#REF!</v>
      </c>
      <c r="AR262" s="146" t="e">
        <f>INDEX(#REF!, MATCH($A262,#REF!, 0), MATCH(AR$4,#REF!, 0))</f>
        <v>#REF!</v>
      </c>
      <c r="AS262" s="146" t="e">
        <f>INDEX(#REF!, MATCH($A262,#REF!, 0), MATCH(AS$4,#REF!, 0))</f>
        <v>#REF!</v>
      </c>
      <c r="AT262" s="146" t="e">
        <f>INDEX(#REF!, MATCH($A262,#REF!, 0), MATCH(AT$4,#REF!, 0))</f>
        <v>#REF!</v>
      </c>
      <c r="AU262" s="146" t="e">
        <f>INDEX(#REF!, MATCH($A262,#REF!, 0), MATCH(AU$4,#REF!, 0))</f>
        <v>#REF!</v>
      </c>
      <c r="AV262" s="146" t="e">
        <f>INDEX(#REF!, MATCH($A262,#REF!, 0), MATCH(AV$4,#REF!, 0))</f>
        <v>#REF!</v>
      </c>
      <c r="AW262" s="146" t="e">
        <f>INDEX(#REF!, MATCH($A262,#REF!, 0), MATCH(AW$4,#REF!, 0))</f>
        <v>#REF!</v>
      </c>
      <c r="AX262" s="320" t="e">
        <f>INDEX(#REF!, MATCH($A262,#REF!, 0), MATCH(AX$4,#REF!, 0))</f>
        <v>#REF!</v>
      </c>
      <c r="AY262" s="146" t="e">
        <f>INDEX(#REF!, MATCH($A262,#REF!, 0), MATCH(AY$4,#REF!, 0))</f>
        <v>#REF!</v>
      </c>
      <c r="AZ262" s="146" t="e">
        <f>INDEX(#REF!, MATCH($A262,#REF!, 0), MATCH(AZ$4,#REF!, 0))</f>
        <v>#REF!</v>
      </c>
      <c r="BA262" s="146" t="e">
        <f>INDEX(#REF!, MATCH($A262,#REF!, 0), MATCH(BA$4,#REF!, 0))</f>
        <v>#REF!</v>
      </c>
      <c r="BB262" s="146" t="e">
        <f>INDEX(#REF!, MATCH($A262,#REF!, 0), MATCH(BB$4,#REF!, 0))</f>
        <v>#REF!</v>
      </c>
      <c r="BC262" s="146" t="e">
        <f>INDEX(#REF!, MATCH($A262,#REF!, 0), MATCH(BC$4,#REF!, 0))</f>
        <v>#REF!</v>
      </c>
      <c r="BD262" s="364" t="e">
        <f>INDEX(#REF!, MATCH($A262,#REF!, 0), MATCH(BD$4,#REF!, 0))</f>
        <v>#REF!</v>
      </c>
      <c r="BE262" s="320" t="e">
        <f>INDEX(#REF!, MATCH($A262,#REF!, 0), MATCH(BE$4,#REF!, 0))</f>
        <v>#REF!</v>
      </c>
      <c r="BF262" s="146" t="e">
        <f>INDEX(#REF!, MATCH($A262,#REF!, 0), MATCH(BF$4,#REF!, 0))</f>
        <v>#REF!</v>
      </c>
      <c r="BG262" s="146" t="e">
        <f>INDEX(#REF!, MATCH($A262,#REF!, 0), MATCH(BG$4,#REF!, 0))</f>
        <v>#REF!</v>
      </c>
      <c r="BH262" s="146" t="e">
        <f>INDEX(#REF!, MATCH($A262,#REF!, 0), MATCH(BH$4,#REF!, 0))</f>
        <v>#REF!</v>
      </c>
      <c r="BI262" s="146" t="e">
        <f>INDEX(#REF!, MATCH($A262,#REF!, 0), MATCH(BI$4,#REF!, 0))</f>
        <v>#REF!</v>
      </c>
      <c r="BJ262" s="146" t="e">
        <f>INDEX(#REF!, MATCH($A262,#REF!, 0), MATCH(BJ$4,#REF!, 0))</f>
        <v>#REF!</v>
      </c>
      <c r="BK262" s="364" t="e">
        <f>INDEX(#REF!, MATCH($A262,#REF!, 0), MATCH(BK$4,#REF!, 0))</f>
        <v>#REF!</v>
      </c>
      <c r="BL262" s="150"/>
      <c r="BM262" s="150"/>
      <c r="BN262" s="150"/>
      <c r="BO262" s="150"/>
      <c r="BP262" s="150"/>
      <c r="BQ262" s="150"/>
      <c r="BR262" s="150"/>
      <c r="BT262" s="121"/>
    </row>
    <row r="263" spans="1:91">
      <c r="A263" s="130"/>
      <c r="B263" s="117" t="s">
        <v>27</v>
      </c>
      <c r="C263" s="117"/>
      <c r="D263" s="157" t="e">
        <f t="shared" ref="D263:AI263" si="761">D29</f>
        <v>#REF!</v>
      </c>
      <c r="E263" s="157" t="e">
        <f t="shared" si="761"/>
        <v>#REF!</v>
      </c>
      <c r="F263" s="157" t="e">
        <f t="shared" si="761"/>
        <v>#REF!</v>
      </c>
      <c r="G263" s="157" t="e">
        <f t="shared" si="761"/>
        <v>#REF!</v>
      </c>
      <c r="H263" s="157" t="e">
        <f t="shared" si="761"/>
        <v>#REF!</v>
      </c>
      <c r="I263" s="157" t="e">
        <f t="shared" si="761"/>
        <v>#REF!</v>
      </c>
      <c r="J263" s="157" t="e">
        <f t="shared" si="761"/>
        <v>#REF!</v>
      </c>
      <c r="K263" s="157" t="e">
        <f t="shared" si="761"/>
        <v>#REF!</v>
      </c>
      <c r="L263" s="157" t="e">
        <f t="shared" si="761"/>
        <v>#REF!</v>
      </c>
      <c r="M263" s="157" t="e">
        <f t="shared" si="761"/>
        <v>#REF!</v>
      </c>
      <c r="N263" s="157" t="e">
        <f t="shared" si="761"/>
        <v>#REF!</v>
      </c>
      <c r="O263" s="157" t="e">
        <f t="shared" si="761"/>
        <v>#REF!</v>
      </c>
      <c r="P263" s="157" t="e">
        <f t="shared" si="761"/>
        <v>#REF!</v>
      </c>
      <c r="Q263" s="157" t="e">
        <f t="shared" si="761"/>
        <v>#REF!</v>
      </c>
      <c r="R263" s="157" t="e">
        <f t="shared" si="761"/>
        <v>#REF!</v>
      </c>
      <c r="S263" s="157" t="e">
        <f t="shared" si="761"/>
        <v>#REF!</v>
      </c>
      <c r="T263" s="157" t="e">
        <f t="shared" si="761"/>
        <v>#REF!</v>
      </c>
      <c r="U263" s="157" t="e">
        <f t="shared" si="761"/>
        <v>#REF!</v>
      </c>
      <c r="V263" s="327">
        <f t="shared" si="761"/>
        <v>0</v>
      </c>
      <c r="W263" s="157">
        <f t="shared" si="761"/>
        <v>0</v>
      </c>
      <c r="X263" s="157">
        <f t="shared" si="761"/>
        <v>0</v>
      </c>
      <c r="Y263" s="157">
        <f t="shared" si="761"/>
        <v>0</v>
      </c>
      <c r="Z263" s="157">
        <f t="shared" si="761"/>
        <v>0</v>
      </c>
      <c r="AA263" s="157">
        <f t="shared" si="761"/>
        <v>0</v>
      </c>
      <c r="AB263" s="157" t="e">
        <f t="shared" si="761"/>
        <v>#REF!</v>
      </c>
      <c r="AC263" s="327">
        <f t="shared" si="761"/>
        <v>0</v>
      </c>
      <c r="AD263" s="157">
        <f t="shared" si="761"/>
        <v>0</v>
      </c>
      <c r="AE263" s="157">
        <f t="shared" si="761"/>
        <v>0</v>
      </c>
      <c r="AF263" s="157">
        <f t="shared" si="761"/>
        <v>0</v>
      </c>
      <c r="AG263" s="157">
        <f t="shared" si="761"/>
        <v>0</v>
      </c>
      <c r="AH263" s="157">
        <f t="shared" si="761"/>
        <v>0</v>
      </c>
      <c r="AI263" s="157" t="e">
        <f t="shared" si="761"/>
        <v>#REF!</v>
      </c>
      <c r="AJ263" s="327">
        <f t="shared" ref="AJ263:BD263" si="762">AJ29</f>
        <v>0</v>
      </c>
      <c r="AK263" s="157">
        <f t="shared" si="762"/>
        <v>0</v>
      </c>
      <c r="AL263" s="157">
        <f t="shared" si="762"/>
        <v>0</v>
      </c>
      <c r="AM263" s="157">
        <f t="shared" si="762"/>
        <v>0</v>
      </c>
      <c r="AN263" s="157">
        <f t="shared" si="762"/>
        <v>0</v>
      </c>
      <c r="AO263" s="157">
        <f t="shared" si="762"/>
        <v>0</v>
      </c>
      <c r="AP263" s="157" t="e">
        <f t="shared" si="762"/>
        <v>#REF!</v>
      </c>
      <c r="AQ263" s="327">
        <f t="shared" si="762"/>
        <v>0</v>
      </c>
      <c r="AR263" s="157">
        <f t="shared" si="762"/>
        <v>0</v>
      </c>
      <c r="AS263" s="157">
        <f t="shared" si="762"/>
        <v>0</v>
      </c>
      <c r="AT263" s="157">
        <f t="shared" si="762"/>
        <v>0</v>
      </c>
      <c r="AU263" s="157">
        <f t="shared" si="762"/>
        <v>0</v>
      </c>
      <c r="AV263" s="157">
        <f t="shared" si="762"/>
        <v>0</v>
      </c>
      <c r="AW263" s="157" t="e">
        <f t="shared" si="762"/>
        <v>#REF!</v>
      </c>
      <c r="AX263" s="327">
        <f t="shared" si="762"/>
        <v>0</v>
      </c>
      <c r="AY263" s="157">
        <f t="shared" si="762"/>
        <v>0</v>
      </c>
      <c r="AZ263" s="157">
        <f t="shared" si="762"/>
        <v>0</v>
      </c>
      <c r="BA263" s="157">
        <f t="shared" si="762"/>
        <v>0</v>
      </c>
      <c r="BB263" s="157">
        <f t="shared" si="762"/>
        <v>0</v>
      </c>
      <c r="BC263" s="157">
        <f t="shared" si="762"/>
        <v>0</v>
      </c>
      <c r="BD263" s="370" t="e">
        <f t="shared" si="762"/>
        <v>#REF!</v>
      </c>
      <c r="BE263" s="327">
        <f t="shared" ref="BE263:BK263" si="763">BE29</f>
        <v>0</v>
      </c>
      <c r="BF263" s="157">
        <f t="shared" si="763"/>
        <v>0</v>
      </c>
      <c r="BG263" s="157">
        <f t="shared" si="763"/>
        <v>0</v>
      </c>
      <c r="BH263" s="157">
        <f t="shared" si="763"/>
        <v>0</v>
      </c>
      <c r="BI263" s="157">
        <f t="shared" si="763"/>
        <v>0</v>
      </c>
      <c r="BJ263" s="157">
        <f t="shared" si="763"/>
        <v>0</v>
      </c>
      <c r="BK263" s="370" t="e">
        <f t="shared" si="763"/>
        <v>#REF!</v>
      </c>
      <c r="BL263" s="150" t="e">
        <f t="shared" ref="BL263:BR263" si="764">BL29</f>
        <v>#REF!</v>
      </c>
      <c r="BM263" s="150" t="e">
        <f t="shared" si="764"/>
        <v>#REF!</v>
      </c>
      <c r="BN263" s="150" t="e">
        <f t="shared" si="764"/>
        <v>#REF!</v>
      </c>
      <c r="BO263" s="150" t="e">
        <f t="shared" si="764"/>
        <v>#REF!</v>
      </c>
      <c r="BP263" s="150" t="e">
        <f t="shared" si="764"/>
        <v>#REF!</v>
      </c>
      <c r="BQ263" s="150" t="e">
        <f t="shared" si="764"/>
        <v>#REF!</v>
      </c>
      <c r="BR263" s="150" t="e">
        <f t="shared" si="764"/>
        <v>#REF!</v>
      </c>
      <c r="BT263" s="121"/>
    </row>
    <row r="264" spans="1:91">
      <c r="A264" s="130"/>
      <c r="B264" s="117" t="s">
        <v>104</v>
      </c>
      <c r="C264" s="117"/>
      <c r="D264" s="157" t="e">
        <f t="shared" ref="D264:AI264" si="765">D34</f>
        <v>#REF!</v>
      </c>
      <c r="E264" s="157" t="e">
        <f t="shared" si="765"/>
        <v>#REF!</v>
      </c>
      <c r="F264" s="157" t="e">
        <f t="shared" si="765"/>
        <v>#REF!</v>
      </c>
      <c r="G264" s="157" t="e">
        <f t="shared" si="765"/>
        <v>#REF!</v>
      </c>
      <c r="H264" s="157" t="e">
        <f t="shared" si="765"/>
        <v>#REF!</v>
      </c>
      <c r="I264" s="157" t="e">
        <f t="shared" si="765"/>
        <v>#REF!</v>
      </c>
      <c r="J264" s="157" t="e">
        <f t="shared" si="765"/>
        <v>#REF!</v>
      </c>
      <c r="K264" s="157" t="e">
        <f t="shared" si="765"/>
        <v>#REF!</v>
      </c>
      <c r="L264" s="157" t="e">
        <f t="shared" si="765"/>
        <v>#REF!</v>
      </c>
      <c r="M264" s="157" t="e">
        <f t="shared" si="765"/>
        <v>#REF!</v>
      </c>
      <c r="N264" s="157" t="e">
        <f t="shared" si="765"/>
        <v>#REF!</v>
      </c>
      <c r="O264" s="157" t="e">
        <f t="shared" si="765"/>
        <v>#REF!</v>
      </c>
      <c r="P264" s="157" t="e">
        <f t="shared" si="765"/>
        <v>#REF!</v>
      </c>
      <c r="Q264" s="157" t="e">
        <f t="shared" si="765"/>
        <v>#REF!</v>
      </c>
      <c r="R264" s="157" t="e">
        <f t="shared" si="765"/>
        <v>#REF!</v>
      </c>
      <c r="S264" s="157" t="e">
        <f t="shared" si="765"/>
        <v>#REF!</v>
      </c>
      <c r="T264" s="157" t="e">
        <f t="shared" si="765"/>
        <v>#REF!</v>
      </c>
      <c r="U264" s="157" t="e">
        <f t="shared" si="765"/>
        <v>#REF!</v>
      </c>
      <c r="V264" s="327" t="e">
        <f t="shared" si="765"/>
        <v>#REF!</v>
      </c>
      <c r="W264" s="157" t="e">
        <f t="shared" si="765"/>
        <v>#REF!</v>
      </c>
      <c r="X264" s="157" t="e">
        <f t="shared" si="765"/>
        <v>#REF!</v>
      </c>
      <c r="Y264" s="157" t="e">
        <f t="shared" si="765"/>
        <v>#REF!</v>
      </c>
      <c r="Z264" s="157" t="e">
        <f t="shared" si="765"/>
        <v>#REF!</v>
      </c>
      <c r="AA264" s="157" t="e">
        <f t="shared" si="765"/>
        <v>#REF!</v>
      </c>
      <c r="AB264" s="157" t="e">
        <f t="shared" si="765"/>
        <v>#REF!</v>
      </c>
      <c r="AC264" s="327" t="e">
        <f t="shared" si="765"/>
        <v>#REF!</v>
      </c>
      <c r="AD264" s="157" t="e">
        <f t="shared" si="765"/>
        <v>#REF!</v>
      </c>
      <c r="AE264" s="157" t="e">
        <f t="shared" si="765"/>
        <v>#REF!</v>
      </c>
      <c r="AF264" s="157" t="e">
        <f t="shared" si="765"/>
        <v>#REF!</v>
      </c>
      <c r="AG264" s="157" t="e">
        <f t="shared" si="765"/>
        <v>#REF!</v>
      </c>
      <c r="AH264" s="157" t="e">
        <f t="shared" si="765"/>
        <v>#REF!</v>
      </c>
      <c r="AI264" s="157" t="e">
        <f t="shared" si="765"/>
        <v>#REF!</v>
      </c>
      <c r="AJ264" s="327" t="e">
        <f t="shared" ref="AJ264:BD264" si="766">AJ34</f>
        <v>#REF!</v>
      </c>
      <c r="AK264" s="157" t="e">
        <f t="shared" si="766"/>
        <v>#REF!</v>
      </c>
      <c r="AL264" s="157" t="e">
        <f t="shared" si="766"/>
        <v>#REF!</v>
      </c>
      <c r="AM264" s="157" t="e">
        <f t="shared" si="766"/>
        <v>#REF!</v>
      </c>
      <c r="AN264" s="157" t="e">
        <f t="shared" si="766"/>
        <v>#REF!</v>
      </c>
      <c r="AO264" s="157" t="e">
        <f t="shared" si="766"/>
        <v>#REF!</v>
      </c>
      <c r="AP264" s="157" t="e">
        <f t="shared" si="766"/>
        <v>#REF!</v>
      </c>
      <c r="AQ264" s="327" t="e">
        <f t="shared" si="766"/>
        <v>#REF!</v>
      </c>
      <c r="AR264" s="157" t="e">
        <f t="shared" si="766"/>
        <v>#REF!</v>
      </c>
      <c r="AS264" s="157" t="e">
        <f t="shared" si="766"/>
        <v>#REF!</v>
      </c>
      <c r="AT264" s="157" t="e">
        <f t="shared" si="766"/>
        <v>#REF!</v>
      </c>
      <c r="AU264" s="157" t="e">
        <f t="shared" si="766"/>
        <v>#REF!</v>
      </c>
      <c r="AV264" s="157" t="e">
        <f t="shared" si="766"/>
        <v>#REF!</v>
      </c>
      <c r="AW264" s="157" t="e">
        <f t="shared" si="766"/>
        <v>#REF!</v>
      </c>
      <c r="AX264" s="327" t="e">
        <f t="shared" si="766"/>
        <v>#REF!</v>
      </c>
      <c r="AY264" s="157" t="e">
        <f t="shared" si="766"/>
        <v>#REF!</v>
      </c>
      <c r="AZ264" s="157" t="e">
        <f t="shared" si="766"/>
        <v>#REF!</v>
      </c>
      <c r="BA264" s="157" t="e">
        <f t="shared" si="766"/>
        <v>#REF!</v>
      </c>
      <c r="BB264" s="157" t="e">
        <f t="shared" si="766"/>
        <v>#REF!</v>
      </c>
      <c r="BC264" s="157" t="e">
        <f t="shared" si="766"/>
        <v>#REF!</v>
      </c>
      <c r="BD264" s="370" t="e">
        <f t="shared" si="766"/>
        <v>#REF!</v>
      </c>
      <c r="BE264" s="327" t="e">
        <f t="shared" ref="BE264:BK264" si="767">BE34</f>
        <v>#REF!</v>
      </c>
      <c r="BF264" s="157" t="e">
        <f t="shared" si="767"/>
        <v>#REF!</v>
      </c>
      <c r="BG264" s="157" t="e">
        <f t="shared" si="767"/>
        <v>#REF!</v>
      </c>
      <c r="BH264" s="157" t="e">
        <f t="shared" si="767"/>
        <v>#REF!</v>
      </c>
      <c r="BI264" s="157" t="e">
        <f t="shared" si="767"/>
        <v>#REF!</v>
      </c>
      <c r="BJ264" s="157" t="e">
        <f t="shared" si="767"/>
        <v>#REF!</v>
      </c>
      <c r="BK264" s="370" t="e">
        <f t="shared" si="767"/>
        <v>#REF!</v>
      </c>
      <c r="BL264" s="157" t="e">
        <f t="shared" ref="BL264:BR264" si="768">BL296</f>
        <v>#REF!</v>
      </c>
      <c r="BM264" s="157" t="e">
        <f t="shared" si="768"/>
        <v>#REF!</v>
      </c>
      <c r="BN264" s="157" t="e">
        <f t="shared" si="768"/>
        <v>#REF!</v>
      </c>
      <c r="BO264" s="157" t="e">
        <f t="shared" si="768"/>
        <v>#REF!</v>
      </c>
      <c r="BP264" s="157" t="e">
        <f t="shared" si="768"/>
        <v>#REF!</v>
      </c>
      <c r="BQ264" s="157" t="e">
        <f t="shared" si="768"/>
        <v>#REF!</v>
      </c>
      <c r="BR264" s="157" t="e">
        <f t="shared" si="768"/>
        <v>#REF!</v>
      </c>
      <c r="BT264" s="121"/>
    </row>
    <row r="265" spans="1:91" ht="13.8">
      <c r="A265" s="130"/>
      <c r="B265" s="179" t="s">
        <v>310</v>
      </c>
      <c r="C265" s="117"/>
      <c r="D265" s="157" t="e">
        <f t="shared" ref="D265:AI265" si="769">D42*-1</f>
        <v>#REF!</v>
      </c>
      <c r="E265" s="157" t="e">
        <f t="shared" si="769"/>
        <v>#REF!</v>
      </c>
      <c r="F265" s="157" t="e">
        <f t="shared" si="769"/>
        <v>#REF!</v>
      </c>
      <c r="G265" s="157" t="e">
        <f t="shared" si="769"/>
        <v>#REF!</v>
      </c>
      <c r="H265" s="157" t="e">
        <f t="shared" si="769"/>
        <v>#REF!</v>
      </c>
      <c r="I265" s="157" t="e">
        <f t="shared" si="769"/>
        <v>#REF!</v>
      </c>
      <c r="J265" s="157" t="e">
        <f t="shared" si="769"/>
        <v>#REF!</v>
      </c>
      <c r="K265" s="157" t="e">
        <f t="shared" si="769"/>
        <v>#REF!</v>
      </c>
      <c r="L265" s="157" t="e">
        <f t="shared" si="769"/>
        <v>#REF!</v>
      </c>
      <c r="M265" s="157" t="e">
        <f t="shared" si="769"/>
        <v>#REF!</v>
      </c>
      <c r="N265" s="157" t="e">
        <f t="shared" si="769"/>
        <v>#REF!</v>
      </c>
      <c r="O265" s="157" t="e">
        <f t="shared" si="769"/>
        <v>#REF!</v>
      </c>
      <c r="P265" s="157" t="e">
        <f t="shared" si="769"/>
        <v>#REF!</v>
      </c>
      <c r="Q265" s="157" t="e">
        <f t="shared" si="769"/>
        <v>#REF!</v>
      </c>
      <c r="R265" s="157" t="e">
        <f t="shared" si="769"/>
        <v>#REF!</v>
      </c>
      <c r="S265" s="157" t="e">
        <f t="shared" si="769"/>
        <v>#REF!</v>
      </c>
      <c r="T265" s="157" t="e">
        <f t="shared" si="769"/>
        <v>#REF!</v>
      </c>
      <c r="U265" s="157" t="e">
        <f t="shared" si="769"/>
        <v>#REF!</v>
      </c>
      <c r="V265" s="327" t="e">
        <f t="shared" si="769"/>
        <v>#REF!</v>
      </c>
      <c r="W265" s="157" t="e">
        <f t="shared" si="769"/>
        <v>#REF!</v>
      </c>
      <c r="X265" s="157" t="e">
        <f t="shared" si="769"/>
        <v>#REF!</v>
      </c>
      <c r="Y265" s="157" t="e">
        <f t="shared" si="769"/>
        <v>#REF!</v>
      </c>
      <c r="Z265" s="157" t="e">
        <f t="shared" si="769"/>
        <v>#REF!</v>
      </c>
      <c r="AA265" s="157" t="e">
        <f t="shared" si="769"/>
        <v>#REF!</v>
      </c>
      <c r="AB265" s="157" t="e">
        <f t="shared" si="769"/>
        <v>#REF!</v>
      </c>
      <c r="AC265" s="327" t="e">
        <f t="shared" si="769"/>
        <v>#REF!</v>
      </c>
      <c r="AD265" s="157" t="e">
        <f t="shared" si="769"/>
        <v>#REF!</v>
      </c>
      <c r="AE265" s="157" t="e">
        <f t="shared" si="769"/>
        <v>#REF!</v>
      </c>
      <c r="AF265" s="157" t="e">
        <f t="shared" si="769"/>
        <v>#REF!</v>
      </c>
      <c r="AG265" s="157" t="e">
        <f t="shared" si="769"/>
        <v>#REF!</v>
      </c>
      <c r="AH265" s="157" t="e">
        <f t="shared" si="769"/>
        <v>#REF!</v>
      </c>
      <c r="AI265" s="157" t="e">
        <f t="shared" si="769"/>
        <v>#REF!</v>
      </c>
      <c r="AJ265" s="327" t="e">
        <f t="shared" ref="AJ265:BD265" si="770">AJ42*-1</f>
        <v>#REF!</v>
      </c>
      <c r="AK265" s="157" t="e">
        <f t="shared" si="770"/>
        <v>#REF!</v>
      </c>
      <c r="AL265" s="157" t="e">
        <f t="shared" si="770"/>
        <v>#REF!</v>
      </c>
      <c r="AM265" s="157" t="e">
        <f t="shared" si="770"/>
        <v>#REF!</v>
      </c>
      <c r="AN265" s="157" t="e">
        <f t="shared" si="770"/>
        <v>#REF!</v>
      </c>
      <c r="AO265" s="157" t="e">
        <f t="shared" si="770"/>
        <v>#REF!</v>
      </c>
      <c r="AP265" s="157" t="e">
        <f t="shared" si="770"/>
        <v>#REF!</v>
      </c>
      <c r="AQ265" s="327" t="e">
        <f t="shared" si="770"/>
        <v>#REF!</v>
      </c>
      <c r="AR265" s="157" t="e">
        <f t="shared" si="770"/>
        <v>#REF!</v>
      </c>
      <c r="AS265" s="157" t="e">
        <f t="shared" si="770"/>
        <v>#REF!</v>
      </c>
      <c r="AT265" s="157" t="e">
        <f t="shared" si="770"/>
        <v>#REF!</v>
      </c>
      <c r="AU265" s="157" t="e">
        <f t="shared" si="770"/>
        <v>#REF!</v>
      </c>
      <c r="AV265" s="157" t="e">
        <f t="shared" si="770"/>
        <v>#REF!</v>
      </c>
      <c r="AW265" s="157" t="e">
        <f t="shared" si="770"/>
        <v>#REF!</v>
      </c>
      <c r="AX265" s="327" t="e">
        <f t="shared" si="770"/>
        <v>#REF!</v>
      </c>
      <c r="AY265" s="157" t="e">
        <f t="shared" si="770"/>
        <v>#REF!</v>
      </c>
      <c r="AZ265" s="157" t="e">
        <f t="shared" si="770"/>
        <v>#REF!</v>
      </c>
      <c r="BA265" s="157" t="e">
        <f t="shared" si="770"/>
        <v>#REF!</v>
      </c>
      <c r="BB265" s="157" t="e">
        <f t="shared" si="770"/>
        <v>#REF!</v>
      </c>
      <c r="BC265" s="157" t="e">
        <f t="shared" si="770"/>
        <v>#REF!</v>
      </c>
      <c r="BD265" s="370" t="e">
        <f t="shared" si="770"/>
        <v>#REF!</v>
      </c>
      <c r="BE265" s="327" t="e">
        <f t="shared" ref="BE265:BK265" si="771">BE42*-1</f>
        <v>#REF!</v>
      </c>
      <c r="BF265" s="157" t="e">
        <f t="shared" si="771"/>
        <v>#REF!</v>
      </c>
      <c r="BG265" s="157" t="e">
        <f t="shared" si="771"/>
        <v>#REF!</v>
      </c>
      <c r="BH265" s="157" t="e">
        <f t="shared" si="771"/>
        <v>#REF!</v>
      </c>
      <c r="BI265" s="157" t="e">
        <f t="shared" si="771"/>
        <v>#REF!</v>
      </c>
      <c r="BJ265" s="157" t="e">
        <f t="shared" si="771"/>
        <v>#REF!</v>
      </c>
      <c r="BK265" s="370" t="e">
        <f t="shared" si="771"/>
        <v>#REF!</v>
      </c>
      <c r="BL265" s="157"/>
      <c r="BM265" s="157"/>
      <c r="BN265" s="157"/>
      <c r="BO265" s="157"/>
      <c r="BP265" s="157"/>
      <c r="BQ265" s="157"/>
      <c r="BR265" s="157"/>
      <c r="BT265" s="121"/>
    </row>
    <row r="266" spans="1:91" ht="13.8">
      <c r="A266" s="130"/>
      <c r="B266" s="179" t="s">
        <v>308</v>
      </c>
      <c r="C266" s="117"/>
      <c r="D266" s="157" t="e">
        <f t="shared" ref="D266:AI266" si="772">D45*-1</f>
        <v>#REF!</v>
      </c>
      <c r="E266" s="157" t="e">
        <f t="shared" si="772"/>
        <v>#REF!</v>
      </c>
      <c r="F266" s="157" t="e">
        <f t="shared" si="772"/>
        <v>#REF!</v>
      </c>
      <c r="G266" s="157" t="e">
        <f t="shared" si="772"/>
        <v>#REF!</v>
      </c>
      <c r="H266" s="157" t="e">
        <f t="shared" si="772"/>
        <v>#REF!</v>
      </c>
      <c r="I266" s="157" t="e">
        <f t="shared" si="772"/>
        <v>#REF!</v>
      </c>
      <c r="J266" s="157" t="e">
        <f t="shared" si="772"/>
        <v>#REF!</v>
      </c>
      <c r="K266" s="157" t="e">
        <f t="shared" si="772"/>
        <v>#REF!</v>
      </c>
      <c r="L266" s="157" t="e">
        <f t="shared" si="772"/>
        <v>#REF!</v>
      </c>
      <c r="M266" s="157" t="e">
        <f t="shared" si="772"/>
        <v>#REF!</v>
      </c>
      <c r="N266" s="157" t="e">
        <f t="shared" si="772"/>
        <v>#REF!</v>
      </c>
      <c r="O266" s="157" t="e">
        <f t="shared" si="772"/>
        <v>#REF!</v>
      </c>
      <c r="P266" s="157" t="e">
        <f t="shared" si="772"/>
        <v>#REF!</v>
      </c>
      <c r="Q266" s="157" t="e">
        <f t="shared" si="772"/>
        <v>#REF!</v>
      </c>
      <c r="R266" s="157" t="e">
        <f t="shared" si="772"/>
        <v>#REF!</v>
      </c>
      <c r="S266" s="157" t="e">
        <f t="shared" si="772"/>
        <v>#REF!</v>
      </c>
      <c r="T266" s="157" t="e">
        <f t="shared" si="772"/>
        <v>#REF!</v>
      </c>
      <c r="U266" s="157" t="e">
        <f t="shared" si="772"/>
        <v>#REF!</v>
      </c>
      <c r="V266" s="327" t="e">
        <f t="shared" si="772"/>
        <v>#REF!</v>
      </c>
      <c r="W266" s="157" t="e">
        <f t="shared" si="772"/>
        <v>#REF!</v>
      </c>
      <c r="X266" s="157" t="e">
        <f t="shared" si="772"/>
        <v>#REF!</v>
      </c>
      <c r="Y266" s="157" t="e">
        <f t="shared" si="772"/>
        <v>#REF!</v>
      </c>
      <c r="Z266" s="157" t="e">
        <f t="shared" si="772"/>
        <v>#REF!</v>
      </c>
      <c r="AA266" s="157" t="e">
        <f t="shared" si="772"/>
        <v>#REF!</v>
      </c>
      <c r="AB266" s="157" t="e">
        <f t="shared" si="772"/>
        <v>#REF!</v>
      </c>
      <c r="AC266" s="327" t="e">
        <f t="shared" si="772"/>
        <v>#REF!</v>
      </c>
      <c r="AD266" s="157" t="e">
        <f t="shared" si="772"/>
        <v>#REF!</v>
      </c>
      <c r="AE266" s="157" t="e">
        <f t="shared" si="772"/>
        <v>#REF!</v>
      </c>
      <c r="AF266" s="157" t="e">
        <f t="shared" si="772"/>
        <v>#REF!</v>
      </c>
      <c r="AG266" s="157" t="e">
        <f t="shared" si="772"/>
        <v>#REF!</v>
      </c>
      <c r="AH266" s="157" t="e">
        <f t="shared" si="772"/>
        <v>#REF!</v>
      </c>
      <c r="AI266" s="157" t="e">
        <f t="shared" si="772"/>
        <v>#REF!</v>
      </c>
      <c r="AJ266" s="327" t="e">
        <f t="shared" ref="AJ266:BD266" si="773">AJ45*-1</f>
        <v>#REF!</v>
      </c>
      <c r="AK266" s="157" t="e">
        <f t="shared" si="773"/>
        <v>#REF!</v>
      </c>
      <c r="AL266" s="157" t="e">
        <f t="shared" si="773"/>
        <v>#REF!</v>
      </c>
      <c r="AM266" s="157" t="e">
        <f t="shared" si="773"/>
        <v>#REF!</v>
      </c>
      <c r="AN266" s="157" t="e">
        <f t="shared" si="773"/>
        <v>#REF!</v>
      </c>
      <c r="AO266" s="157" t="e">
        <f t="shared" si="773"/>
        <v>#REF!</v>
      </c>
      <c r="AP266" s="157" t="e">
        <f t="shared" si="773"/>
        <v>#REF!</v>
      </c>
      <c r="AQ266" s="327" t="e">
        <f t="shared" si="773"/>
        <v>#REF!</v>
      </c>
      <c r="AR266" s="157" t="e">
        <f t="shared" si="773"/>
        <v>#REF!</v>
      </c>
      <c r="AS266" s="157" t="e">
        <f t="shared" si="773"/>
        <v>#REF!</v>
      </c>
      <c r="AT266" s="157" t="e">
        <f t="shared" si="773"/>
        <v>#REF!</v>
      </c>
      <c r="AU266" s="157" t="e">
        <f t="shared" si="773"/>
        <v>#REF!</v>
      </c>
      <c r="AV266" s="157" t="e">
        <f t="shared" si="773"/>
        <v>#REF!</v>
      </c>
      <c r="AW266" s="157" t="e">
        <f t="shared" si="773"/>
        <v>#REF!</v>
      </c>
      <c r="AX266" s="327" t="e">
        <f t="shared" si="773"/>
        <v>#REF!</v>
      </c>
      <c r="AY266" s="157" t="e">
        <f t="shared" si="773"/>
        <v>#REF!</v>
      </c>
      <c r="AZ266" s="157" t="e">
        <f t="shared" si="773"/>
        <v>#REF!</v>
      </c>
      <c r="BA266" s="157" t="e">
        <f t="shared" si="773"/>
        <v>#REF!</v>
      </c>
      <c r="BB266" s="157" t="e">
        <f t="shared" si="773"/>
        <v>#REF!</v>
      </c>
      <c r="BC266" s="157" t="e">
        <f t="shared" si="773"/>
        <v>#REF!</v>
      </c>
      <c r="BD266" s="370" t="e">
        <f t="shared" si="773"/>
        <v>#REF!</v>
      </c>
      <c r="BE266" s="327" t="e">
        <f t="shared" ref="BE266:BK266" si="774">BE45*-1</f>
        <v>#REF!</v>
      </c>
      <c r="BF266" s="157" t="e">
        <f t="shared" si="774"/>
        <v>#REF!</v>
      </c>
      <c r="BG266" s="157" t="e">
        <f t="shared" si="774"/>
        <v>#REF!</v>
      </c>
      <c r="BH266" s="157" t="e">
        <f t="shared" si="774"/>
        <v>#REF!</v>
      </c>
      <c r="BI266" s="157" t="e">
        <f t="shared" si="774"/>
        <v>#REF!</v>
      </c>
      <c r="BJ266" s="157" t="e">
        <f t="shared" si="774"/>
        <v>#REF!</v>
      </c>
      <c r="BK266" s="370" t="e">
        <f t="shared" si="774"/>
        <v>#REF!</v>
      </c>
      <c r="BL266" s="157"/>
      <c r="BM266" s="157"/>
      <c r="BN266" s="157"/>
      <c r="BO266" s="157"/>
      <c r="BP266" s="157"/>
      <c r="BQ266" s="157"/>
      <c r="BR266" s="157"/>
      <c r="BT266" s="121"/>
    </row>
    <row r="267" spans="1:91">
      <c r="A267" s="130"/>
      <c r="B267" s="85" t="s">
        <v>304</v>
      </c>
      <c r="C267" s="117"/>
      <c r="D267" s="157" t="e">
        <f t="shared" ref="D267:AI267" si="775">D250</f>
        <v>#REF!</v>
      </c>
      <c r="E267" s="157" t="e">
        <f t="shared" si="775"/>
        <v>#REF!</v>
      </c>
      <c r="F267" s="157" t="e">
        <f t="shared" si="775"/>
        <v>#REF!</v>
      </c>
      <c r="G267" s="157" t="e">
        <f t="shared" si="775"/>
        <v>#REF!</v>
      </c>
      <c r="H267" s="157" t="e">
        <f t="shared" si="775"/>
        <v>#REF!</v>
      </c>
      <c r="I267" s="157" t="e">
        <f t="shared" si="775"/>
        <v>#REF!</v>
      </c>
      <c r="J267" s="157" t="e">
        <f t="shared" si="775"/>
        <v>#REF!</v>
      </c>
      <c r="K267" s="157" t="e">
        <f t="shared" si="775"/>
        <v>#REF!</v>
      </c>
      <c r="L267" s="157" t="e">
        <f t="shared" si="775"/>
        <v>#REF!</v>
      </c>
      <c r="M267" s="157" t="e">
        <f t="shared" si="775"/>
        <v>#REF!</v>
      </c>
      <c r="N267" s="157" t="e">
        <f t="shared" si="775"/>
        <v>#REF!</v>
      </c>
      <c r="O267" s="157" t="e">
        <f t="shared" si="775"/>
        <v>#REF!</v>
      </c>
      <c r="P267" s="157" t="e">
        <f t="shared" si="775"/>
        <v>#REF!</v>
      </c>
      <c r="Q267" s="157" t="e">
        <f t="shared" si="775"/>
        <v>#REF!</v>
      </c>
      <c r="R267" s="157" t="e">
        <f t="shared" si="775"/>
        <v>#REF!</v>
      </c>
      <c r="S267" s="157" t="e">
        <f t="shared" si="775"/>
        <v>#REF!</v>
      </c>
      <c r="T267" s="157" t="e">
        <f t="shared" si="775"/>
        <v>#REF!</v>
      </c>
      <c r="U267" s="157" t="e">
        <f t="shared" si="775"/>
        <v>#REF!</v>
      </c>
      <c r="V267" s="327" t="e">
        <f t="shared" si="775"/>
        <v>#REF!</v>
      </c>
      <c r="W267" s="157" t="e">
        <f t="shared" si="775"/>
        <v>#REF!</v>
      </c>
      <c r="X267" s="157" t="e">
        <f t="shared" si="775"/>
        <v>#REF!</v>
      </c>
      <c r="Y267" s="157" t="e">
        <f t="shared" si="775"/>
        <v>#REF!</v>
      </c>
      <c r="Z267" s="157" t="e">
        <f t="shared" si="775"/>
        <v>#REF!</v>
      </c>
      <c r="AA267" s="157" t="e">
        <f t="shared" si="775"/>
        <v>#REF!</v>
      </c>
      <c r="AB267" s="157" t="e">
        <f t="shared" si="775"/>
        <v>#REF!</v>
      </c>
      <c r="AC267" s="327" t="e">
        <f t="shared" si="775"/>
        <v>#REF!</v>
      </c>
      <c r="AD267" s="157" t="e">
        <f t="shared" si="775"/>
        <v>#REF!</v>
      </c>
      <c r="AE267" s="157" t="e">
        <f t="shared" si="775"/>
        <v>#REF!</v>
      </c>
      <c r="AF267" s="157" t="e">
        <f t="shared" si="775"/>
        <v>#REF!</v>
      </c>
      <c r="AG267" s="157" t="e">
        <f t="shared" si="775"/>
        <v>#REF!</v>
      </c>
      <c r="AH267" s="157" t="e">
        <f t="shared" si="775"/>
        <v>#REF!</v>
      </c>
      <c r="AI267" s="157" t="e">
        <f t="shared" si="775"/>
        <v>#REF!</v>
      </c>
      <c r="AJ267" s="327" t="e">
        <f t="shared" ref="AJ267:BD267" si="776">AJ250</f>
        <v>#REF!</v>
      </c>
      <c r="AK267" s="157" t="e">
        <f t="shared" si="776"/>
        <v>#REF!</v>
      </c>
      <c r="AL267" s="157" t="e">
        <f t="shared" si="776"/>
        <v>#REF!</v>
      </c>
      <c r="AM267" s="157" t="e">
        <f t="shared" si="776"/>
        <v>#REF!</v>
      </c>
      <c r="AN267" s="157" t="e">
        <f t="shared" si="776"/>
        <v>#REF!</v>
      </c>
      <c r="AO267" s="157" t="e">
        <f t="shared" si="776"/>
        <v>#REF!</v>
      </c>
      <c r="AP267" s="157" t="e">
        <f t="shared" si="776"/>
        <v>#REF!</v>
      </c>
      <c r="AQ267" s="327" t="e">
        <f t="shared" si="776"/>
        <v>#REF!</v>
      </c>
      <c r="AR267" s="157" t="e">
        <f t="shared" si="776"/>
        <v>#REF!</v>
      </c>
      <c r="AS267" s="157" t="e">
        <f t="shared" si="776"/>
        <v>#REF!</v>
      </c>
      <c r="AT267" s="157" t="e">
        <f t="shared" si="776"/>
        <v>#REF!</v>
      </c>
      <c r="AU267" s="157" t="e">
        <f t="shared" si="776"/>
        <v>#REF!</v>
      </c>
      <c r="AV267" s="157" t="e">
        <f t="shared" si="776"/>
        <v>#REF!</v>
      </c>
      <c r="AW267" s="157" t="e">
        <f t="shared" si="776"/>
        <v>#REF!</v>
      </c>
      <c r="AX267" s="327" t="e">
        <f t="shared" si="776"/>
        <v>#REF!</v>
      </c>
      <c r="AY267" s="157" t="e">
        <f t="shared" si="776"/>
        <v>#REF!</v>
      </c>
      <c r="AZ267" s="157" t="e">
        <f t="shared" si="776"/>
        <v>#REF!</v>
      </c>
      <c r="BA267" s="157" t="e">
        <f t="shared" si="776"/>
        <v>#REF!</v>
      </c>
      <c r="BB267" s="157" t="e">
        <f t="shared" si="776"/>
        <v>#REF!</v>
      </c>
      <c r="BC267" s="157" t="e">
        <f t="shared" si="776"/>
        <v>#REF!</v>
      </c>
      <c r="BD267" s="370" t="e">
        <f t="shared" si="776"/>
        <v>#REF!</v>
      </c>
      <c r="BE267" s="327" t="e">
        <f t="shared" ref="BE267:BK267" si="777">BE250</f>
        <v>#REF!</v>
      </c>
      <c r="BF267" s="157" t="e">
        <f t="shared" si="777"/>
        <v>#REF!</v>
      </c>
      <c r="BG267" s="157" t="e">
        <f t="shared" si="777"/>
        <v>#REF!</v>
      </c>
      <c r="BH267" s="157" t="e">
        <f t="shared" si="777"/>
        <v>#REF!</v>
      </c>
      <c r="BI267" s="157" t="e">
        <f t="shared" si="777"/>
        <v>#REF!</v>
      </c>
      <c r="BJ267" s="157" t="e">
        <f t="shared" si="777"/>
        <v>#REF!</v>
      </c>
      <c r="BK267" s="370" t="e">
        <f t="shared" si="777"/>
        <v>#REF!</v>
      </c>
      <c r="BL267" s="157" t="e">
        <f t="shared" ref="BL267:BR268" si="778">BL250</f>
        <v>#REF!</v>
      </c>
      <c r="BM267" s="157" t="e">
        <f t="shared" si="778"/>
        <v>#REF!</v>
      </c>
      <c r="BN267" s="157" t="e">
        <f t="shared" si="778"/>
        <v>#REF!</v>
      </c>
      <c r="BO267" s="157" t="e">
        <f t="shared" si="778"/>
        <v>#REF!</v>
      </c>
      <c r="BP267" s="157" t="e">
        <f t="shared" si="778"/>
        <v>#REF!</v>
      </c>
      <c r="BQ267" s="157" t="e">
        <f t="shared" si="778"/>
        <v>#REF!</v>
      </c>
      <c r="BR267" s="157" t="e">
        <f t="shared" si="778"/>
        <v>#REF!</v>
      </c>
      <c r="BT267" s="121"/>
    </row>
    <row r="268" spans="1:91">
      <c r="A268" s="130"/>
      <c r="B268" s="85" t="s">
        <v>305</v>
      </c>
      <c r="C268" s="117"/>
      <c r="D268" s="157" t="e">
        <f t="shared" ref="D268:AI268" si="779">D251</f>
        <v>#REF!</v>
      </c>
      <c r="E268" s="157" t="e">
        <f t="shared" si="779"/>
        <v>#REF!</v>
      </c>
      <c r="F268" s="157" t="e">
        <f t="shared" si="779"/>
        <v>#REF!</v>
      </c>
      <c r="G268" s="157" t="e">
        <f t="shared" si="779"/>
        <v>#REF!</v>
      </c>
      <c r="H268" s="157" t="e">
        <f t="shared" si="779"/>
        <v>#REF!</v>
      </c>
      <c r="I268" s="157" t="e">
        <f t="shared" si="779"/>
        <v>#REF!</v>
      </c>
      <c r="J268" s="157" t="e">
        <f t="shared" si="779"/>
        <v>#REF!</v>
      </c>
      <c r="K268" s="157" t="e">
        <f t="shared" si="779"/>
        <v>#REF!</v>
      </c>
      <c r="L268" s="157" t="e">
        <f t="shared" si="779"/>
        <v>#REF!</v>
      </c>
      <c r="M268" s="157" t="e">
        <f t="shared" si="779"/>
        <v>#REF!</v>
      </c>
      <c r="N268" s="157" t="e">
        <f t="shared" si="779"/>
        <v>#REF!</v>
      </c>
      <c r="O268" s="157" t="e">
        <f t="shared" si="779"/>
        <v>#REF!</v>
      </c>
      <c r="P268" s="157" t="e">
        <f t="shared" si="779"/>
        <v>#REF!</v>
      </c>
      <c r="Q268" s="157" t="e">
        <f t="shared" si="779"/>
        <v>#REF!</v>
      </c>
      <c r="R268" s="157" t="e">
        <f t="shared" si="779"/>
        <v>#REF!</v>
      </c>
      <c r="S268" s="157" t="e">
        <f t="shared" si="779"/>
        <v>#REF!</v>
      </c>
      <c r="T268" s="157" t="e">
        <f t="shared" si="779"/>
        <v>#REF!</v>
      </c>
      <c r="U268" s="157" t="e">
        <f t="shared" si="779"/>
        <v>#REF!</v>
      </c>
      <c r="V268" s="327" t="e">
        <f t="shared" si="779"/>
        <v>#REF!</v>
      </c>
      <c r="W268" s="157" t="e">
        <f t="shared" si="779"/>
        <v>#REF!</v>
      </c>
      <c r="X268" s="157" t="e">
        <f t="shared" si="779"/>
        <v>#REF!</v>
      </c>
      <c r="Y268" s="157" t="e">
        <f t="shared" si="779"/>
        <v>#REF!</v>
      </c>
      <c r="Z268" s="157" t="e">
        <f t="shared" si="779"/>
        <v>#REF!</v>
      </c>
      <c r="AA268" s="157" t="e">
        <f t="shared" si="779"/>
        <v>#REF!</v>
      </c>
      <c r="AB268" s="157" t="e">
        <f t="shared" si="779"/>
        <v>#REF!</v>
      </c>
      <c r="AC268" s="327" t="e">
        <f t="shared" si="779"/>
        <v>#REF!</v>
      </c>
      <c r="AD268" s="157" t="e">
        <f t="shared" si="779"/>
        <v>#REF!</v>
      </c>
      <c r="AE268" s="157" t="e">
        <f t="shared" si="779"/>
        <v>#REF!</v>
      </c>
      <c r="AF268" s="157" t="e">
        <f t="shared" si="779"/>
        <v>#REF!</v>
      </c>
      <c r="AG268" s="157" t="e">
        <f t="shared" si="779"/>
        <v>#REF!</v>
      </c>
      <c r="AH268" s="157" t="e">
        <f t="shared" si="779"/>
        <v>#REF!</v>
      </c>
      <c r="AI268" s="157" t="e">
        <f t="shared" si="779"/>
        <v>#REF!</v>
      </c>
      <c r="AJ268" s="327" t="e">
        <f t="shared" ref="AJ268:BD268" si="780">AJ251</f>
        <v>#REF!</v>
      </c>
      <c r="AK268" s="157" t="e">
        <f t="shared" si="780"/>
        <v>#REF!</v>
      </c>
      <c r="AL268" s="157" t="e">
        <f t="shared" si="780"/>
        <v>#REF!</v>
      </c>
      <c r="AM268" s="157" t="e">
        <f t="shared" si="780"/>
        <v>#REF!</v>
      </c>
      <c r="AN268" s="157" t="e">
        <f t="shared" si="780"/>
        <v>#REF!</v>
      </c>
      <c r="AO268" s="157" t="e">
        <f t="shared" si="780"/>
        <v>#REF!</v>
      </c>
      <c r="AP268" s="157" t="e">
        <f t="shared" si="780"/>
        <v>#REF!</v>
      </c>
      <c r="AQ268" s="327" t="e">
        <f t="shared" si="780"/>
        <v>#REF!</v>
      </c>
      <c r="AR268" s="157" t="e">
        <f t="shared" si="780"/>
        <v>#REF!</v>
      </c>
      <c r="AS268" s="157" t="e">
        <f t="shared" si="780"/>
        <v>#REF!</v>
      </c>
      <c r="AT268" s="157" t="e">
        <f t="shared" si="780"/>
        <v>#REF!</v>
      </c>
      <c r="AU268" s="157" t="e">
        <f t="shared" si="780"/>
        <v>#REF!</v>
      </c>
      <c r="AV268" s="157" t="e">
        <f t="shared" si="780"/>
        <v>#REF!</v>
      </c>
      <c r="AW268" s="157" t="e">
        <f t="shared" si="780"/>
        <v>#REF!</v>
      </c>
      <c r="AX268" s="327" t="e">
        <f t="shared" si="780"/>
        <v>#REF!</v>
      </c>
      <c r="AY268" s="157" t="e">
        <f t="shared" si="780"/>
        <v>#REF!</v>
      </c>
      <c r="AZ268" s="157" t="e">
        <f t="shared" si="780"/>
        <v>#REF!</v>
      </c>
      <c r="BA268" s="157" t="e">
        <f t="shared" si="780"/>
        <v>#REF!</v>
      </c>
      <c r="BB268" s="157" t="e">
        <f t="shared" si="780"/>
        <v>#REF!</v>
      </c>
      <c r="BC268" s="157" t="e">
        <f t="shared" si="780"/>
        <v>#REF!</v>
      </c>
      <c r="BD268" s="370" t="e">
        <f t="shared" si="780"/>
        <v>#REF!</v>
      </c>
      <c r="BE268" s="327" t="e">
        <f t="shared" ref="BE268:BK268" si="781">BE251</f>
        <v>#REF!</v>
      </c>
      <c r="BF268" s="157" t="e">
        <f t="shared" si="781"/>
        <v>#REF!</v>
      </c>
      <c r="BG268" s="157" t="e">
        <f t="shared" si="781"/>
        <v>#REF!</v>
      </c>
      <c r="BH268" s="157" t="e">
        <f t="shared" si="781"/>
        <v>#REF!</v>
      </c>
      <c r="BI268" s="157" t="e">
        <f t="shared" si="781"/>
        <v>#REF!</v>
      </c>
      <c r="BJ268" s="157" t="e">
        <f t="shared" si="781"/>
        <v>#REF!</v>
      </c>
      <c r="BK268" s="370" t="e">
        <f t="shared" si="781"/>
        <v>#REF!</v>
      </c>
      <c r="BL268" s="157" t="e">
        <f t="shared" si="778"/>
        <v>#REF!</v>
      </c>
      <c r="BM268" s="157" t="e">
        <f t="shared" si="778"/>
        <v>#REF!</v>
      </c>
      <c r="BN268" s="157" t="e">
        <f t="shared" si="778"/>
        <v>#REF!</v>
      </c>
      <c r="BO268" s="157" t="e">
        <f t="shared" si="778"/>
        <v>#REF!</v>
      </c>
      <c r="BP268" s="157" t="e">
        <f t="shared" si="778"/>
        <v>#REF!</v>
      </c>
      <c r="BQ268" s="157" t="e">
        <f t="shared" si="778"/>
        <v>#REF!</v>
      </c>
      <c r="BR268" s="157" t="e">
        <f t="shared" si="778"/>
        <v>#REF!</v>
      </c>
      <c r="BT268" s="121"/>
    </row>
    <row r="269" spans="1:91">
      <c r="A269" s="130"/>
      <c r="B269" s="117" t="s">
        <v>306</v>
      </c>
      <c r="C269" s="117"/>
      <c r="D269" s="157" t="e">
        <f t="shared" ref="D269:AI269" si="782">D254</f>
        <v>#REF!</v>
      </c>
      <c r="E269" s="157" t="e">
        <f t="shared" si="782"/>
        <v>#REF!</v>
      </c>
      <c r="F269" s="157" t="e">
        <f t="shared" si="782"/>
        <v>#REF!</v>
      </c>
      <c r="G269" s="157" t="e">
        <f t="shared" si="782"/>
        <v>#REF!</v>
      </c>
      <c r="H269" s="157" t="e">
        <f t="shared" si="782"/>
        <v>#REF!</v>
      </c>
      <c r="I269" s="157" t="e">
        <f t="shared" si="782"/>
        <v>#REF!</v>
      </c>
      <c r="J269" s="157" t="e">
        <f t="shared" si="782"/>
        <v>#REF!</v>
      </c>
      <c r="K269" s="157" t="e">
        <f t="shared" si="782"/>
        <v>#REF!</v>
      </c>
      <c r="L269" s="157" t="e">
        <f t="shared" si="782"/>
        <v>#REF!</v>
      </c>
      <c r="M269" s="157" t="e">
        <f t="shared" si="782"/>
        <v>#REF!</v>
      </c>
      <c r="N269" s="157" t="e">
        <f t="shared" si="782"/>
        <v>#REF!</v>
      </c>
      <c r="O269" s="157" t="e">
        <f t="shared" si="782"/>
        <v>#REF!</v>
      </c>
      <c r="P269" s="157" t="e">
        <f t="shared" si="782"/>
        <v>#REF!</v>
      </c>
      <c r="Q269" s="157" t="e">
        <f t="shared" si="782"/>
        <v>#REF!</v>
      </c>
      <c r="R269" s="157" t="e">
        <f t="shared" si="782"/>
        <v>#REF!</v>
      </c>
      <c r="S269" s="157" t="e">
        <f t="shared" si="782"/>
        <v>#REF!</v>
      </c>
      <c r="T269" s="157" t="e">
        <f t="shared" si="782"/>
        <v>#REF!</v>
      </c>
      <c r="U269" s="157" t="e">
        <f t="shared" si="782"/>
        <v>#REF!</v>
      </c>
      <c r="V269" s="327" t="e">
        <f t="shared" si="782"/>
        <v>#REF!</v>
      </c>
      <c r="W269" s="157" t="e">
        <f t="shared" si="782"/>
        <v>#REF!</v>
      </c>
      <c r="X269" s="157" t="e">
        <f t="shared" si="782"/>
        <v>#REF!</v>
      </c>
      <c r="Y269" s="157" t="e">
        <f t="shared" si="782"/>
        <v>#REF!</v>
      </c>
      <c r="Z269" s="157" t="e">
        <f t="shared" si="782"/>
        <v>#REF!</v>
      </c>
      <c r="AA269" s="157" t="e">
        <f t="shared" si="782"/>
        <v>#REF!</v>
      </c>
      <c r="AB269" s="157" t="e">
        <f t="shared" si="782"/>
        <v>#REF!</v>
      </c>
      <c r="AC269" s="327" t="e">
        <f t="shared" si="782"/>
        <v>#REF!</v>
      </c>
      <c r="AD269" s="157" t="e">
        <f t="shared" si="782"/>
        <v>#REF!</v>
      </c>
      <c r="AE269" s="157" t="e">
        <f t="shared" si="782"/>
        <v>#REF!</v>
      </c>
      <c r="AF269" s="157" t="e">
        <f t="shared" si="782"/>
        <v>#REF!</v>
      </c>
      <c r="AG269" s="157" t="e">
        <f t="shared" si="782"/>
        <v>#REF!</v>
      </c>
      <c r="AH269" s="157" t="e">
        <f t="shared" si="782"/>
        <v>#REF!</v>
      </c>
      <c r="AI269" s="157" t="e">
        <f t="shared" si="782"/>
        <v>#REF!</v>
      </c>
      <c r="AJ269" s="327" t="e">
        <f t="shared" ref="AJ269:BD269" si="783">AJ254</f>
        <v>#REF!</v>
      </c>
      <c r="AK269" s="157" t="e">
        <f t="shared" si="783"/>
        <v>#REF!</v>
      </c>
      <c r="AL269" s="157" t="e">
        <f t="shared" si="783"/>
        <v>#REF!</v>
      </c>
      <c r="AM269" s="157" t="e">
        <f t="shared" si="783"/>
        <v>#REF!</v>
      </c>
      <c r="AN269" s="157" t="e">
        <f t="shared" si="783"/>
        <v>#REF!</v>
      </c>
      <c r="AO269" s="157" t="e">
        <f t="shared" si="783"/>
        <v>#REF!</v>
      </c>
      <c r="AP269" s="157" t="e">
        <f t="shared" si="783"/>
        <v>#REF!</v>
      </c>
      <c r="AQ269" s="327" t="e">
        <f t="shared" si="783"/>
        <v>#REF!</v>
      </c>
      <c r="AR269" s="157" t="e">
        <f t="shared" si="783"/>
        <v>#REF!</v>
      </c>
      <c r="AS269" s="157" t="e">
        <f t="shared" si="783"/>
        <v>#REF!</v>
      </c>
      <c r="AT269" s="157" t="e">
        <f t="shared" si="783"/>
        <v>#REF!</v>
      </c>
      <c r="AU269" s="157" t="e">
        <f t="shared" si="783"/>
        <v>#REF!</v>
      </c>
      <c r="AV269" s="157" t="e">
        <f t="shared" si="783"/>
        <v>#REF!</v>
      </c>
      <c r="AW269" s="157" t="e">
        <f t="shared" si="783"/>
        <v>#REF!</v>
      </c>
      <c r="AX269" s="327" t="e">
        <f t="shared" si="783"/>
        <v>#REF!</v>
      </c>
      <c r="AY269" s="157" t="e">
        <f t="shared" si="783"/>
        <v>#REF!</v>
      </c>
      <c r="AZ269" s="157" t="e">
        <f t="shared" si="783"/>
        <v>#REF!</v>
      </c>
      <c r="BA269" s="157" t="e">
        <f t="shared" si="783"/>
        <v>#REF!</v>
      </c>
      <c r="BB269" s="157" t="e">
        <f t="shared" si="783"/>
        <v>#REF!</v>
      </c>
      <c r="BC269" s="157" t="e">
        <f t="shared" si="783"/>
        <v>#REF!</v>
      </c>
      <c r="BD269" s="370" t="e">
        <f t="shared" si="783"/>
        <v>#REF!</v>
      </c>
      <c r="BE269" s="327" t="e">
        <f t="shared" ref="BE269:BK269" si="784">BE254</f>
        <v>#REF!</v>
      </c>
      <c r="BF269" s="157" t="e">
        <f t="shared" si="784"/>
        <v>#REF!</v>
      </c>
      <c r="BG269" s="157" t="e">
        <f t="shared" si="784"/>
        <v>#REF!</v>
      </c>
      <c r="BH269" s="157" t="e">
        <f t="shared" si="784"/>
        <v>#REF!</v>
      </c>
      <c r="BI269" s="157" t="e">
        <f t="shared" si="784"/>
        <v>#REF!</v>
      </c>
      <c r="BJ269" s="157" t="e">
        <f t="shared" si="784"/>
        <v>#REF!</v>
      </c>
      <c r="BK269" s="370" t="e">
        <f t="shared" si="784"/>
        <v>#REF!</v>
      </c>
      <c r="BL269" s="157" t="e">
        <f t="shared" ref="BL269:BR269" si="785">BL254</f>
        <v>#REF!</v>
      </c>
      <c r="BM269" s="157" t="e">
        <f t="shared" si="785"/>
        <v>#REF!</v>
      </c>
      <c r="BN269" s="157" t="e">
        <f t="shared" si="785"/>
        <v>#REF!</v>
      </c>
      <c r="BO269" s="157" t="e">
        <f t="shared" si="785"/>
        <v>#REF!</v>
      </c>
      <c r="BP269" s="157" t="e">
        <f t="shared" si="785"/>
        <v>#REF!</v>
      </c>
      <c r="BQ269" s="157" t="e">
        <f t="shared" si="785"/>
        <v>#REF!</v>
      </c>
      <c r="BR269" s="157" t="e">
        <f t="shared" si="785"/>
        <v>#REF!</v>
      </c>
      <c r="BT269" s="121"/>
    </row>
    <row r="270" spans="1:91">
      <c r="A270" s="130"/>
      <c r="B270" s="117" t="s">
        <v>307</v>
      </c>
      <c r="C270" s="117"/>
      <c r="D270" s="157" t="e">
        <f t="shared" ref="D270:AI270" si="786">D256</f>
        <v>#REF!</v>
      </c>
      <c r="E270" s="157" t="e">
        <f t="shared" si="786"/>
        <v>#REF!</v>
      </c>
      <c r="F270" s="157" t="e">
        <f t="shared" si="786"/>
        <v>#REF!</v>
      </c>
      <c r="G270" s="157" t="e">
        <f t="shared" si="786"/>
        <v>#REF!</v>
      </c>
      <c r="H270" s="157" t="e">
        <f t="shared" si="786"/>
        <v>#REF!</v>
      </c>
      <c r="I270" s="157" t="e">
        <f t="shared" si="786"/>
        <v>#REF!</v>
      </c>
      <c r="J270" s="157" t="e">
        <f t="shared" si="786"/>
        <v>#REF!</v>
      </c>
      <c r="K270" s="157" t="e">
        <f t="shared" si="786"/>
        <v>#REF!</v>
      </c>
      <c r="L270" s="157" t="e">
        <f t="shared" si="786"/>
        <v>#REF!</v>
      </c>
      <c r="M270" s="157" t="e">
        <f t="shared" si="786"/>
        <v>#REF!</v>
      </c>
      <c r="N270" s="157" t="e">
        <f t="shared" si="786"/>
        <v>#REF!</v>
      </c>
      <c r="O270" s="157" t="e">
        <f t="shared" si="786"/>
        <v>#REF!</v>
      </c>
      <c r="P270" s="157" t="e">
        <f t="shared" si="786"/>
        <v>#REF!</v>
      </c>
      <c r="Q270" s="157" t="e">
        <f t="shared" si="786"/>
        <v>#REF!</v>
      </c>
      <c r="R270" s="157" t="e">
        <f t="shared" si="786"/>
        <v>#REF!</v>
      </c>
      <c r="S270" s="157" t="e">
        <f t="shared" si="786"/>
        <v>#REF!</v>
      </c>
      <c r="T270" s="157" t="e">
        <f t="shared" si="786"/>
        <v>#REF!</v>
      </c>
      <c r="U270" s="157" t="e">
        <f t="shared" si="786"/>
        <v>#REF!</v>
      </c>
      <c r="V270" s="327" t="e">
        <f t="shared" si="786"/>
        <v>#REF!</v>
      </c>
      <c r="W270" s="157" t="e">
        <f t="shared" si="786"/>
        <v>#REF!</v>
      </c>
      <c r="X270" s="157" t="e">
        <f t="shared" si="786"/>
        <v>#REF!</v>
      </c>
      <c r="Y270" s="157" t="e">
        <f t="shared" si="786"/>
        <v>#REF!</v>
      </c>
      <c r="Z270" s="157" t="e">
        <f t="shared" si="786"/>
        <v>#REF!</v>
      </c>
      <c r="AA270" s="157" t="e">
        <f t="shared" si="786"/>
        <v>#REF!</v>
      </c>
      <c r="AB270" s="157" t="e">
        <f t="shared" si="786"/>
        <v>#REF!</v>
      </c>
      <c r="AC270" s="327" t="e">
        <f t="shared" si="786"/>
        <v>#REF!</v>
      </c>
      <c r="AD270" s="157" t="e">
        <f t="shared" si="786"/>
        <v>#REF!</v>
      </c>
      <c r="AE270" s="157" t="e">
        <f t="shared" si="786"/>
        <v>#REF!</v>
      </c>
      <c r="AF270" s="157" t="e">
        <f t="shared" si="786"/>
        <v>#REF!</v>
      </c>
      <c r="AG270" s="157" t="e">
        <f t="shared" si="786"/>
        <v>#REF!</v>
      </c>
      <c r="AH270" s="157" t="e">
        <f t="shared" si="786"/>
        <v>#REF!</v>
      </c>
      <c r="AI270" s="157" t="e">
        <f t="shared" si="786"/>
        <v>#REF!</v>
      </c>
      <c r="AJ270" s="327" t="e">
        <f t="shared" ref="AJ270:BD270" si="787">AJ256</f>
        <v>#REF!</v>
      </c>
      <c r="AK270" s="157" t="e">
        <f t="shared" si="787"/>
        <v>#REF!</v>
      </c>
      <c r="AL270" s="157" t="e">
        <f t="shared" si="787"/>
        <v>#REF!</v>
      </c>
      <c r="AM270" s="157" t="e">
        <f t="shared" si="787"/>
        <v>#REF!</v>
      </c>
      <c r="AN270" s="157" t="e">
        <f t="shared" si="787"/>
        <v>#REF!</v>
      </c>
      <c r="AO270" s="157" t="e">
        <f t="shared" si="787"/>
        <v>#REF!</v>
      </c>
      <c r="AP270" s="157" t="e">
        <f t="shared" si="787"/>
        <v>#REF!</v>
      </c>
      <c r="AQ270" s="327" t="e">
        <f t="shared" si="787"/>
        <v>#REF!</v>
      </c>
      <c r="AR270" s="157" t="e">
        <f t="shared" si="787"/>
        <v>#REF!</v>
      </c>
      <c r="AS270" s="157" t="e">
        <f t="shared" si="787"/>
        <v>#REF!</v>
      </c>
      <c r="AT270" s="157" t="e">
        <f t="shared" si="787"/>
        <v>#REF!</v>
      </c>
      <c r="AU270" s="157" t="e">
        <f t="shared" si="787"/>
        <v>#REF!</v>
      </c>
      <c r="AV270" s="157" t="e">
        <f t="shared" si="787"/>
        <v>#REF!</v>
      </c>
      <c r="AW270" s="157" t="e">
        <f t="shared" si="787"/>
        <v>#REF!</v>
      </c>
      <c r="AX270" s="327" t="e">
        <f t="shared" si="787"/>
        <v>#REF!</v>
      </c>
      <c r="AY270" s="157" t="e">
        <f t="shared" si="787"/>
        <v>#REF!</v>
      </c>
      <c r="AZ270" s="157" t="e">
        <f t="shared" si="787"/>
        <v>#REF!</v>
      </c>
      <c r="BA270" s="157" t="e">
        <f t="shared" si="787"/>
        <v>#REF!</v>
      </c>
      <c r="BB270" s="157" t="e">
        <f t="shared" si="787"/>
        <v>#REF!</v>
      </c>
      <c r="BC270" s="157" t="e">
        <f t="shared" si="787"/>
        <v>#REF!</v>
      </c>
      <c r="BD270" s="370" t="e">
        <f t="shared" si="787"/>
        <v>#REF!</v>
      </c>
      <c r="BE270" s="327" t="e">
        <f t="shared" ref="BE270:BK270" si="788">BE256</f>
        <v>#REF!</v>
      </c>
      <c r="BF270" s="157" t="e">
        <f t="shared" si="788"/>
        <v>#REF!</v>
      </c>
      <c r="BG270" s="157" t="e">
        <f t="shared" si="788"/>
        <v>#REF!</v>
      </c>
      <c r="BH270" s="157" t="e">
        <f t="shared" si="788"/>
        <v>#REF!</v>
      </c>
      <c r="BI270" s="157" t="e">
        <f t="shared" si="788"/>
        <v>#REF!</v>
      </c>
      <c r="BJ270" s="157" t="e">
        <f t="shared" si="788"/>
        <v>#REF!</v>
      </c>
      <c r="BK270" s="370" t="e">
        <f t="shared" si="788"/>
        <v>#REF!</v>
      </c>
      <c r="BL270" s="157" t="e">
        <f t="shared" ref="BL270:BR270" si="789">BL256</f>
        <v>#REF!</v>
      </c>
      <c r="BM270" s="157" t="e">
        <f t="shared" si="789"/>
        <v>#REF!</v>
      </c>
      <c r="BN270" s="157" t="e">
        <f t="shared" si="789"/>
        <v>#REF!</v>
      </c>
      <c r="BO270" s="157" t="e">
        <f t="shared" si="789"/>
        <v>#REF!</v>
      </c>
      <c r="BP270" s="157" t="e">
        <f t="shared" si="789"/>
        <v>#REF!</v>
      </c>
      <c r="BQ270" s="157" t="e">
        <f t="shared" si="789"/>
        <v>#REF!</v>
      </c>
      <c r="BR270" s="157" t="e">
        <f t="shared" si="789"/>
        <v>#REF!</v>
      </c>
      <c r="BT270" s="121"/>
    </row>
    <row r="271" spans="1:91">
      <c r="A271" s="130"/>
      <c r="B271" s="117" t="s">
        <v>311</v>
      </c>
      <c r="C271" s="117"/>
      <c r="D271" s="157"/>
      <c r="E271" s="157"/>
      <c r="F271" s="157"/>
      <c r="G271" s="157"/>
      <c r="H271" s="157"/>
      <c r="I271" s="157"/>
      <c r="J271" s="157"/>
      <c r="K271" s="157"/>
      <c r="L271" s="157"/>
      <c r="M271" s="157"/>
      <c r="N271" s="157"/>
      <c r="O271" s="157"/>
      <c r="P271" s="157"/>
      <c r="Q271" s="157"/>
      <c r="R271" s="157"/>
      <c r="S271" s="157"/>
      <c r="T271" s="157"/>
      <c r="U271" s="157" t="e">
        <f t="shared" ref="U271:BD271" si="790">U274-U273</f>
        <v>#REF!</v>
      </c>
      <c r="V271" s="327" t="e">
        <f t="shared" ref="V271:AA271" si="791">V274-V273</f>
        <v>#REF!</v>
      </c>
      <c r="W271" s="157" t="e">
        <f t="shared" si="791"/>
        <v>#REF!</v>
      </c>
      <c r="X271" s="157" t="e">
        <f t="shared" si="791"/>
        <v>#REF!</v>
      </c>
      <c r="Y271" s="157" t="e">
        <f t="shared" si="791"/>
        <v>#REF!</v>
      </c>
      <c r="Z271" s="157" t="e">
        <f t="shared" si="791"/>
        <v>#REF!</v>
      </c>
      <c r="AA271" s="157" t="e">
        <f t="shared" si="791"/>
        <v>#REF!</v>
      </c>
      <c r="AB271" s="157" t="e">
        <f t="shared" si="790"/>
        <v>#REF!</v>
      </c>
      <c r="AC271" s="327" t="e">
        <f t="shared" ref="AC271:AH271" si="792">AC274-AC273</f>
        <v>#REF!</v>
      </c>
      <c r="AD271" s="157" t="e">
        <f t="shared" si="792"/>
        <v>#REF!</v>
      </c>
      <c r="AE271" s="157" t="e">
        <f t="shared" si="792"/>
        <v>#REF!</v>
      </c>
      <c r="AF271" s="157" t="e">
        <f t="shared" si="792"/>
        <v>#REF!</v>
      </c>
      <c r="AG271" s="157" t="e">
        <f t="shared" si="792"/>
        <v>#REF!</v>
      </c>
      <c r="AH271" s="157" t="e">
        <f t="shared" si="792"/>
        <v>#REF!</v>
      </c>
      <c r="AI271" s="157" t="e">
        <f t="shared" si="790"/>
        <v>#REF!</v>
      </c>
      <c r="AJ271" s="327" t="e">
        <f t="shared" ref="AJ271:AO271" si="793">AJ274-AJ273</f>
        <v>#REF!</v>
      </c>
      <c r="AK271" s="157" t="e">
        <f t="shared" si="793"/>
        <v>#REF!</v>
      </c>
      <c r="AL271" s="157" t="e">
        <f t="shared" si="793"/>
        <v>#REF!</v>
      </c>
      <c r="AM271" s="157" t="e">
        <f t="shared" si="793"/>
        <v>#REF!</v>
      </c>
      <c r="AN271" s="157" t="e">
        <f t="shared" si="793"/>
        <v>#REF!</v>
      </c>
      <c r="AO271" s="157" t="e">
        <f t="shared" si="793"/>
        <v>#REF!</v>
      </c>
      <c r="AP271" s="157" t="e">
        <f t="shared" si="790"/>
        <v>#REF!</v>
      </c>
      <c r="AQ271" s="327" t="e">
        <f t="shared" ref="AQ271:AV271" si="794">AQ274-AQ273</f>
        <v>#REF!</v>
      </c>
      <c r="AR271" s="157" t="e">
        <f t="shared" si="794"/>
        <v>#REF!</v>
      </c>
      <c r="AS271" s="157" t="e">
        <f t="shared" si="794"/>
        <v>#REF!</v>
      </c>
      <c r="AT271" s="157" t="e">
        <f t="shared" si="794"/>
        <v>#REF!</v>
      </c>
      <c r="AU271" s="157" t="e">
        <f t="shared" si="794"/>
        <v>#REF!</v>
      </c>
      <c r="AV271" s="157" t="e">
        <f t="shared" si="794"/>
        <v>#REF!</v>
      </c>
      <c r="AW271" s="157" t="e">
        <f t="shared" si="790"/>
        <v>#REF!</v>
      </c>
      <c r="AX271" s="327" t="e">
        <f t="shared" si="790"/>
        <v>#REF!</v>
      </c>
      <c r="AY271" s="157" t="e">
        <f t="shared" ref="AY271:AZ271" si="795">AY274-AY273</f>
        <v>#REF!</v>
      </c>
      <c r="AZ271" s="157" t="e">
        <f t="shared" si="795"/>
        <v>#REF!</v>
      </c>
      <c r="BA271" s="157" t="e">
        <f t="shared" ref="BA271:BC271" si="796">BA274-BA273</f>
        <v>#REF!</v>
      </c>
      <c r="BB271" s="157" t="e">
        <f t="shared" si="796"/>
        <v>#REF!</v>
      </c>
      <c r="BC271" s="157" t="e">
        <f t="shared" si="796"/>
        <v>#REF!</v>
      </c>
      <c r="BD271" s="370" t="e">
        <f t="shared" si="790"/>
        <v>#REF!</v>
      </c>
      <c r="BE271" s="327" t="e">
        <f t="shared" ref="BE271:BK271" si="797">BE274-BE273</f>
        <v>#REF!</v>
      </c>
      <c r="BF271" s="157" t="e">
        <f t="shared" si="797"/>
        <v>#REF!</v>
      </c>
      <c r="BG271" s="157" t="e">
        <f t="shared" si="797"/>
        <v>#REF!</v>
      </c>
      <c r="BH271" s="157" t="e">
        <f t="shared" si="797"/>
        <v>#REF!</v>
      </c>
      <c r="BI271" s="157" t="e">
        <f t="shared" si="797"/>
        <v>#REF!</v>
      </c>
      <c r="BJ271" s="157" t="e">
        <f t="shared" si="797"/>
        <v>#REF!</v>
      </c>
      <c r="BK271" s="370" t="e">
        <f t="shared" si="797"/>
        <v>#REF!</v>
      </c>
      <c r="BL271" s="157"/>
      <c r="BM271" s="157"/>
      <c r="BN271" s="157"/>
      <c r="BO271" s="157"/>
      <c r="BP271" s="157"/>
      <c r="BQ271" s="157"/>
      <c r="BR271" s="157"/>
      <c r="BT271" s="121"/>
    </row>
    <row r="272" spans="1:91">
      <c r="A272" s="130"/>
      <c r="B272" s="117"/>
      <c r="C272" s="117"/>
      <c r="D272" s="157"/>
      <c r="E272" s="157"/>
      <c r="F272" s="157"/>
      <c r="G272" s="157"/>
      <c r="H272" s="157"/>
      <c r="I272" s="157"/>
      <c r="J272" s="157"/>
      <c r="K272" s="157"/>
      <c r="L272" s="157"/>
      <c r="M272" s="157"/>
      <c r="N272" s="157"/>
      <c r="O272" s="157"/>
      <c r="P272" s="157"/>
      <c r="Q272" s="157"/>
      <c r="R272" s="157"/>
      <c r="S272" s="157"/>
      <c r="T272" s="157"/>
      <c r="U272" s="157"/>
      <c r="V272" s="327"/>
      <c r="W272" s="157"/>
      <c r="X272" s="157"/>
      <c r="Y272" s="157"/>
      <c r="Z272" s="157"/>
      <c r="AA272" s="157"/>
      <c r="AB272" s="157"/>
      <c r="AC272" s="327"/>
      <c r="AD272" s="157"/>
      <c r="AE272" s="157"/>
      <c r="AF272" s="157"/>
      <c r="AG272" s="157"/>
      <c r="AH272" s="157"/>
      <c r="AI272" s="157"/>
      <c r="AJ272" s="327"/>
      <c r="AK272" s="157"/>
      <c r="AL272" s="157"/>
      <c r="AM272" s="157"/>
      <c r="AN272" s="157"/>
      <c r="AO272" s="157"/>
      <c r="AP272" s="157"/>
      <c r="AQ272" s="327"/>
      <c r="AR272" s="157"/>
      <c r="AS272" s="157"/>
      <c r="AT272" s="157"/>
      <c r="AU272" s="157"/>
      <c r="AV272" s="157"/>
      <c r="AW272" s="157"/>
      <c r="AX272" s="327"/>
      <c r="AY272" s="157"/>
      <c r="AZ272" s="157"/>
      <c r="BA272" s="157"/>
      <c r="BB272" s="157"/>
      <c r="BC272" s="157"/>
      <c r="BD272" s="370"/>
      <c r="BE272" s="327"/>
      <c r="BF272" s="157"/>
      <c r="BG272" s="157"/>
      <c r="BH272" s="157"/>
      <c r="BI272" s="157"/>
      <c r="BJ272" s="157"/>
      <c r="BK272" s="370"/>
      <c r="BL272" s="157"/>
      <c r="BM272" s="157"/>
      <c r="BN272" s="157"/>
      <c r="BO272" s="157"/>
      <c r="BP272" s="157"/>
      <c r="BQ272" s="157"/>
      <c r="BR272" s="157"/>
      <c r="BT272" s="121"/>
    </row>
    <row r="273" spans="1:91">
      <c r="A273" s="130"/>
      <c r="B273" s="117" t="s">
        <v>312</v>
      </c>
      <c r="C273" s="117"/>
      <c r="D273" s="157" t="e">
        <f t="shared" ref="D273:P273" si="798">SUM(D259:D271)</f>
        <v>#REF!</v>
      </c>
      <c r="E273" s="157" t="e">
        <f t="shared" si="798"/>
        <v>#REF!</v>
      </c>
      <c r="F273" s="157" t="e">
        <f t="shared" si="798"/>
        <v>#REF!</v>
      </c>
      <c r="G273" s="157" t="e">
        <f t="shared" si="798"/>
        <v>#REF!</v>
      </c>
      <c r="H273" s="157" t="e">
        <f t="shared" si="798"/>
        <v>#REF!</v>
      </c>
      <c r="I273" s="157" t="e">
        <f t="shared" si="798"/>
        <v>#REF!</v>
      </c>
      <c r="J273" s="157" t="e">
        <f t="shared" si="798"/>
        <v>#REF!</v>
      </c>
      <c r="K273" s="157" t="e">
        <f t="shared" si="798"/>
        <v>#REF!</v>
      </c>
      <c r="L273" s="157" t="e">
        <f t="shared" si="798"/>
        <v>#REF!</v>
      </c>
      <c r="M273" s="157" t="e">
        <f t="shared" si="798"/>
        <v>#REF!</v>
      </c>
      <c r="N273" s="157" t="e">
        <f t="shared" si="798"/>
        <v>#REF!</v>
      </c>
      <c r="O273" s="157" t="e">
        <f t="shared" si="798"/>
        <v>#REF!</v>
      </c>
      <c r="P273" s="157" t="e">
        <f t="shared" si="798"/>
        <v>#REF!</v>
      </c>
      <c r="Q273" s="157" t="e">
        <f>SUM(Q259:Q271)</f>
        <v>#REF!</v>
      </c>
      <c r="R273" s="157" t="e">
        <f>SUM(R259:R271)</f>
        <v>#REF!</v>
      </c>
      <c r="S273" s="157" t="e">
        <f>SUM(S259:S271)</f>
        <v>#REF!</v>
      </c>
      <c r="T273" s="157" t="e">
        <f>SUM(T259:T271)</f>
        <v>#REF!</v>
      </c>
      <c r="U273" s="157" t="e">
        <f t="shared" ref="U273:AX273" si="799">SUM(U259:U270)</f>
        <v>#REF!</v>
      </c>
      <c r="V273" s="327" t="e">
        <f t="shared" ref="V273:AA273" si="800">SUM(V259:V270)</f>
        <v>#REF!</v>
      </c>
      <c r="W273" s="157" t="e">
        <f t="shared" si="800"/>
        <v>#REF!</v>
      </c>
      <c r="X273" s="157" t="e">
        <f t="shared" si="800"/>
        <v>#REF!</v>
      </c>
      <c r="Y273" s="157" t="e">
        <f t="shared" si="800"/>
        <v>#REF!</v>
      </c>
      <c r="Z273" s="157" t="e">
        <f t="shared" si="800"/>
        <v>#REF!</v>
      </c>
      <c r="AA273" s="157" t="e">
        <f t="shared" si="800"/>
        <v>#REF!</v>
      </c>
      <c r="AB273" s="157" t="e">
        <f t="shared" si="799"/>
        <v>#REF!</v>
      </c>
      <c r="AC273" s="327" t="e">
        <f t="shared" ref="AC273:AH273" si="801">SUM(AC259:AC270)</f>
        <v>#REF!</v>
      </c>
      <c r="AD273" s="157" t="e">
        <f t="shared" si="801"/>
        <v>#REF!</v>
      </c>
      <c r="AE273" s="157" t="e">
        <f t="shared" si="801"/>
        <v>#REF!</v>
      </c>
      <c r="AF273" s="157" t="e">
        <f t="shared" si="801"/>
        <v>#REF!</v>
      </c>
      <c r="AG273" s="157" t="e">
        <f t="shared" si="801"/>
        <v>#REF!</v>
      </c>
      <c r="AH273" s="157" t="e">
        <f t="shared" si="801"/>
        <v>#REF!</v>
      </c>
      <c r="AI273" s="157" t="e">
        <f t="shared" si="799"/>
        <v>#REF!</v>
      </c>
      <c r="AJ273" s="327" t="e">
        <f t="shared" ref="AJ273:AO273" si="802">SUM(AJ259:AJ270)</f>
        <v>#REF!</v>
      </c>
      <c r="AK273" s="157" t="e">
        <f t="shared" si="802"/>
        <v>#REF!</v>
      </c>
      <c r="AL273" s="157" t="e">
        <f t="shared" si="802"/>
        <v>#REF!</v>
      </c>
      <c r="AM273" s="157" t="e">
        <f t="shared" si="802"/>
        <v>#REF!</v>
      </c>
      <c r="AN273" s="157" t="e">
        <f t="shared" si="802"/>
        <v>#REF!</v>
      </c>
      <c r="AO273" s="157" t="e">
        <f t="shared" si="802"/>
        <v>#REF!</v>
      </c>
      <c r="AP273" s="157" t="e">
        <f t="shared" si="799"/>
        <v>#REF!</v>
      </c>
      <c r="AQ273" s="327" t="e">
        <f t="shared" ref="AQ273:AV273" si="803">SUM(AQ259:AQ270)</f>
        <v>#REF!</v>
      </c>
      <c r="AR273" s="157" t="e">
        <f t="shared" si="803"/>
        <v>#REF!</v>
      </c>
      <c r="AS273" s="157" t="e">
        <f t="shared" si="803"/>
        <v>#REF!</v>
      </c>
      <c r="AT273" s="157" t="e">
        <f t="shared" si="803"/>
        <v>#REF!</v>
      </c>
      <c r="AU273" s="157" t="e">
        <f t="shared" si="803"/>
        <v>#REF!</v>
      </c>
      <c r="AV273" s="157" t="e">
        <f t="shared" si="803"/>
        <v>#REF!</v>
      </c>
      <c r="AW273" s="157" t="e">
        <f t="shared" si="799"/>
        <v>#REF!</v>
      </c>
      <c r="AX273" s="327" t="e">
        <f t="shared" si="799"/>
        <v>#REF!</v>
      </c>
      <c r="AY273" s="157" t="e">
        <f t="shared" ref="AY273:AZ273" si="804">SUM(AY259:AY270)</f>
        <v>#REF!</v>
      </c>
      <c r="AZ273" s="157" t="e">
        <f t="shared" si="804"/>
        <v>#REF!</v>
      </c>
      <c r="BA273" s="157" t="e">
        <f t="shared" ref="BA273:BC273" si="805">SUM(BA259:BA270)</f>
        <v>#REF!</v>
      </c>
      <c r="BB273" s="157" t="e">
        <f t="shared" si="805"/>
        <v>#REF!</v>
      </c>
      <c r="BC273" s="157" t="e">
        <f t="shared" si="805"/>
        <v>#REF!</v>
      </c>
      <c r="BD273" s="370" t="e">
        <f>SUM(BD259:BD270)</f>
        <v>#REF!</v>
      </c>
      <c r="BE273" s="327" t="e">
        <f t="shared" ref="BE273:BJ273" si="806">SUM(BE259:BE270)</f>
        <v>#REF!</v>
      </c>
      <c r="BF273" s="157" t="e">
        <f t="shared" si="806"/>
        <v>#REF!</v>
      </c>
      <c r="BG273" s="157" t="e">
        <f t="shared" si="806"/>
        <v>#REF!</v>
      </c>
      <c r="BH273" s="157" t="e">
        <f t="shared" si="806"/>
        <v>#REF!</v>
      </c>
      <c r="BI273" s="157" t="e">
        <f t="shared" si="806"/>
        <v>#REF!</v>
      </c>
      <c r="BJ273" s="157" t="e">
        <f t="shared" si="806"/>
        <v>#REF!</v>
      </c>
      <c r="BK273" s="370" t="e">
        <f>SUM(BK259:BK270)</f>
        <v>#REF!</v>
      </c>
      <c r="BL273" s="157" t="e">
        <f t="shared" ref="BL273:BR273" si="807">SUM(BL259:BL271)</f>
        <v>#REF!</v>
      </c>
      <c r="BM273" s="157" t="e">
        <f t="shared" si="807"/>
        <v>#REF!</v>
      </c>
      <c r="BN273" s="157" t="e">
        <f t="shared" si="807"/>
        <v>#REF!</v>
      </c>
      <c r="BO273" s="157" t="e">
        <f t="shared" si="807"/>
        <v>#REF!</v>
      </c>
      <c r="BP273" s="157" t="e">
        <f t="shared" si="807"/>
        <v>#REF!</v>
      </c>
      <c r="BQ273" s="157" t="e">
        <f t="shared" si="807"/>
        <v>#REF!</v>
      </c>
      <c r="BR273" s="157" t="e">
        <f t="shared" si="807"/>
        <v>#REF!</v>
      </c>
      <c r="BT273" s="121"/>
    </row>
    <row r="274" spans="1:91">
      <c r="A274" s="110" t="s">
        <v>203</v>
      </c>
      <c r="B274" s="117" t="s">
        <v>309</v>
      </c>
      <c r="C274" s="117"/>
      <c r="D274" s="146" t="e">
        <f>INDEX(#REF!, MATCH($A274,#REF!, 0), MATCH(D$4,#REF!, 0))</f>
        <v>#REF!</v>
      </c>
      <c r="E274" s="146" t="e">
        <f>INDEX(#REF!, MATCH($A274,#REF!, 0), MATCH(E$4,#REF!, 0))</f>
        <v>#REF!</v>
      </c>
      <c r="F274" s="146" t="e">
        <f>INDEX(#REF!, MATCH($A274,#REF!, 0), MATCH(F$4,#REF!, 0))</f>
        <v>#REF!</v>
      </c>
      <c r="G274" s="146" t="e">
        <f>INDEX(#REF!, MATCH($A274,#REF!, 0), MATCH(G$4,#REF!, 0))</f>
        <v>#REF!</v>
      </c>
      <c r="H274" s="146" t="e">
        <f>INDEX(#REF!, MATCH($A274,#REF!, 0), MATCH(H$4,#REF!, 0))</f>
        <v>#REF!</v>
      </c>
      <c r="I274" s="146" t="e">
        <f>INDEX(#REF!, MATCH($A274,#REF!, 0), MATCH(I$4,#REF!, 0))</f>
        <v>#REF!</v>
      </c>
      <c r="J274" s="146" t="e">
        <f>INDEX(#REF!, MATCH($A274,#REF!, 0), MATCH(J$4,#REF!, 0))</f>
        <v>#REF!</v>
      </c>
      <c r="K274" s="146" t="e">
        <f>INDEX(#REF!, MATCH($A274,#REF!, 0), MATCH(K$4,#REF!, 0))</f>
        <v>#REF!</v>
      </c>
      <c r="L274" s="146" t="e">
        <f>INDEX(#REF!, MATCH($A274,#REF!, 0), MATCH(L$4,#REF!, 0))</f>
        <v>#REF!</v>
      </c>
      <c r="M274" s="146" t="e">
        <f>INDEX(#REF!, MATCH($A274,#REF!, 0), MATCH(M$4,#REF!, 0))</f>
        <v>#REF!</v>
      </c>
      <c r="N274" s="146" t="e">
        <f>INDEX(#REF!, MATCH($A274,#REF!, 0), MATCH(N$4,#REF!, 0))</f>
        <v>#REF!</v>
      </c>
      <c r="O274" s="146" t="e">
        <f>INDEX(#REF!, MATCH($A274,#REF!, 0), MATCH(O$4,#REF!, 0))</f>
        <v>#REF!</v>
      </c>
      <c r="P274" s="146" t="e">
        <f>INDEX(#REF!, MATCH($A274,#REF!, 0), MATCH(P$4,#REF!, 0))</f>
        <v>#REF!</v>
      </c>
      <c r="Q274" s="146" t="e">
        <f>INDEX(#REF!, MATCH($A274,#REF!, 0), MATCH(Q$4,#REF!, 0))</f>
        <v>#REF!</v>
      </c>
      <c r="R274" s="146" t="e">
        <f>INDEX(#REF!, MATCH($A274,#REF!, 0), MATCH(R$4,#REF!, 0))</f>
        <v>#REF!</v>
      </c>
      <c r="S274" s="146" t="e">
        <f>INDEX(#REF!, MATCH($A274,#REF!, 0), MATCH(S$4,#REF!, 0))</f>
        <v>#REF!</v>
      </c>
      <c r="T274" s="146" t="e">
        <f>INDEX(#REF!, MATCH($A274,#REF!, 0), MATCH(T$4,#REF!, 0))</f>
        <v>#REF!</v>
      </c>
      <c r="U274" s="146" t="e">
        <f>INDEX(#REF!, MATCH($A274,#REF!, 0), MATCH(U$4,#REF!, 0))</f>
        <v>#REF!</v>
      </c>
      <c r="V274" s="320" t="e">
        <f>INDEX(#REF!, MATCH($A274,#REF!, 0), MATCH(V$4,#REF!, 0))</f>
        <v>#REF!</v>
      </c>
      <c r="W274" s="146" t="e">
        <f>INDEX(#REF!, MATCH($A274,#REF!, 0), MATCH(W$4,#REF!, 0))</f>
        <v>#REF!</v>
      </c>
      <c r="X274" s="146" t="e">
        <f>INDEX(#REF!, MATCH($A274,#REF!, 0), MATCH(X$4,#REF!, 0))</f>
        <v>#REF!</v>
      </c>
      <c r="Y274" s="146" t="e">
        <f>INDEX(#REF!, MATCH($A274,#REF!, 0), MATCH(Y$4,#REF!, 0))</f>
        <v>#REF!</v>
      </c>
      <c r="Z274" s="146" t="e">
        <f>INDEX(#REF!, MATCH($A274,#REF!, 0), MATCH(Z$4,#REF!, 0))</f>
        <v>#REF!</v>
      </c>
      <c r="AA274" s="146" t="e">
        <f>INDEX(#REF!, MATCH($A274,#REF!, 0), MATCH(AA$4,#REF!, 0))</f>
        <v>#REF!</v>
      </c>
      <c r="AB274" s="146" t="e">
        <f>INDEX(#REF!, MATCH($A274,#REF!, 0), MATCH(AB$4,#REF!, 0))</f>
        <v>#REF!</v>
      </c>
      <c r="AC274" s="320" t="e">
        <f>INDEX(#REF!, MATCH($A274,#REF!, 0), MATCH(AC$4,#REF!, 0))</f>
        <v>#REF!</v>
      </c>
      <c r="AD274" s="146" t="e">
        <f>INDEX(#REF!, MATCH($A274,#REF!, 0), MATCH(AD$4,#REF!, 0))</f>
        <v>#REF!</v>
      </c>
      <c r="AE274" s="146" t="e">
        <f>INDEX(#REF!, MATCH($A274,#REF!, 0), MATCH(AE$4,#REF!, 0))</f>
        <v>#REF!</v>
      </c>
      <c r="AF274" s="146" t="e">
        <f>INDEX(#REF!, MATCH($A274,#REF!, 0), MATCH(AF$4,#REF!, 0))</f>
        <v>#REF!</v>
      </c>
      <c r="AG274" s="146" t="e">
        <f>INDEX(#REF!, MATCH($A274,#REF!, 0), MATCH(AG$4,#REF!, 0))</f>
        <v>#REF!</v>
      </c>
      <c r="AH274" s="146" t="e">
        <f>INDEX(#REF!, MATCH($A274,#REF!, 0), MATCH(AH$4,#REF!, 0))</f>
        <v>#REF!</v>
      </c>
      <c r="AI274" s="146" t="e">
        <f>INDEX(#REF!, MATCH($A274,#REF!, 0), MATCH(AI$4,#REF!, 0))</f>
        <v>#REF!</v>
      </c>
      <c r="AJ274" s="320" t="e">
        <f>INDEX(#REF!, MATCH($A274,#REF!, 0), MATCH(AJ$4,#REF!, 0))</f>
        <v>#REF!</v>
      </c>
      <c r="AK274" s="146" t="e">
        <f>INDEX(#REF!, MATCH($A274,#REF!, 0), MATCH(AK$4,#REF!, 0))</f>
        <v>#REF!</v>
      </c>
      <c r="AL274" s="146" t="e">
        <f>INDEX(#REF!, MATCH($A274,#REF!, 0), MATCH(AL$4,#REF!, 0))</f>
        <v>#REF!</v>
      </c>
      <c r="AM274" s="146" t="e">
        <f>INDEX(#REF!, MATCH($A274,#REF!, 0), MATCH(AM$4,#REF!, 0))</f>
        <v>#REF!</v>
      </c>
      <c r="AN274" s="146" t="e">
        <f>INDEX(#REF!, MATCH($A274,#REF!, 0), MATCH(AN$4,#REF!, 0))</f>
        <v>#REF!</v>
      </c>
      <c r="AO274" s="146" t="e">
        <f>INDEX(#REF!, MATCH($A274,#REF!, 0), MATCH(AO$4,#REF!, 0))</f>
        <v>#REF!</v>
      </c>
      <c r="AP274" s="146" t="e">
        <f>INDEX(#REF!, MATCH($A274,#REF!, 0), MATCH(AP$4,#REF!, 0))</f>
        <v>#REF!</v>
      </c>
      <c r="AQ274" s="320" t="e">
        <f>INDEX(#REF!, MATCH($A274,#REF!, 0), MATCH(AQ$4,#REF!, 0))</f>
        <v>#REF!</v>
      </c>
      <c r="AR274" s="146" t="e">
        <f>INDEX(#REF!, MATCH($A274,#REF!, 0), MATCH(AR$4,#REF!, 0))</f>
        <v>#REF!</v>
      </c>
      <c r="AS274" s="146" t="e">
        <f>INDEX(#REF!, MATCH($A274,#REF!, 0), MATCH(AS$4,#REF!, 0))</f>
        <v>#REF!</v>
      </c>
      <c r="AT274" s="146" t="e">
        <f>INDEX(#REF!, MATCH($A274,#REF!, 0), MATCH(AT$4,#REF!, 0))</f>
        <v>#REF!</v>
      </c>
      <c r="AU274" s="146" t="e">
        <f>INDEX(#REF!, MATCH($A274,#REF!, 0), MATCH(AU$4,#REF!, 0))</f>
        <v>#REF!</v>
      </c>
      <c r="AV274" s="146" t="e">
        <f>INDEX(#REF!, MATCH($A274,#REF!, 0), MATCH(AV$4,#REF!, 0))</f>
        <v>#REF!</v>
      </c>
      <c r="AW274" s="146" t="e">
        <f>INDEX(#REF!, MATCH($A274,#REF!, 0), MATCH(AW$4,#REF!, 0))</f>
        <v>#REF!</v>
      </c>
      <c r="AX274" s="320" t="e">
        <f>INDEX(#REF!, MATCH($A274,#REF!, 0), MATCH(AX$4,#REF!, 0))</f>
        <v>#REF!</v>
      </c>
      <c r="AY274" s="146" t="e">
        <f>INDEX(#REF!, MATCH($A274,#REF!, 0), MATCH(AY$4,#REF!, 0))</f>
        <v>#REF!</v>
      </c>
      <c r="AZ274" s="146" t="e">
        <f>INDEX(#REF!, MATCH($A274,#REF!, 0), MATCH(AZ$4,#REF!, 0))</f>
        <v>#REF!</v>
      </c>
      <c r="BA274" s="146" t="e">
        <f>INDEX(#REF!, MATCH($A274,#REF!, 0), MATCH(BA$4,#REF!, 0))</f>
        <v>#REF!</v>
      </c>
      <c r="BB274" s="146" t="e">
        <f>INDEX(#REF!, MATCH($A274,#REF!, 0), MATCH(BB$4,#REF!, 0))</f>
        <v>#REF!</v>
      </c>
      <c r="BC274" s="146" t="e">
        <f>INDEX(#REF!, MATCH($A274,#REF!, 0), MATCH(BC$4,#REF!, 0))</f>
        <v>#REF!</v>
      </c>
      <c r="BD274" s="364" t="e">
        <f>INDEX(#REF!, MATCH($A274,#REF!, 0), MATCH(BD$4,#REF!, 0))</f>
        <v>#REF!</v>
      </c>
      <c r="BE274" s="320" t="e">
        <f>INDEX(#REF!, MATCH($A274,#REF!, 0), MATCH(BE$4,#REF!, 0))</f>
        <v>#REF!</v>
      </c>
      <c r="BF274" s="146" t="e">
        <f>INDEX(#REF!, MATCH($A274,#REF!, 0), MATCH(BF$4,#REF!, 0))</f>
        <v>#REF!</v>
      </c>
      <c r="BG274" s="146" t="e">
        <f>INDEX(#REF!, MATCH($A274,#REF!, 0), MATCH(BG$4,#REF!, 0))</f>
        <v>#REF!</v>
      </c>
      <c r="BH274" s="146" t="e">
        <f>INDEX(#REF!, MATCH($A274,#REF!, 0), MATCH(BH$4,#REF!, 0))</f>
        <v>#REF!</v>
      </c>
      <c r="BI274" s="146" t="e">
        <f>INDEX(#REF!, MATCH($A274,#REF!, 0), MATCH(BI$4,#REF!, 0))</f>
        <v>#REF!</v>
      </c>
      <c r="BJ274" s="146" t="e">
        <f>INDEX(#REF!, MATCH($A274,#REF!, 0), MATCH(BJ$4,#REF!, 0))</f>
        <v>#REF!</v>
      </c>
      <c r="BK274" s="364" t="e">
        <f>INDEX(#REF!, MATCH($A274,#REF!, 0), MATCH(BK$4,#REF!, 0))</f>
        <v>#REF!</v>
      </c>
      <c r="BL274" s="157"/>
      <c r="BM274" s="157"/>
      <c r="BN274" s="157"/>
      <c r="BO274" s="157"/>
      <c r="BP274" s="157"/>
      <c r="BQ274" s="157"/>
      <c r="BR274" s="157"/>
      <c r="BT274" s="121"/>
    </row>
    <row r="275" spans="1:91">
      <c r="A275" s="110" t="s">
        <v>203</v>
      </c>
      <c r="B275" s="214" t="s">
        <v>128</v>
      </c>
      <c r="C275" s="214"/>
      <c r="D275" s="146" t="e">
        <f>INDEX(#REF!, MATCH($A275,#REF!, 0), MATCH(D$4,#REF!, 0))</f>
        <v>#REF!</v>
      </c>
      <c r="E275" s="146" t="e">
        <f>INDEX(#REF!, MATCH($A275,#REF!, 0), MATCH(E$4,#REF!, 0))</f>
        <v>#REF!</v>
      </c>
      <c r="F275" s="146" t="e">
        <f>INDEX(#REF!, MATCH($A275,#REF!, 0), MATCH(F$4,#REF!, 0))</f>
        <v>#REF!</v>
      </c>
      <c r="G275" s="146" t="e">
        <f>INDEX(#REF!, MATCH($A275,#REF!, 0), MATCH(G$4,#REF!, 0))</f>
        <v>#REF!</v>
      </c>
      <c r="H275" s="146" t="e">
        <f>INDEX(#REF!, MATCH($A275,#REF!, 0), MATCH(H$4,#REF!, 0))</f>
        <v>#REF!</v>
      </c>
      <c r="I275" s="146" t="e">
        <f>INDEX(#REF!, MATCH($A275,#REF!, 0), MATCH(I$4,#REF!, 0))</f>
        <v>#REF!</v>
      </c>
      <c r="J275" s="146" t="e">
        <f>INDEX(#REF!, MATCH($A275,#REF!, 0), MATCH(J$4,#REF!, 0))</f>
        <v>#REF!</v>
      </c>
      <c r="K275" s="146" t="e">
        <f>INDEX(#REF!, MATCH($A275,#REF!, 0), MATCH(K$4,#REF!, 0))</f>
        <v>#REF!</v>
      </c>
      <c r="L275" s="146" t="e">
        <f>INDEX(#REF!, MATCH($A275,#REF!, 0), MATCH(L$4,#REF!, 0))</f>
        <v>#REF!</v>
      </c>
      <c r="M275" s="146" t="e">
        <f>INDEX(#REF!, MATCH($A275,#REF!, 0), MATCH(M$4,#REF!, 0))</f>
        <v>#REF!</v>
      </c>
      <c r="N275" s="146" t="e">
        <f>INDEX(#REF!, MATCH($A275,#REF!, 0), MATCH(N$4,#REF!, 0))</f>
        <v>#REF!</v>
      </c>
      <c r="O275" s="146" t="e">
        <f>INDEX(#REF!, MATCH($A275,#REF!, 0), MATCH(O$4,#REF!, 0))</f>
        <v>#REF!</v>
      </c>
      <c r="P275" s="146" t="e">
        <f>INDEX(#REF!, MATCH($A275,#REF!, 0), MATCH(P$4,#REF!, 0))</f>
        <v>#REF!</v>
      </c>
      <c r="Q275" s="146" t="e">
        <f>INDEX(#REF!, MATCH($A275,#REF!, 0), MATCH(Q$4,#REF!, 0))</f>
        <v>#REF!</v>
      </c>
      <c r="R275" s="146" t="e">
        <f>INDEX(#REF!, MATCH($A275,#REF!, 0), MATCH(R$4,#REF!, 0))</f>
        <v>#REF!</v>
      </c>
      <c r="S275" s="146" t="e">
        <f>INDEX(#REF!, MATCH($A275,#REF!, 0), MATCH(S$4,#REF!, 0))</f>
        <v>#REF!</v>
      </c>
      <c r="T275" s="146" t="e">
        <f>INDEX(#REF!, MATCH($A275,#REF!, 0), MATCH(T$4,#REF!, 0))</f>
        <v>#REF!</v>
      </c>
      <c r="U275" s="146" t="e">
        <f>INDEX(#REF!, MATCH($A275,#REF!, 0), MATCH(U$4,#REF!, 0))</f>
        <v>#REF!</v>
      </c>
      <c r="V275" s="320" t="e">
        <f>INDEX(#REF!, MATCH($A275,#REF!, 0), MATCH(V$4,#REF!, 0))</f>
        <v>#REF!</v>
      </c>
      <c r="W275" s="146" t="e">
        <f>INDEX(#REF!, MATCH($A275,#REF!, 0), MATCH(W$4,#REF!, 0))</f>
        <v>#REF!</v>
      </c>
      <c r="X275" s="146" t="e">
        <f>INDEX(#REF!, MATCH($A275,#REF!, 0), MATCH(X$4,#REF!, 0))</f>
        <v>#REF!</v>
      </c>
      <c r="Y275" s="146" t="e">
        <f>INDEX(#REF!, MATCH($A275,#REF!, 0), MATCH(Y$4,#REF!, 0))</f>
        <v>#REF!</v>
      </c>
      <c r="Z275" s="146" t="e">
        <f>INDEX(#REF!, MATCH($A275,#REF!, 0), MATCH(Z$4,#REF!, 0))</f>
        <v>#REF!</v>
      </c>
      <c r="AA275" s="146" t="e">
        <f>INDEX(#REF!, MATCH($A275,#REF!, 0), MATCH(AA$4,#REF!, 0))</f>
        <v>#REF!</v>
      </c>
      <c r="AB275" s="146" t="e">
        <f>INDEX(#REF!, MATCH($A275,#REF!, 0), MATCH(AB$4,#REF!, 0))</f>
        <v>#REF!</v>
      </c>
      <c r="AC275" s="320" t="e">
        <f>INDEX(#REF!, MATCH($A275,#REF!, 0), MATCH(AC$4,#REF!, 0))</f>
        <v>#REF!</v>
      </c>
      <c r="AD275" s="146" t="e">
        <f>INDEX(#REF!, MATCH($A275,#REF!, 0), MATCH(AD$4,#REF!, 0))</f>
        <v>#REF!</v>
      </c>
      <c r="AE275" s="146" t="e">
        <f>INDEX(#REF!, MATCH($A275,#REF!, 0), MATCH(AE$4,#REF!, 0))</f>
        <v>#REF!</v>
      </c>
      <c r="AF275" s="146" t="e">
        <f>INDEX(#REF!, MATCH($A275,#REF!, 0), MATCH(AF$4,#REF!, 0))</f>
        <v>#REF!</v>
      </c>
      <c r="AG275" s="146" t="e">
        <f>INDEX(#REF!, MATCH($A275,#REF!, 0), MATCH(AG$4,#REF!, 0))</f>
        <v>#REF!</v>
      </c>
      <c r="AH275" s="146" t="e">
        <f>INDEX(#REF!, MATCH($A275,#REF!, 0), MATCH(AH$4,#REF!, 0))</f>
        <v>#REF!</v>
      </c>
      <c r="AI275" s="146" t="e">
        <f>INDEX(#REF!, MATCH($A275,#REF!, 0), MATCH(AI$4,#REF!, 0))</f>
        <v>#REF!</v>
      </c>
      <c r="AJ275" s="320" t="e">
        <f>INDEX(#REF!, MATCH($A275,#REF!, 0), MATCH(AJ$4,#REF!, 0))</f>
        <v>#REF!</v>
      </c>
      <c r="AK275" s="146" t="e">
        <f>INDEX(#REF!, MATCH($A275,#REF!, 0), MATCH(AK$4,#REF!, 0))</f>
        <v>#REF!</v>
      </c>
      <c r="AL275" s="146" t="e">
        <f>INDEX(#REF!, MATCH($A275,#REF!, 0), MATCH(AL$4,#REF!, 0))</f>
        <v>#REF!</v>
      </c>
      <c r="AM275" s="146" t="e">
        <f>INDEX(#REF!, MATCH($A275,#REF!, 0), MATCH(AM$4,#REF!, 0))</f>
        <v>#REF!</v>
      </c>
      <c r="AN275" s="146" t="e">
        <f>INDEX(#REF!, MATCH($A275,#REF!, 0), MATCH(AN$4,#REF!, 0))</f>
        <v>#REF!</v>
      </c>
      <c r="AO275" s="146" t="e">
        <f>INDEX(#REF!, MATCH($A275,#REF!, 0), MATCH(AO$4,#REF!, 0))</f>
        <v>#REF!</v>
      </c>
      <c r="AP275" s="146" t="e">
        <f>INDEX(#REF!, MATCH($A275,#REF!, 0), MATCH(AP$4,#REF!, 0))</f>
        <v>#REF!</v>
      </c>
      <c r="AQ275" s="320" t="e">
        <f>INDEX(#REF!, MATCH($A275,#REF!, 0), MATCH(AQ$4,#REF!, 0))</f>
        <v>#REF!</v>
      </c>
      <c r="AR275" s="146" t="e">
        <f>INDEX(#REF!, MATCH($A275,#REF!, 0), MATCH(AR$4,#REF!, 0))</f>
        <v>#REF!</v>
      </c>
      <c r="AS275" s="146" t="e">
        <f>INDEX(#REF!, MATCH($A275,#REF!, 0), MATCH(AS$4,#REF!, 0))</f>
        <v>#REF!</v>
      </c>
      <c r="AT275" s="146" t="e">
        <f>INDEX(#REF!, MATCH($A275,#REF!, 0), MATCH(AT$4,#REF!, 0))</f>
        <v>#REF!</v>
      </c>
      <c r="AU275" s="146" t="e">
        <f>INDEX(#REF!, MATCH($A275,#REF!, 0), MATCH(AU$4,#REF!, 0))</f>
        <v>#REF!</v>
      </c>
      <c r="AV275" s="146" t="e">
        <f>INDEX(#REF!, MATCH($A275,#REF!, 0), MATCH(AV$4,#REF!, 0))</f>
        <v>#REF!</v>
      </c>
      <c r="AW275" s="146" t="e">
        <f>INDEX(#REF!, MATCH($A275,#REF!, 0), MATCH(AW$4,#REF!, 0))</f>
        <v>#REF!</v>
      </c>
      <c r="AX275" s="320" t="e">
        <f>INDEX(#REF!, MATCH($A275,#REF!, 0), MATCH(AX$4,#REF!, 0))</f>
        <v>#REF!</v>
      </c>
      <c r="AY275" s="146" t="e">
        <f>INDEX(#REF!, MATCH($A275,#REF!, 0), MATCH(AY$4,#REF!, 0))</f>
        <v>#REF!</v>
      </c>
      <c r="AZ275" s="146" t="e">
        <f>INDEX(#REF!, MATCH($A275,#REF!, 0), MATCH(AZ$4,#REF!, 0))</f>
        <v>#REF!</v>
      </c>
      <c r="BA275" s="146" t="e">
        <f>INDEX(#REF!, MATCH($A275,#REF!, 0), MATCH(BA$4,#REF!, 0))</f>
        <v>#REF!</v>
      </c>
      <c r="BB275" s="146" t="e">
        <f>INDEX(#REF!, MATCH($A275,#REF!, 0), MATCH(BB$4,#REF!, 0))</f>
        <v>#REF!</v>
      </c>
      <c r="BC275" s="146" t="e">
        <f>INDEX(#REF!, MATCH($A275,#REF!, 0), MATCH(BC$4,#REF!, 0))</f>
        <v>#REF!</v>
      </c>
      <c r="BD275" s="364" t="e">
        <f>INDEX(#REF!, MATCH($A275,#REF!, 0), MATCH(BD$4,#REF!, 0))</f>
        <v>#REF!</v>
      </c>
      <c r="BE275" s="320" t="e">
        <f>INDEX(#REF!, MATCH($A275,#REF!, 0), MATCH(BE$4,#REF!, 0))</f>
        <v>#REF!</v>
      </c>
      <c r="BF275" s="146" t="e">
        <f>INDEX(#REF!, MATCH($A275,#REF!, 0), MATCH(BF$4,#REF!, 0))</f>
        <v>#REF!</v>
      </c>
      <c r="BG275" s="146" t="e">
        <f>INDEX(#REF!, MATCH($A275,#REF!, 0), MATCH(BG$4,#REF!, 0))</f>
        <v>#REF!</v>
      </c>
      <c r="BH275" s="146" t="e">
        <f>INDEX(#REF!, MATCH($A275,#REF!, 0), MATCH(BH$4,#REF!, 0))</f>
        <v>#REF!</v>
      </c>
      <c r="BI275" s="146" t="e">
        <f>INDEX(#REF!, MATCH($A275,#REF!, 0), MATCH(BI$4,#REF!, 0))</f>
        <v>#REF!</v>
      </c>
      <c r="BJ275" s="146" t="e">
        <f>INDEX(#REF!, MATCH($A275,#REF!, 0), MATCH(BJ$4,#REF!, 0))</f>
        <v>#REF!</v>
      </c>
      <c r="BK275" s="364" t="e">
        <f>INDEX(#REF!, MATCH($A275,#REF!, 0), MATCH(BK$4,#REF!, 0))</f>
        <v>#REF!</v>
      </c>
      <c r="BL275" s="164" t="e">
        <f t="shared" ref="BL275:BR275" si="808">BL273</f>
        <v>#REF!</v>
      </c>
      <c r="BM275" s="164" t="e">
        <f t="shared" si="808"/>
        <v>#REF!</v>
      </c>
      <c r="BN275" s="164" t="e">
        <f t="shared" si="808"/>
        <v>#REF!</v>
      </c>
      <c r="BO275" s="164" t="e">
        <f t="shared" si="808"/>
        <v>#REF!</v>
      </c>
      <c r="BP275" s="164" t="e">
        <f t="shared" si="808"/>
        <v>#REF!</v>
      </c>
      <c r="BQ275" s="164" t="e">
        <f t="shared" si="808"/>
        <v>#REF!</v>
      </c>
      <c r="BR275" s="164" t="e">
        <f t="shared" si="808"/>
        <v>#REF!</v>
      </c>
      <c r="BT275" s="121"/>
    </row>
    <row r="276" spans="1:91">
      <c r="A276" s="130"/>
      <c r="B276" s="117"/>
      <c r="C276" s="117"/>
      <c r="D276" s="160"/>
      <c r="E276" s="160"/>
      <c r="F276" s="160"/>
      <c r="G276" s="160"/>
      <c r="H276" s="160"/>
      <c r="I276" s="160"/>
      <c r="J276" s="160"/>
      <c r="K276" s="160"/>
      <c r="L276" s="160"/>
      <c r="M276" s="160"/>
      <c r="N276" s="160"/>
      <c r="O276" s="160"/>
      <c r="P276" s="160"/>
      <c r="Q276" s="160"/>
      <c r="R276" s="160"/>
      <c r="S276" s="160"/>
      <c r="T276" s="160"/>
      <c r="U276" s="160"/>
      <c r="V276" s="338"/>
      <c r="W276" s="160"/>
      <c r="X276" s="160"/>
      <c r="Y276" s="160"/>
      <c r="Z276" s="160"/>
      <c r="AA276" s="160"/>
      <c r="AB276" s="160"/>
      <c r="AC276" s="338"/>
      <c r="AD276" s="160"/>
      <c r="AE276" s="160"/>
      <c r="AF276" s="160"/>
      <c r="AG276" s="160"/>
      <c r="AH276" s="160"/>
      <c r="AI276" s="160"/>
      <c r="AJ276" s="338"/>
      <c r="AK276" s="160"/>
      <c r="AL276" s="160"/>
      <c r="AM276" s="160"/>
      <c r="AN276" s="160"/>
      <c r="AO276" s="160"/>
      <c r="AP276" s="160"/>
      <c r="AQ276" s="338"/>
      <c r="AR276" s="160"/>
      <c r="AS276" s="160"/>
      <c r="AT276" s="160"/>
      <c r="AU276" s="160"/>
      <c r="AV276" s="160"/>
      <c r="AW276" s="160"/>
      <c r="AX276" s="338"/>
      <c r="AY276" s="160"/>
      <c r="AZ276" s="160"/>
      <c r="BA276" s="160"/>
      <c r="BB276" s="160"/>
      <c r="BC276" s="160"/>
      <c r="BD276" s="381"/>
      <c r="BE276" s="338"/>
      <c r="BF276" s="160"/>
      <c r="BG276" s="160"/>
      <c r="BH276" s="160"/>
      <c r="BI276" s="160"/>
      <c r="BJ276" s="160"/>
      <c r="BK276" s="381"/>
      <c r="BL276" s="160"/>
      <c r="BM276" s="160"/>
      <c r="BN276" s="119"/>
      <c r="BO276" s="119"/>
      <c r="BP276" s="160"/>
      <c r="BQ276" s="119"/>
      <c r="BR276" s="160"/>
      <c r="BT276" s="121"/>
    </row>
    <row r="277" spans="1:91">
      <c r="A277" s="105" t="s">
        <v>207</v>
      </c>
      <c r="B277" s="117" t="s">
        <v>129</v>
      </c>
      <c r="C277" s="117"/>
      <c r="D277" s="146" t="e">
        <f>INDEX(#REF!, MATCH($A277,#REF!, 0), MATCH(D$4,#REF!, 0))</f>
        <v>#REF!</v>
      </c>
      <c r="E277" s="146" t="e">
        <f>INDEX(#REF!, MATCH($A277,#REF!, 0), MATCH(E$4,#REF!, 0))</f>
        <v>#REF!</v>
      </c>
      <c r="F277" s="146" t="e">
        <f>INDEX(#REF!, MATCH($A277,#REF!, 0), MATCH(F$4,#REF!, 0))</f>
        <v>#REF!</v>
      </c>
      <c r="G277" s="146" t="e">
        <f>INDEX(#REF!, MATCH($A277,#REF!, 0), MATCH(G$4,#REF!, 0))</f>
        <v>#REF!</v>
      </c>
      <c r="H277" s="146" t="e">
        <f>INDEX(#REF!, MATCH($A277,#REF!, 0), MATCH(H$4,#REF!, 0))</f>
        <v>#REF!</v>
      </c>
      <c r="I277" s="146" t="e">
        <f>INDEX(#REF!, MATCH($A277,#REF!, 0), MATCH(I$4,#REF!, 0))</f>
        <v>#REF!</v>
      </c>
      <c r="J277" s="146" t="e">
        <f>INDEX(#REF!, MATCH($A277,#REF!, 0), MATCH(J$4,#REF!, 0))</f>
        <v>#REF!</v>
      </c>
      <c r="K277" s="146" t="e">
        <f>INDEX(#REF!, MATCH($A277,#REF!, 0), MATCH(K$4,#REF!, 0))</f>
        <v>#REF!</v>
      </c>
      <c r="L277" s="146" t="e">
        <f>INDEX(#REF!, MATCH($A277,#REF!, 0), MATCH(L$4,#REF!, 0))</f>
        <v>#REF!</v>
      </c>
      <c r="M277" s="146" t="e">
        <f>INDEX(#REF!, MATCH($A277,#REF!, 0), MATCH(M$4,#REF!, 0))</f>
        <v>#REF!</v>
      </c>
      <c r="N277" s="146" t="e">
        <f>INDEX(#REF!, MATCH($A277,#REF!, 0), MATCH(N$4,#REF!, 0))</f>
        <v>#REF!</v>
      </c>
      <c r="O277" s="146" t="e">
        <f>INDEX(#REF!, MATCH($A277,#REF!, 0), MATCH(O$4,#REF!, 0))</f>
        <v>#REF!</v>
      </c>
      <c r="P277" s="146" t="e">
        <f>INDEX(#REF!, MATCH($A277,#REF!, 0), MATCH(P$4,#REF!, 0))</f>
        <v>#REF!</v>
      </c>
      <c r="Q277" s="146" t="e">
        <f>INDEX(#REF!, MATCH($A277,#REF!, 0), MATCH(Q$4,#REF!, 0))</f>
        <v>#REF!</v>
      </c>
      <c r="R277" s="146" t="e">
        <f>INDEX(#REF!, MATCH($A277,#REF!, 0), MATCH(R$4,#REF!, 0))</f>
        <v>#REF!</v>
      </c>
      <c r="S277" s="146" t="e">
        <f>INDEX(#REF!, MATCH($A277,#REF!, 0), MATCH(S$4,#REF!, 0))</f>
        <v>#REF!</v>
      </c>
      <c r="T277" s="146" t="e">
        <f>INDEX(#REF!, MATCH($A277,#REF!, 0), MATCH(T$4,#REF!, 0))</f>
        <v>#REF!</v>
      </c>
      <c r="U277" s="146" t="e">
        <f>INDEX(#REF!, MATCH($A277,#REF!, 0), MATCH(U$4,#REF!, 0))</f>
        <v>#REF!</v>
      </c>
      <c r="V277" s="320" t="e">
        <f>INDEX(#REF!, MATCH($A277,#REF!, 0), MATCH(V$4,#REF!, 0))</f>
        <v>#REF!</v>
      </c>
      <c r="W277" s="146" t="e">
        <f>INDEX(#REF!, MATCH($A277,#REF!, 0), MATCH(W$4,#REF!, 0))</f>
        <v>#REF!</v>
      </c>
      <c r="X277" s="146" t="e">
        <f>INDEX(#REF!, MATCH($A277,#REF!, 0), MATCH(X$4,#REF!, 0))</f>
        <v>#REF!</v>
      </c>
      <c r="Y277" s="146" t="e">
        <f>INDEX(#REF!, MATCH($A277,#REF!, 0), MATCH(Y$4,#REF!, 0))</f>
        <v>#REF!</v>
      </c>
      <c r="Z277" s="146" t="e">
        <f>INDEX(#REF!, MATCH($A277,#REF!, 0), MATCH(Z$4,#REF!, 0))</f>
        <v>#REF!</v>
      </c>
      <c r="AA277" s="146" t="e">
        <f>INDEX(#REF!, MATCH($A277,#REF!, 0), MATCH(AA$4,#REF!, 0))</f>
        <v>#REF!</v>
      </c>
      <c r="AB277" s="146" t="e">
        <f>INDEX(#REF!, MATCH($A277,#REF!, 0), MATCH(AB$4,#REF!, 0))</f>
        <v>#REF!</v>
      </c>
      <c r="AC277" s="320" t="e">
        <f>INDEX(#REF!, MATCH($A277,#REF!, 0), MATCH(AC$4,#REF!, 0))</f>
        <v>#REF!</v>
      </c>
      <c r="AD277" s="146" t="e">
        <f>INDEX(#REF!, MATCH($A277,#REF!, 0), MATCH(AD$4,#REF!, 0))</f>
        <v>#REF!</v>
      </c>
      <c r="AE277" s="146" t="e">
        <f>INDEX(#REF!, MATCH($A277,#REF!, 0), MATCH(AE$4,#REF!, 0))</f>
        <v>#REF!</v>
      </c>
      <c r="AF277" s="146" t="e">
        <f>INDEX(#REF!, MATCH($A277,#REF!, 0), MATCH(AF$4,#REF!, 0))</f>
        <v>#REF!</v>
      </c>
      <c r="AG277" s="146" t="e">
        <f>INDEX(#REF!, MATCH($A277,#REF!, 0), MATCH(AG$4,#REF!, 0))</f>
        <v>#REF!</v>
      </c>
      <c r="AH277" s="146" t="e">
        <f>INDEX(#REF!, MATCH($A277,#REF!, 0), MATCH(AH$4,#REF!, 0))</f>
        <v>#REF!</v>
      </c>
      <c r="AI277" s="146" t="e">
        <f>INDEX(#REF!, MATCH($A277,#REF!, 0), MATCH(AI$4,#REF!, 0))</f>
        <v>#REF!</v>
      </c>
      <c r="AJ277" s="320" t="e">
        <f>INDEX(#REF!, MATCH($A277,#REF!, 0), MATCH(AJ$4,#REF!, 0))</f>
        <v>#REF!</v>
      </c>
      <c r="AK277" s="146" t="e">
        <f>INDEX(#REF!, MATCH($A277,#REF!, 0), MATCH(AK$4,#REF!, 0))</f>
        <v>#REF!</v>
      </c>
      <c r="AL277" s="146" t="e">
        <f>INDEX(#REF!, MATCH($A277,#REF!, 0), MATCH(AL$4,#REF!, 0))</f>
        <v>#REF!</v>
      </c>
      <c r="AM277" s="146" t="e">
        <f>INDEX(#REF!, MATCH($A277,#REF!, 0), MATCH(AM$4,#REF!, 0))</f>
        <v>#REF!</v>
      </c>
      <c r="AN277" s="146" t="e">
        <f>INDEX(#REF!, MATCH($A277,#REF!, 0), MATCH(AN$4,#REF!, 0))</f>
        <v>#REF!</v>
      </c>
      <c r="AO277" s="146" t="e">
        <f>INDEX(#REF!, MATCH($A277,#REF!, 0), MATCH(AO$4,#REF!, 0))</f>
        <v>#REF!</v>
      </c>
      <c r="AP277" s="146" t="e">
        <f>INDEX(#REF!, MATCH($A277,#REF!, 0), MATCH(AP$4,#REF!, 0))</f>
        <v>#REF!</v>
      </c>
      <c r="AQ277" s="320" t="e">
        <f>INDEX(#REF!, MATCH($A277,#REF!, 0), MATCH(AQ$4,#REF!, 0))</f>
        <v>#REF!</v>
      </c>
      <c r="AR277" s="146" t="e">
        <f>INDEX(#REF!, MATCH($A277,#REF!, 0), MATCH(AR$4,#REF!, 0))</f>
        <v>#REF!</v>
      </c>
      <c r="AS277" s="146" t="e">
        <f>INDEX(#REF!, MATCH($A277,#REF!, 0), MATCH(AS$4,#REF!, 0))</f>
        <v>#REF!</v>
      </c>
      <c r="AT277" s="146" t="e">
        <f>INDEX(#REF!, MATCH($A277,#REF!, 0), MATCH(AT$4,#REF!, 0))</f>
        <v>#REF!</v>
      </c>
      <c r="AU277" s="146" t="e">
        <f>INDEX(#REF!, MATCH($A277,#REF!, 0), MATCH(AU$4,#REF!, 0))</f>
        <v>#REF!</v>
      </c>
      <c r="AV277" s="146" t="e">
        <f>INDEX(#REF!, MATCH($A277,#REF!, 0), MATCH(AV$4,#REF!, 0))</f>
        <v>#REF!</v>
      </c>
      <c r="AW277" s="146" t="e">
        <f>INDEX(#REF!, MATCH($A277,#REF!, 0), MATCH(AW$4,#REF!, 0))</f>
        <v>#REF!</v>
      </c>
      <c r="AX277" s="320" t="e">
        <f>INDEX(#REF!, MATCH($A277,#REF!, 0), MATCH(AX$4,#REF!, 0))</f>
        <v>#REF!</v>
      </c>
      <c r="AY277" s="146" t="e">
        <f>INDEX(#REF!, MATCH($A277,#REF!, 0), MATCH(AY$4,#REF!, 0))</f>
        <v>#REF!</v>
      </c>
      <c r="AZ277" s="146" t="e">
        <f>INDEX(#REF!, MATCH($A277,#REF!, 0), MATCH(AZ$4,#REF!, 0))</f>
        <v>#REF!</v>
      </c>
      <c r="BA277" s="146" t="e">
        <f>INDEX(#REF!, MATCH($A277,#REF!, 0), MATCH(BA$4,#REF!, 0))</f>
        <v>#REF!</v>
      </c>
      <c r="BB277" s="146" t="e">
        <f>INDEX(#REF!, MATCH($A277,#REF!, 0), MATCH(BB$4,#REF!, 0))</f>
        <v>#REF!</v>
      </c>
      <c r="BC277" s="146" t="e">
        <f>INDEX(#REF!, MATCH($A277,#REF!, 0), MATCH(BC$4,#REF!, 0))</f>
        <v>#REF!</v>
      </c>
      <c r="BD277" s="364" t="e">
        <f>INDEX(#REF!, MATCH($A277,#REF!, 0), MATCH(BD$4,#REF!, 0))</f>
        <v>#REF!</v>
      </c>
      <c r="BE277" s="320" t="e">
        <f>INDEX(#REF!, MATCH($A277,#REF!, 0), MATCH(BE$4,#REF!, 0))</f>
        <v>#REF!</v>
      </c>
      <c r="BF277" s="146" t="e">
        <f>INDEX(#REF!, MATCH($A277,#REF!, 0), MATCH(BF$4,#REF!, 0))</f>
        <v>#REF!</v>
      </c>
      <c r="BG277" s="146" t="e">
        <f>INDEX(#REF!, MATCH($A277,#REF!, 0), MATCH(BG$4,#REF!, 0))</f>
        <v>#REF!</v>
      </c>
      <c r="BH277" s="146" t="e">
        <f>INDEX(#REF!, MATCH($A277,#REF!, 0), MATCH(BH$4,#REF!, 0))</f>
        <v>#REF!</v>
      </c>
      <c r="BI277" s="146" t="e">
        <f>INDEX(#REF!, MATCH($A277,#REF!, 0), MATCH(BI$4,#REF!, 0))</f>
        <v>#REF!</v>
      </c>
      <c r="BJ277" s="146" t="e">
        <f>INDEX(#REF!, MATCH($A277,#REF!, 0), MATCH(BJ$4,#REF!, 0))</f>
        <v>#REF!</v>
      </c>
      <c r="BK277" s="364" t="e">
        <f>INDEX(#REF!, MATCH($A277,#REF!, 0), MATCH(BK$4,#REF!, 0))</f>
        <v>#REF!</v>
      </c>
      <c r="BL277" s="112" t="e">
        <f t="shared" ref="BL277:BR277" si="809">BL191</f>
        <v>#REF!</v>
      </c>
      <c r="BM277" s="112" t="e">
        <f t="shared" si="809"/>
        <v>#REF!</v>
      </c>
      <c r="BN277" s="112" t="e">
        <f t="shared" si="809"/>
        <v>#REF!</v>
      </c>
      <c r="BO277" s="112" t="e">
        <f t="shared" si="809"/>
        <v>#REF!</v>
      </c>
      <c r="BP277" s="112" t="e">
        <f t="shared" si="809"/>
        <v>#REF!</v>
      </c>
      <c r="BQ277" s="112" t="e">
        <f t="shared" si="809"/>
        <v>#REF!</v>
      </c>
      <c r="BR277" s="112" t="e">
        <f t="shared" si="809"/>
        <v>#REF!</v>
      </c>
      <c r="BT277" s="121"/>
    </row>
    <row r="278" spans="1:91">
      <c r="A278" s="215" t="s">
        <v>256</v>
      </c>
      <c r="B278" s="117" t="s">
        <v>130</v>
      </c>
      <c r="C278" s="117"/>
      <c r="D278" s="146" t="e">
        <f>INDEX(#REF!, MATCH($A278,#REF!, 0), MATCH(D$4,#REF!, 0))</f>
        <v>#REF!</v>
      </c>
      <c r="E278" s="146" t="e">
        <f>INDEX(#REF!, MATCH($A278,#REF!, 0), MATCH(E$4,#REF!, 0))</f>
        <v>#REF!</v>
      </c>
      <c r="F278" s="146" t="e">
        <f>INDEX(#REF!, MATCH($A278,#REF!, 0), MATCH(F$4,#REF!, 0))</f>
        <v>#REF!</v>
      </c>
      <c r="G278" s="146" t="e">
        <f>INDEX(#REF!, MATCH($A278,#REF!, 0), MATCH(G$4,#REF!, 0))</f>
        <v>#REF!</v>
      </c>
      <c r="H278" s="146" t="e">
        <f>INDEX(#REF!, MATCH($A278,#REF!, 0), MATCH(H$4,#REF!, 0))</f>
        <v>#REF!</v>
      </c>
      <c r="I278" s="146" t="e">
        <f>INDEX(#REF!, MATCH($A278,#REF!, 0), MATCH(I$4,#REF!, 0))</f>
        <v>#REF!</v>
      </c>
      <c r="J278" s="146" t="e">
        <f>INDEX(#REF!, MATCH($A278,#REF!, 0), MATCH(J$4,#REF!, 0))</f>
        <v>#REF!</v>
      </c>
      <c r="K278" s="146" t="e">
        <f>INDEX(#REF!, MATCH($A278,#REF!, 0), MATCH(K$4,#REF!, 0))</f>
        <v>#REF!</v>
      </c>
      <c r="L278" s="146" t="e">
        <f>INDEX(#REF!, MATCH($A278,#REF!, 0), MATCH(L$4,#REF!, 0))</f>
        <v>#REF!</v>
      </c>
      <c r="M278" s="146" t="e">
        <f>INDEX(#REF!, MATCH($A278,#REF!, 0), MATCH(M$4,#REF!, 0))</f>
        <v>#REF!</v>
      </c>
      <c r="N278" s="146" t="e">
        <f>INDEX(#REF!, MATCH($A278,#REF!, 0), MATCH(N$4,#REF!, 0))</f>
        <v>#REF!</v>
      </c>
      <c r="O278" s="146" t="e">
        <f>INDEX(#REF!, MATCH($A278,#REF!, 0), MATCH(O$4,#REF!, 0))</f>
        <v>#REF!</v>
      </c>
      <c r="P278" s="146" t="e">
        <f>INDEX(#REF!, MATCH($A278,#REF!, 0), MATCH(P$4,#REF!, 0))</f>
        <v>#REF!</v>
      </c>
      <c r="Q278" s="146" t="e">
        <f>INDEX(#REF!, MATCH($A278,#REF!, 0), MATCH(Q$4,#REF!, 0))</f>
        <v>#REF!</v>
      </c>
      <c r="R278" s="146" t="e">
        <f>INDEX(#REF!, MATCH($A278,#REF!, 0), MATCH(R$4,#REF!, 0))</f>
        <v>#REF!</v>
      </c>
      <c r="S278" s="146" t="e">
        <f>INDEX(#REF!, MATCH($A278,#REF!, 0), MATCH(S$4,#REF!, 0))</f>
        <v>#REF!</v>
      </c>
      <c r="T278" s="146" t="e">
        <f>INDEX(#REF!, MATCH($A278,#REF!, 0), MATCH(T$4,#REF!, 0))</f>
        <v>#REF!</v>
      </c>
      <c r="U278" s="146" t="e">
        <f>INDEX(#REF!, MATCH($A278,#REF!, 0), MATCH(U$4,#REF!, 0))</f>
        <v>#REF!</v>
      </c>
      <c r="V278" s="320" t="e">
        <f>INDEX(#REF!, MATCH($A278,#REF!, 0), MATCH(V$4,#REF!, 0))</f>
        <v>#REF!</v>
      </c>
      <c r="W278" s="146" t="e">
        <f>INDEX(#REF!, MATCH($A278,#REF!, 0), MATCH(W$4,#REF!, 0))</f>
        <v>#REF!</v>
      </c>
      <c r="X278" s="146" t="e">
        <f>INDEX(#REF!, MATCH($A278,#REF!, 0), MATCH(X$4,#REF!, 0))</f>
        <v>#REF!</v>
      </c>
      <c r="Y278" s="146" t="e">
        <f>INDEX(#REF!, MATCH($A278,#REF!, 0), MATCH(Y$4,#REF!, 0))</f>
        <v>#REF!</v>
      </c>
      <c r="Z278" s="146" t="e">
        <f>INDEX(#REF!, MATCH($A278,#REF!, 0), MATCH(Z$4,#REF!, 0))</f>
        <v>#REF!</v>
      </c>
      <c r="AA278" s="146" t="e">
        <f>INDEX(#REF!, MATCH($A278,#REF!, 0), MATCH(AA$4,#REF!, 0))</f>
        <v>#REF!</v>
      </c>
      <c r="AB278" s="146" t="e">
        <f>INDEX(#REF!, MATCH($A278,#REF!, 0), MATCH(AB$4,#REF!, 0))</f>
        <v>#REF!</v>
      </c>
      <c r="AC278" s="320" t="e">
        <f>INDEX(#REF!, MATCH($A278,#REF!, 0), MATCH(AC$4,#REF!, 0))</f>
        <v>#REF!</v>
      </c>
      <c r="AD278" s="146" t="e">
        <f>INDEX(#REF!, MATCH($A278,#REF!, 0), MATCH(AD$4,#REF!, 0))</f>
        <v>#REF!</v>
      </c>
      <c r="AE278" s="146" t="e">
        <f>INDEX(#REF!, MATCH($A278,#REF!, 0), MATCH(AE$4,#REF!, 0))</f>
        <v>#REF!</v>
      </c>
      <c r="AF278" s="146" t="e">
        <f>INDEX(#REF!, MATCH($A278,#REF!, 0), MATCH(AF$4,#REF!, 0))</f>
        <v>#REF!</v>
      </c>
      <c r="AG278" s="146" t="e">
        <f>INDEX(#REF!, MATCH($A278,#REF!, 0), MATCH(AG$4,#REF!, 0))</f>
        <v>#REF!</v>
      </c>
      <c r="AH278" s="146" t="e">
        <f>INDEX(#REF!, MATCH($A278,#REF!, 0), MATCH(AH$4,#REF!, 0))</f>
        <v>#REF!</v>
      </c>
      <c r="AI278" s="146" t="e">
        <f>INDEX(#REF!, MATCH($A278,#REF!, 0), MATCH(AI$4,#REF!, 0))</f>
        <v>#REF!</v>
      </c>
      <c r="AJ278" s="320" t="e">
        <f>INDEX(#REF!, MATCH($A278,#REF!, 0), MATCH(AJ$4,#REF!, 0))</f>
        <v>#REF!</v>
      </c>
      <c r="AK278" s="146" t="e">
        <f>INDEX(#REF!, MATCH($A278,#REF!, 0), MATCH(AK$4,#REF!, 0))</f>
        <v>#REF!</v>
      </c>
      <c r="AL278" s="146" t="e">
        <f>INDEX(#REF!, MATCH($A278,#REF!, 0), MATCH(AL$4,#REF!, 0))</f>
        <v>#REF!</v>
      </c>
      <c r="AM278" s="146" t="e">
        <f>INDEX(#REF!, MATCH($A278,#REF!, 0), MATCH(AM$4,#REF!, 0))</f>
        <v>#REF!</v>
      </c>
      <c r="AN278" s="146" t="e">
        <f>INDEX(#REF!, MATCH($A278,#REF!, 0), MATCH(AN$4,#REF!, 0))</f>
        <v>#REF!</v>
      </c>
      <c r="AO278" s="146" t="e">
        <f>INDEX(#REF!, MATCH($A278,#REF!, 0), MATCH(AO$4,#REF!, 0))</f>
        <v>#REF!</v>
      </c>
      <c r="AP278" s="146" t="e">
        <f>INDEX(#REF!, MATCH($A278,#REF!, 0), MATCH(AP$4,#REF!, 0))</f>
        <v>#REF!</v>
      </c>
      <c r="AQ278" s="320" t="e">
        <f>INDEX(#REF!, MATCH($A278,#REF!, 0), MATCH(AQ$4,#REF!, 0))</f>
        <v>#REF!</v>
      </c>
      <c r="AR278" s="146" t="e">
        <f>INDEX(#REF!, MATCH($A278,#REF!, 0), MATCH(AR$4,#REF!, 0))</f>
        <v>#REF!</v>
      </c>
      <c r="AS278" s="146" t="e">
        <f>INDEX(#REF!, MATCH($A278,#REF!, 0), MATCH(AS$4,#REF!, 0))</f>
        <v>#REF!</v>
      </c>
      <c r="AT278" s="146" t="e">
        <f>INDEX(#REF!, MATCH($A278,#REF!, 0), MATCH(AT$4,#REF!, 0))</f>
        <v>#REF!</v>
      </c>
      <c r="AU278" s="146" t="e">
        <f>INDEX(#REF!, MATCH($A278,#REF!, 0), MATCH(AU$4,#REF!, 0))</f>
        <v>#REF!</v>
      </c>
      <c r="AV278" s="146" t="e">
        <f>INDEX(#REF!, MATCH($A278,#REF!, 0), MATCH(AV$4,#REF!, 0))</f>
        <v>#REF!</v>
      </c>
      <c r="AW278" s="146" t="e">
        <f>INDEX(#REF!, MATCH($A278,#REF!, 0), MATCH(AW$4,#REF!, 0))</f>
        <v>#REF!</v>
      </c>
      <c r="AX278" s="320" t="e">
        <f>INDEX(#REF!, MATCH($A278,#REF!, 0), MATCH(AX$4,#REF!, 0))</f>
        <v>#REF!</v>
      </c>
      <c r="AY278" s="146" t="e">
        <f>INDEX(#REF!, MATCH($A278,#REF!, 0), MATCH(AY$4,#REF!, 0))</f>
        <v>#REF!</v>
      </c>
      <c r="AZ278" s="146" t="e">
        <f>INDEX(#REF!, MATCH($A278,#REF!, 0), MATCH(AZ$4,#REF!, 0))</f>
        <v>#REF!</v>
      </c>
      <c r="BA278" s="146" t="e">
        <f>INDEX(#REF!, MATCH($A278,#REF!, 0), MATCH(BA$4,#REF!, 0))</f>
        <v>#REF!</v>
      </c>
      <c r="BB278" s="146" t="e">
        <f>INDEX(#REF!, MATCH($A278,#REF!, 0), MATCH(BB$4,#REF!, 0))</f>
        <v>#REF!</v>
      </c>
      <c r="BC278" s="146" t="e">
        <f>INDEX(#REF!, MATCH($A278,#REF!, 0), MATCH(BC$4,#REF!, 0))</f>
        <v>#REF!</v>
      </c>
      <c r="BD278" s="364" t="e">
        <f>INDEX(#REF!, MATCH($A278,#REF!, 0), MATCH(BD$4,#REF!, 0))</f>
        <v>#REF!</v>
      </c>
      <c r="BE278" s="320" t="e">
        <f>INDEX(#REF!, MATCH($A278,#REF!, 0), MATCH(BE$4,#REF!, 0))</f>
        <v>#REF!</v>
      </c>
      <c r="BF278" s="146" t="e">
        <f>INDEX(#REF!, MATCH($A278,#REF!, 0), MATCH(BF$4,#REF!, 0))</f>
        <v>#REF!</v>
      </c>
      <c r="BG278" s="146" t="e">
        <f>INDEX(#REF!, MATCH($A278,#REF!, 0), MATCH(BG$4,#REF!, 0))</f>
        <v>#REF!</v>
      </c>
      <c r="BH278" s="146" t="e">
        <f>INDEX(#REF!, MATCH($A278,#REF!, 0), MATCH(BH$4,#REF!, 0))</f>
        <v>#REF!</v>
      </c>
      <c r="BI278" s="146" t="e">
        <f>INDEX(#REF!, MATCH($A278,#REF!, 0), MATCH(BI$4,#REF!, 0))</f>
        <v>#REF!</v>
      </c>
      <c r="BJ278" s="146" t="e">
        <f>INDEX(#REF!, MATCH($A278,#REF!, 0), MATCH(BJ$4,#REF!, 0))</f>
        <v>#REF!</v>
      </c>
      <c r="BK278" s="364" t="e">
        <f>INDEX(#REF!, MATCH($A278,#REF!, 0), MATCH(BK$4,#REF!, 0))</f>
        <v>#REF!</v>
      </c>
      <c r="BL278" s="112">
        <v>0</v>
      </c>
      <c r="BM278" s="112">
        <f>BL278</f>
        <v>0</v>
      </c>
      <c r="BN278" s="112">
        <f t="shared" ref="BN278:BO283" si="810">BM278</f>
        <v>0</v>
      </c>
      <c r="BO278" s="112">
        <f t="shared" si="810"/>
        <v>0</v>
      </c>
      <c r="BP278" s="112">
        <f>BO278</f>
        <v>0</v>
      </c>
      <c r="BQ278" s="112">
        <f t="shared" ref="BQ278:BQ283" si="811">BP278</f>
        <v>0</v>
      </c>
      <c r="BR278" s="112">
        <f>BQ278</f>
        <v>0</v>
      </c>
      <c r="BT278" s="121"/>
    </row>
    <row r="279" spans="1:91">
      <c r="A279" s="215" t="s">
        <v>257</v>
      </c>
      <c r="B279" s="117" t="s">
        <v>131</v>
      </c>
      <c r="C279" s="117"/>
      <c r="D279" s="146" t="e">
        <f>INDEX(#REF!, MATCH($A279,#REF!, 0), MATCH(D$4,#REF!, 0))</f>
        <v>#REF!</v>
      </c>
      <c r="E279" s="146" t="e">
        <f>INDEX(#REF!, MATCH($A279,#REF!, 0), MATCH(E$4,#REF!, 0))</f>
        <v>#REF!</v>
      </c>
      <c r="F279" s="146" t="e">
        <f>INDEX(#REF!, MATCH($A279,#REF!, 0), MATCH(F$4,#REF!, 0))</f>
        <v>#REF!</v>
      </c>
      <c r="G279" s="146" t="e">
        <f>INDEX(#REF!, MATCH($A279,#REF!, 0), MATCH(G$4,#REF!, 0))</f>
        <v>#REF!</v>
      </c>
      <c r="H279" s="146" t="e">
        <f>INDEX(#REF!, MATCH($A279,#REF!, 0), MATCH(H$4,#REF!, 0))</f>
        <v>#REF!</v>
      </c>
      <c r="I279" s="146" t="e">
        <f>INDEX(#REF!, MATCH($A279,#REF!, 0), MATCH(I$4,#REF!, 0))</f>
        <v>#REF!</v>
      </c>
      <c r="J279" s="146" t="e">
        <f>INDEX(#REF!, MATCH($A279,#REF!, 0), MATCH(J$4,#REF!, 0))</f>
        <v>#REF!</v>
      </c>
      <c r="K279" s="146" t="e">
        <f>INDEX(#REF!, MATCH($A279,#REF!, 0), MATCH(K$4,#REF!, 0))</f>
        <v>#REF!</v>
      </c>
      <c r="L279" s="146" t="e">
        <f>INDEX(#REF!, MATCH($A279,#REF!, 0), MATCH(L$4,#REF!, 0))</f>
        <v>#REF!</v>
      </c>
      <c r="M279" s="146" t="e">
        <f>INDEX(#REF!, MATCH($A279,#REF!, 0), MATCH(M$4,#REF!, 0))</f>
        <v>#REF!</v>
      </c>
      <c r="N279" s="146" t="e">
        <f>INDEX(#REF!, MATCH($A279,#REF!, 0), MATCH(N$4,#REF!, 0))</f>
        <v>#REF!</v>
      </c>
      <c r="O279" s="146" t="e">
        <f>INDEX(#REF!, MATCH($A279,#REF!, 0), MATCH(O$4,#REF!, 0))</f>
        <v>#REF!</v>
      </c>
      <c r="P279" s="146" t="e">
        <f>INDEX(#REF!, MATCH($A279,#REF!, 0), MATCH(P$4,#REF!, 0))</f>
        <v>#REF!</v>
      </c>
      <c r="Q279" s="146" t="e">
        <f>INDEX(#REF!, MATCH($A279,#REF!, 0), MATCH(Q$4,#REF!, 0))</f>
        <v>#REF!</v>
      </c>
      <c r="R279" s="146" t="e">
        <f>INDEX(#REF!, MATCH($A279,#REF!, 0), MATCH(R$4,#REF!, 0))</f>
        <v>#REF!</v>
      </c>
      <c r="S279" s="146" t="e">
        <f>INDEX(#REF!, MATCH($A279,#REF!, 0), MATCH(S$4,#REF!, 0))</f>
        <v>#REF!</v>
      </c>
      <c r="T279" s="146" t="e">
        <f>INDEX(#REF!, MATCH($A279,#REF!, 0), MATCH(T$4,#REF!, 0))</f>
        <v>#REF!</v>
      </c>
      <c r="U279" s="146" t="e">
        <f>INDEX(#REF!, MATCH($A279,#REF!, 0), MATCH(U$4,#REF!, 0))</f>
        <v>#REF!</v>
      </c>
      <c r="V279" s="320" t="e">
        <f>INDEX(#REF!, MATCH($A279,#REF!, 0), MATCH(V$4,#REF!, 0))</f>
        <v>#REF!</v>
      </c>
      <c r="W279" s="146" t="e">
        <f>INDEX(#REF!, MATCH($A279,#REF!, 0), MATCH(W$4,#REF!, 0))</f>
        <v>#REF!</v>
      </c>
      <c r="X279" s="146" t="e">
        <f>INDEX(#REF!, MATCH($A279,#REF!, 0), MATCH(X$4,#REF!, 0))</f>
        <v>#REF!</v>
      </c>
      <c r="Y279" s="146" t="e">
        <f>INDEX(#REF!, MATCH($A279,#REF!, 0), MATCH(Y$4,#REF!, 0))</f>
        <v>#REF!</v>
      </c>
      <c r="Z279" s="146" t="e">
        <f>INDEX(#REF!, MATCH($A279,#REF!, 0), MATCH(Z$4,#REF!, 0))</f>
        <v>#REF!</v>
      </c>
      <c r="AA279" s="146" t="e">
        <f>INDEX(#REF!, MATCH($A279,#REF!, 0), MATCH(AA$4,#REF!, 0))</f>
        <v>#REF!</v>
      </c>
      <c r="AB279" s="146" t="e">
        <f>INDEX(#REF!, MATCH($A279,#REF!, 0), MATCH(AB$4,#REF!, 0))</f>
        <v>#REF!</v>
      </c>
      <c r="AC279" s="320" t="e">
        <f>INDEX(#REF!, MATCH($A279,#REF!, 0), MATCH(AC$4,#REF!, 0))</f>
        <v>#REF!</v>
      </c>
      <c r="AD279" s="146" t="e">
        <f>INDEX(#REF!, MATCH($A279,#REF!, 0), MATCH(AD$4,#REF!, 0))</f>
        <v>#REF!</v>
      </c>
      <c r="AE279" s="146" t="e">
        <f>INDEX(#REF!, MATCH($A279,#REF!, 0), MATCH(AE$4,#REF!, 0))</f>
        <v>#REF!</v>
      </c>
      <c r="AF279" s="146" t="e">
        <f>INDEX(#REF!, MATCH($A279,#REF!, 0), MATCH(AF$4,#REF!, 0))</f>
        <v>#REF!</v>
      </c>
      <c r="AG279" s="146" t="e">
        <f>INDEX(#REF!, MATCH($A279,#REF!, 0), MATCH(AG$4,#REF!, 0))</f>
        <v>#REF!</v>
      </c>
      <c r="AH279" s="146" t="e">
        <f>INDEX(#REF!, MATCH($A279,#REF!, 0), MATCH(AH$4,#REF!, 0))</f>
        <v>#REF!</v>
      </c>
      <c r="AI279" s="146" t="e">
        <f>INDEX(#REF!, MATCH($A279,#REF!, 0), MATCH(AI$4,#REF!, 0))</f>
        <v>#REF!</v>
      </c>
      <c r="AJ279" s="320" t="e">
        <f>INDEX(#REF!, MATCH($A279,#REF!, 0), MATCH(AJ$4,#REF!, 0))</f>
        <v>#REF!</v>
      </c>
      <c r="AK279" s="146" t="e">
        <f>INDEX(#REF!, MATCH($A279,#REF!, 0), MATCH(AK$4,#REF!, 0))</f>
        <v>#REF!</v>
      </c>
      <c r="AL279" s="146" t="e">
        <f>INDEX(#REF!, MATCH($A279,#REF!, 0), MATCH(AL$4,#REF!, 0))</f>
        <v>#REF!</v>
      </c>
      <c r="AM279" s="146" t="e">
        <f>INDEX(#REF!, MATCH($A279,#REF!, 0), MATCH(AM$4,#REF!, 0))</f>
        <v>#REF!</v>
      </c>
      <c r="AN279" s="146" t="e">
        <f>INDEX(#REF!, MATCH($A279,#REF!, 0), MATCH(AN$4,#REF!, 0))</f>
        <v>#REF!</v>
      </c>
      <c r="AO279" s="146" t="e">
        <f>INDEX(#REF!, MATCH($A279,#REF!, 0), MATCH(AO$4,#REF!, 0))</f>
        <v>#REF!</v>
      </c>
      <c r="AP279" s="146" t="e">
        <f>INDEX(#REF!, MATCH($A279,#REF!, 0), MATCH(AP$4,#REF!, 0))</f>
        <v>#REF!</v>
      </c>
      <c r="AQ279" s="320" t="e">
        <f>INDEX(#REF!, MATCH($A279,#REF!, 0), MATCH(AQ$4,#REF!, 0))</f>
        <v>#REF!</v>
      </c>
      <c r="AR279" s="146" t="e">
        <f>INDEX(#REF!, MATCH($A279,#REF!, 0), MATCH(AR$4,#REF!, 0))</f>
        <v>#REF!</v>
      </c>
      <c r="AS279" s="146" t="e">
        <f>INDEX(#REF!, MATCH($A279,#REF!, 0), MATCH(AS$4,#REF!, 0))</f>
        <v>#REF!</v>
      </c>
      <c r="AT279" s="146" t="e">
        <f>INDEX(#REF!, MATCH($A279,#REF!, 0), MATCH(AT$4,#REF!, 0))</f>
        <v>#REF!</v>
      </c>
      <c r="AU279" s="146" t="e">
        <f>INDEX(#REF!, MATCH($A279,#REF!, 0), MATCH(AU$4,#REF!, 0))</f>
        <v>#REF!</v>
      </c>
      <c r="AV279" s="146" t="e">
        <f>INDEX(#REF!, MATCH($A279,#REF!, 0), MATCH(AV$4,#REF!, 0))</f>
        <v>#REF!</v>
      </c>
      <c r="AW279" s="146" t="e">
        <f>INDEX(#REF!, MATCH($A279,#REF!, 0), MATCH(AW$4,#REF!, 0))</f>
        <v>#REF!</v>
      </c>
      <c r="AX279" s="320" t="e">
        <f>INDEX(#REF!, MATCH($A279,#REF!, 0), MATCH(AX$4,#REF!, 0))</f>
        <v>#REF!</v>
      </c>
      <c r="AY279" s="146" t="e">
        <f>INDEX(#REF!, MATCH($A279,#REF!, 0), MATCH(AY$4,#REF!, 0))</f>
        <v>#REF!</v>
      </c>
      <c r="AZ279" s="146" t="e">
        <f>INDEX(#REF!, MATCH($A279,#REF!, 0), MATCH(AZ$4,#REF!, 0))</f>
        <v>#REF!</v>
      </c>
      <c r="BA279" s="146" t="e">
        <f>INDEX(#REF!, MATCH($A279,#REF!, 0), MATCH(BA$4,#REF!, 0))</f>
        <v>#REF!</v>
      </c>
      <c r="BB279" s="146" t="e">
        <f>INDEX(#REF!, MATCH($A279,#REF!, 0), MATCH(BB$4,#REF!, 0))</f>
        <v>#REF!</v>
      </c>
      <c r="BC279" s="146" t="e">
        <f>INDEX(#REF!, MATCH($A279,#REF!, 0), MATCH(BC$4,#REF!, 0))</f>
        <v>#REF!</v>
      </c>
      <c r="BD279" s="364" t="e">
        <f>INDEX(#REF!, MATCH($A279,#REF!, 0), MATCH(BD$4,#REF!, 0))</f>
        <v>#REF!</v>
      </c>
      <c r="BE279" s="320" t="e">
        <f>INDEX(#REF!, MATCH($A279,#REF!, 0), MATCH(BE$4,#REF!, 0))</f>
        <v>#REF!</v>
      </c>
      <c r="BF279" s="146" t="e">
        <f>INDEX(#REF!, MATCH($A279,#REF!, 0), MATCH(BF$4,#REF!, 0))</f>
        <v>#REF!</v>
      </c>
      <c r="BG279" s="146" t="e">
        <f>INDEX(#REF!, MATCH($A279,#REF!, 0), MATCH(BG$4,#REF!, 0))</f>
        <v>#REF!</v>
      </c>
      <c r="BH279" s="146" t="e">
        <f>INDEX(#REF!, MATCH($A279,#REF!, 0), MATCH(BH$4,#REF!, 0))</f>
        <v>#REF!</v>
      </c>
      <c r="BI279" s="146" t="e">
        <f>INDEX(#REF!, MATCH($A279,#REF!, 0), MATCH(BI$4,#REF!, 0))</f>
        <v>#REF!</v>
      </c>
      <c r="BJ279" s="146" t="e">
        <f>INDEX(#REF!, MATCH($A279,#REF!, 0), MATCH(BJ$4,#REF!, 0))</f>
        <v>#REF!</v>
      </c>
      <c r="BK279" s="364" t="e">
        <f>INDEX(#REF!, MATCH($A279,#REF!, 0), MATCH(BK$4,#REF!, 0))</f>
        <v>#REF!</v>
      </c>
      <c r="BL279" s="165" t="e">
        <f>BK279</f>
        <v>#REF!</v>
      </c>
      <c r="BM279" s="165" t="e">
        <f>BL279</f>
        <v>#REF!</v>
      </c>
      <c r="BN279" s="165" t="e">
        <f>BM279</f>
        <v>#REF!</v>
      </c>
      <c r="BO279" s="165" t="e">
        <f>BN279</f>
        <v>#REF!</v>
      </c>
      <c r="BP279" s="165" t="e">
        <f>BO279</f>
        <v>#REF!</v>
      </c>
      <c r="BQ279" s="165" t="e">
        <f t="shared" si="811"/>
        <v>#REF!</v>
      </c>
      <c r="BR279" s="165" t="e">
        <f>BQ279</f>
        <v>#REF!</v>
      </c>
      <c r="BT279" s="121"/>
    </row>
    <row r="280" spans="1:91" s="88" customFormat="1">
      <c r="A280" s="105" t="s">
        <v>204</v>
      </c>
      <c r="B280" s="117" t="s">
        <v>132</v>
      </c>
      <c r="C280" s="117"/>
      <c r="D280" s="146" t="e">
        <f>INDEX(#REF!, MATCH($A280,#REF!, 0), MATCH(D$4,#REF!, 0))</f>
        <v>#REF!</v>
      </c>
      <c r="E280" s="146" t="e">
        <f>INDEX(#REF!, MATCH($A280,#REF!, 0), MATCH(E$4,#REF!, 0))</f>
        <v>#REF!</v>
      </c>
      <c r="F280" s="146" t="e">
        <f>INDEX(#REF!, MATCH($A280,#REF!, 0), MATCH(F$4,#REF!, 0))</f>
        <v>#REF!</v>
      </c>
      <c r="G280" s="146" t="e">
        <f>INDEX(#REF!, MATCH($A280,#REF!, 0), MATCH(G$4,#REF!, 0))</f>
        <v>#REF!</v>
      </c>
      <c r="H280" s="146" t="e">
        <f>INDEX(#REF!, MATCH($A280,#REF!, 0), MATCH(H$4,#REF!, 0))</f>
        <v>#REF!</v>
      </c>
      <c r="I280" s="146" t="e">
        <f>INDEX(#REF!, MATCH($A280,#REF!, 0), MATCH(I$4,#REF!, 0))</f>
        <v>#REF!</v>
      </c>
      <c r="J280" s="146" t="e">
        <f>INDEX(#REF!, MATCH($A280,#REF!, 0), MATCH(J$4,#REF!, 0))</f>
        <v>#REF!</v>
      </c>
      <c r="K280" s="146" t="e">
        <f>INDEX(#REF!, MATCH($A280,#REF!, 0), MATCH(K$4,#REF!, 0))</f>
        <v>#REF!</v>
      </c>
      <c r="L280" s="146" t="e">
        <f>INDEX(#REF!, MATCH($A280,#REF!, 0), MATCH(L$4,#REF!, 0))</f>
        <v>#REF!</v>
      </c>
      <c r="M280" s="146" t="e">
        <f>INDEX(#REF!, MATCH($A280,#REF!, 0), MATCH(M$4,#REF!, 0))</f>
        <v>#REF!</v>
      </c>
      <c r="N280" s="146" t="e">
        <f>INDEX(#REF!, MATCH($A280,#REF!, 0), MATCH(N$4,#REF!, 0))</f>
        <v>#REF!</v>
      </c>
      <c r="O280" s="146" t="e">
        <f>INDEX(#REF!, MATCH($A280,#REF!, 0), MATCH(O$4,#REF!, 0))</f>
        <v>#REF!</v>
      </c>
      <c r="P280" s="146" t="e">
        <f>INDEX(#REF!, MATCH($A280,#REF!, 0), MATCH(P$4,#REF!, 0))</f>
        <v>#REF!</v>
      </c>
      <c r="Q280" s="146" t="e">
        <f>INDEX(#REF!, MATCH($A280,#REF!, 0), MATCH(Q$4,#REF!, 0))</f>
        <v>#REF!</v>
      </c>
      <c r="R280" s="146" t="e">
        <f>INDEX(#REF!, MATCH($A280,#REF!, 0), MATCH(R$4,#REF!, 0))</f>
        <v>#REF!</v>
      </c>
      <c r="S280" s="146" t="e">
        <f>INDEX(#REF!, MATCH($A280,#REF!, 0), MATCH(S$4,#REF!, 0))</f>
        <v>#REF!</v>
      </c>
      <c r="T280" s="146" t="e">
        <f>INDEX(#REF!, MATCH($A280,#REF!, 0), MATCH(T$4,#REF!, 0))</f>
        <v>#REF!</v>
      </c>
      <c r="U280" s="146" t="e">
        <f>INDEX(#REF!, MATCH($A280,#REF!, 0), MATCH(U$4,#REF!, 0))</f>
        <v>#REF!</v>
      </c>
      <c r="V280" s="320" t="e">
        <f>INDEX(#REF!, MATCH($A280,#REF!, 0), MATCH(V$4,#REF!, 0))</f>
        <v>#REF!</v>
      </c>
      <c r="W280" s="146" t="e">
        <f>INDEX(#REF!, MATCH($A280,#REF!, 0), MATCH(W$4,#REF!, 0))</f>
        <v>#REF!</v>
      </c>
      <c r="X280" s="146" t="e">
        <f>INDEX(#REF!, MATCH($A280,#REF!, 0), MATCH(X$4,#REF!, 0))</f>
        <v>#REF!</v>
      </c>
      <c r="Y280" s="146" t="e">
        <f>INDEX(#REF!, MATCH($A280,#REF!, 0), MATCH(Y$4,#REF!, 0))</f>
        <v>#REF!</v>
      </c>
      <c r="Z280" s="146" t="e">
        <f>INDEX(#REF!, MATCH($A280,#REF!, 0), MATCH(Z$4,#REF!, 0))</f>
        <v>#REF!</v>
      </c>
      <c r="AA280" s="146" t="e">
        <f>INDEX(#REF!, MATCH($A280,#REF!, 0), MATCH(AA$4,#REF!, 0))</f>
        <v>#REF!</v>
      </c>
      <c r="AB280" s="146" t="e">
        <f>INDEX(#REF!, MATCH($A280,#REF!, 0), MATCH(AB$4,#REF!, 0))</f>
        <v>#REF!</v>
      </c>
      <c r="AC280" s="320" t="e">
        <f>INDEX(#REF!, MATCH($A280,#REF!, 0), MATCH(AC$4,#REF!, 0))</f>
        <v>#REF!</v>
      </c>
      <c r="AD280" s="146" t="e">
        <f>INDEX(#REF!, MATCH($A280,#REF!, 0), MATCH(AD$4,#REF!, 0))</f>
        <v>#REF!</v>
      </c>
      <c r="AE280" s="146" t="e">
        <f>INDEX(#REF!, MATCH($A280,#REF!, 0), MATCH(AE$4,#REF!, 0))</f>
        <v>#REF!</v>
      </c>
      <c r="AF280" s="146" t="e">
        <f>INDEX(#REF!, MATCH($A280,#REF!, 0), MATCH(AF$4,#REF!, 0))</f>
        <v>#REF!</v>
      </c>
      <c r="AG280" s="146" t="e">
        <f>INDEX(#REF!, MATCH($A280,#REF!, 0), MATCH(AG$4,#REF!, 0))</f>
        <v>#REF!</v>
      </c>
      <c r="AH280" s="146" t="e">
        <f>INDEX(#REF!, MATCH($A280,#REF!, 0), MATCH(AH$4,#REF!, 0))</f>
        <v>#REF!</v>
      </c>
      <c r="AI280" s="146" t="e">
        <f>INDEX(#REF!, MATCH($A280,#REF!, 0), MATCH(AI$4,#REF!, 0))</f>
        <v>#REF!</v>
      </c>
      <c r="AJ280" s="320" t="e">
        <f>INDEX(#REF!, MATCH($A280,#REF!, 0), MATCH(AJ$4,#REF!, 0))</f>
        <v>#REF!</v>
      </c>
      <c r="AK280" s="146" t="e">
        <f>INDEX(#REF!, MATCH($A280,#REF!, 0), MATCH(AK$4,#REF!, 0))</f>
        <v>#REF!</v>
      </c>
      <c r="AL280" s="146" t="e">
        <f>INDEX(#REF!, MATCH($A280,#REF!, 0), MATCH(AL$4,#REF!, 0))</f>
        <v>#REF!</v>
      </c>
      <c r="AM280" s="146" t="e">
        <f>INDEX(#REF!, MATCH($A280,#REF!, 0), MATCH(AM$4,#REF!, 0))</f>
        <v>#REF!</v>
      </c>
      <c r="AN280" s="146" t="e">
        <f>INDEX(#REF!, MATCH($A280,#REF!, 0), MATCH(AN$4,#REF!, 0))</f>
        <v>#REF!</v>
      </c>
      <c r="AO280" s="146" t="e">
        <f>INDEX(#REF!, MATCH($A280,#REF!, 0), MATCH(AO$4,#REF!, 0))</f>
        <v>#REF!</v>
      </c>
      <c r="AP280" s="146" t="e">
        <f>INDEX(#REF!, MATCH($A280,#REF!, 0), MATCH(AP$4,#REF!, 0))</f>
        <v>#REF!</v>
      </c>
      <c r="AQ280" s="320" t="e">
        <f>INDEX(#REF!, MATCH($A280,#REF!, 0), MATCH(AQ$4,#REF!, 0))</f>
        <v>#REF!</v>
      </c>
      <c r="AR280" s="146" t="e">
        <f>INDEX(#REF!, MATCH($A280,#REF!, 0), MATCH(AR$4,#REF!, 0))</f>
        <v>#REF!</v>
      </c>
      <c r="AS280" s="146" t="e">
        <f>INDEX(#REF!, MATCH($A280,#REF!, 0), MATCH(AS$4,#REF!, 0))</f>
        <v>#REF!</v>
      </c>
      <c r="AT280" s="146" t="e">
        <f>INDEX(#REF!, MATCH($A280,#REF!, 0), MATCH(AT$4,#REF!, 0))</f>
        <v>#REF!</v>
      </c>
      <c r="AU280" s="146" t="e">
        <f>INDEX(#REF!, MATCH($A280,#REF!, 0), MATCH(AU$4,#REF!, 0))</f>
        <v>#REF!</v>
      </c>
      <c r="AV280" s="146" t="e">
        <f>INDEX(#REF!, MATCH($A280,#REF!, 0), MATCH(AV$4,#REF!, 0))</f>
        <v>#REF!</v>
      </c>
      <c r="AW280" s="146" t="e">
        <f>INDEX(#REF!, MATCH($A280,#REF!, 0), MATCH(AW$4,#REF!, 0))</f>
        <v>#REF!</v>
      </c>
      <c r="AX280" s="320" t="e">
        <f>INDEX(#REF!, MATCH($A280,#REF!, 0), MATCH(AX$4,#REF!, 0))</f>
        <v>#REF!</v>
      </c>
      <c r="AY280" s="146" t="e">
        <f>INDEX(#REF!, MATCH($A280,#REF!, 0), MATCH(AY$4,#REF!, 0))</f>
        <v>#REF!</v>
      </c>
      <c r="AZ280" s="146" t="e">
        <f>INDEX(#REF!, MATCH($A280,#REF!, 0), MATCH(AZ$4,#REF!, 0))</f>
        <v>#REF!</v>
      </c>
      <c r="BA280" s="146" t="e">
        <f>INDEX(#REF!, MATCH($A280,#REF!, 0), MATCH(BA$4,#REF!, 0))</f>
        <v>#REF!</v>
      </c>
      <c r="BB280" s="146" t="e">
        <f>INDEX(#REF!, MATCH($A280,#REF!, 0), MATCH(BB$4,#REF!, 0))</f>
        <v>#REF!</v>
      </c>
      <c r="BC280" s="146" t="e">
        <f>INDEX(#REF!, MATCH($A280,#REF!, 0), MATCH(BC$4,#REF!, 0))</f>
        <v>#REF!</v>
      </c>
      <c r="BD280" s="364" t="e">
        <f>INDEX(#REF!, MATCH($A280,#REF!, 0), MATCH(BD$4,#REF!, 0))</f>
        <v>#REF!</v>
      </c>
      <c r="BE280" s="320" t="e">
        <f>INDEX(#REF!, MATCH($A280,#REF!, 0), MATCH(BE$4,#REF!, 0))</f>
        <v>#REF!</v>
      </c>
      <c r="BF280" s="146" t="e">
        <f>INDEX(#REF!, MATCH($A280,#REF!, 0), MATCH(BF$4,#REF!, 0))</f>
        <v>#REF!</v>
      </c>
      <c r="BG280" s="146" t="e">
        <f>INDEX(#REF!, MATCH($A280,#REF!, 0), MATCH(BG$4,#REF!, 0))</f>
        <v>#REF!</v>
      </c>
      <c r="BH280" s="146" t="e">
        <f>INDEX(#REF!, MATCH($A280,#REF!, 0), MATCH(BH$4,#REF!, 0))</f>
        <v>#REF!</v>
      </c>
      <c r="BI280" s="146" t="e">
        <f>INDEX(#REF!, MATCH($A280,#REF!, 0), MATCH(BI$4,#REF!, 0))</f>
        <v>#REF!</v>
      </c>
      <c r="BJ280" s="146" t="e">
        <f>INDEX(#REF!, MATCH($A280,#REF!, 0), MATCH(BJ$4,#REF!, 0))</f>
        <v>#REF!</v>
      </c>
      <c r="BK280" s="364" t="e">
        <f>INDEX(#REF!, MATCH($A280,#REF!, 0), MATCH(BK$4,#REF!, 0))</f>
        <v>#REF!</v>
      </c>
      <c r="BL280" s="112">
        <v>0</v>
      </c>
      <c r="BM280" s="112">
        <f>BL280</f>
        <v>0</v>
      </c>
      <c r="BN280" s="112">
        <f t="shared" si="810"/>
        <v>0</v>
      </c>
      <c r="BO280" s="112">
        <f t="shared" si="810"/>
        <v>0</v>
      </c>
      <c r="BP280" s="112">
        <f>BO280</f>
        <v>0</v>
      </c>
      <c r="BQ280" s="112">
        <f t="shared" si="811"/>
        <v>0</v>
      </c>
      <c r="BR280" s="112">
        <f>BQ280</f>
        <v>0</v>
      </c>
      <c r="BS280" s="123"/>
      <c r="BT280" s="127"/>
      <c r="BU280" s="123"/>
      <c r="BV280" s="123"/>
      <c r="BW280" s="123"/>
      <c r="BX280" s="123"/>
      <c r="BY280" s="123"/>
      <c r="BZ280" s="123"/>
      <c r="CA280" s="123"/>
      <c r="CB280" s="123"/>
      <c r="CC280" s="123"/>
      <c r="CD280" s="123"/>
      <c r="CE280" s="123"/>
      <c r="CF280" s="123"/>
      <c r="CG280" s="123"/>
      <c r="CH280" s="123"/>
      <c r="CI280" s="123"/>
      <c r="CJ280" s="123"/>
      <c r="CK280" s="123"/>
      <c r="CL280" s="123"/>
      <c r="CM280" s="123"/>
    </row>
    <row r="281" spans="1:91" s="88" customFormat="1">
      <c r="A281" s="105" t="s">
        <v>205</v>
      </c>
      <c r="B281" s="117" t="s">
        <v>133</v>
      </c>
      <c r="C281" s="117"/>
      <c r="D281" s="146" t="e">
        <f>INDEX(#REF!, MATCH($A281,#REF!, 0), MATCH(D$4,#REF!, 0))</f>
        <v>#REF!</v>
      </c>
      <c r="E281" s="146" t="e">
        <f>INDEX(#REF!, MATCH($A281,#REF!, 0), MATCH(E$4,#REF!, 0))</f>
        <v>#REF!</v>
      </c>
      <c r="F281" s="146" t="e">
        <f>INDEX(#REF!, MATCH($A281,#REF!, 0), MATCH(F$4,#REF!, 0))</f>
        <v>#REF!</v>
      </c>
      <c r="G281" s="146" t="e">
        <f>INDEX(#REF!, MATCH($A281,#REF!, 0), MATCH(G$4,#REF!, 0))</f>
        <v>#REF!</v>
      </c>
      <c r="H281" s="146" t="e">
        <f>INDEX(#REF!, MATCH($A281,#REF!, 0), MATCH(H$4,#REF!, 0))</f>
        <v>#REF!</v>
      </c>
      <c r="I281" s="146" t="e">
        <f>INDEX(#REF!, MATCH($A281,#REF!, 0), MATCH(I$4,#REF!, 0))</f>
        <v>#REF!</v>
      </c>
      <c r="J281" s="146" t="e">
        <f>INDEX(#REF!, MATCH($A281,#REF!, 0), MATCH(J$4,#REF!, 0))</f>
        <v>#REF!</v>
      </c>
      <c r="K281" s="146" t="e">
        <f>INDEX(#REF!, MATCH($A281,#REF!, 0), MATCH(K$4,#REF!, 0))</f>
        <v>#REF!</v>
      </c>
      <c r="L281" s="146" t="e">
        <f>INDEX(#REF!, MATCH($A281,#REF!, 0), MATCH(L$4,#REF!, 0))</f>
        <v>#REF!</v>
      </c>
      <c r="M281" s="146" t="e">
        <f>INDEX(#REF!, MATCH($A281,#REF!, 0), MATCH(M$4,#REF!, 0))</f>
        <v>#REF!</v>
      </c>
      <c r="N281" s="146" t="e">
        <f>INDEX(#REF!, MATCH($A281,#REF!, 0), MATCH(N$4,#REF!, 0))</f>
        <v>#REF!</v>
      </c>
      <c r="O281" s="146" t="e">
        <f>INDEX(#REF!, MATCH($A281,#REF!, 0), MATCH(O$4,#REF!, 0))</f>
        <v>#REF!</v>
      </c>
      <c r="P281" s="146" t="e">
        <f>INDEX(#REF!, MATCH($A281,#REF!, 0), MATCH(P$4,#REF!, 0))</f>
        <v>#REF!</v>
      </c>
      <c r="Q281" s="146" t="e">
        <f>INDEX(#REF!, MATCH($A281,#REF!, 0), MATCH(Q$4,#REF!, 0))</f>
        <v>#REF!</v>
      </c>
      <c r="R281" s="146" t="e">
        <f>INDEX(#REF!, MATCH($A281,#REF!, 0), MATCH(R$4,#REF!, 0))</f>
        <v>#REF!</v>
      </c>
      <c r="S281" s="146" t="e">
        <f>INDEX(#REF!, MATCH($A281,#REF!, 0), MATCH(S$4,#REF!, 0))</f>
        <v>#REF!</v>
      </c>
      <c r="T281" s="146" t="e">
        <f>INDEX(#REF!, MATCH($A281,#REF!, 0), MATCH(T$4,#REF!, 0))</f>
        <v>#REF!</v>
      </c>
      <c r="U281" s="146" t="e">
        <f>INDEX(#REF!, MATCH($A281,#REF!, 0), MATCH(U$4,#REF!, 0))</f>
        <v>#REF!</v>
      </c>
      <c r="V281" s="320" t="e">
        <f>INDEX(#REF!, MATCH($A281,#REF!, 0), MATCH(V$4,#REF!, 0))</f>
        <v>#REF!</v>
      </c>
      <c r="W281" s="146" t="e">
        <f>INDEX(#REF!, MATCH($A281,#REF!, 0), MATCH(W$4,#REF!, 0))</f>
        <v>#REF!</v>
      </c>
      <c r="X281" s="146" t="e">
        <f>INDEX(#REF!, MATCH($A281,#REF!, 0), MATCH(X$4,#REF!, 0))</f>
        <v>#REF!</v>
      </c>
      <c r="Y281" s="146" t="e">
        <f>INDEX(#REF!, MATCH($A281,#REF!, 0), MATCH(Y$4,#REF!, 0))</f>
        <v>#REF!</v>
      </c>
      <c r="Z281" s="146" t="e">
        <f>INDEX(#REF!, MATCH($A281,#REF!, 0), MATCH(Z$4,#REF!, 0))</f>
        <v>#REF!</v>
      </c>
      <c r="AA281" s="146" t="e">
        <f>INDEX(#REF!, MATCH($A281,#REF!, 0), MATCH(AA$4,#REF!, 0))</f>
        <v>#REF!</v>
      </c>
      <c r="AB281" s="146" t="e">
        <f>INDEX(#REF!, MATCH($A281,#REF!, 0), MATCH(AB$4,#REF!, 0))</f>
        <v>#REF!</v>
      </c>
      <c r="AC281" s="320" t="e">
        <f>INDEX(#REF!, MATCH($A281,#REF!, 0), MATCH(AC$4,#REF!, 0))</f>
        <v>#REF!</v>
      </c>
      <c r="AD281" s="146" t="e">
        <f>INDEX(#REF!, MATCH($A281,#REF!, 0), MATCH(AD$4,#REF!, 0))</f>
        <v>#REF!</v>
      </c>
      <c r="AE281" s="146" t="e">
        <f>INDEX(#REF!, MATCH($A281,#REF!, 0), MATCH(AE$4,#REF!, 0))</f>
        <v>#REF!</v>
      </c>
      <c r="AF281" s="146" t="e">
        <f>INDEX(#REF!, MATCH($A281,#REF!, 0), MATCH(AF$4,#REF!, 0))</f>
        <v>#REF!</v>
      </c>
      <c r="AG281" s="146" t="e">
        <f>INDEX(#REF!, MATCH($A281,#REF!, 0), MATCH(AG$4,#REF!, 0))</f>
        <v>#REF!</v>
      </c>
      <c r="AH281" s="146" t="e">
        <f>INDEX(#REF!, MATCH($A281,#REF!, 0), MATCH(AH$4,#REF!, 0))</f>
        <v>#REF!</v>
      </c>
      <c r="AI281" s="146" t="e">
        <f>INDEX(#REF!, MATCH($A281,#REF!, 0), MATCH(AI$4,#REF!, 0))</f>
        <v>#REF!</v>
      </c>
      <c r="AJ281" s="320" t="e">
        <f>INDEX(#REF!, MATCH($A281,#REF!, 0), MATCH(AJ$4,#REF!, 0))</f>
        <v>#REF!</v>
      </c>
      <c r="AK281" s="146" t="e">
        <f>INDEX(#REF!, MATCH($A281,#REF!, 0), MATCH(AK$4,#REF!, 0))</f>
        <v>#REF!</v>
      </c>
      <c r="AL281" s="146" t="e">
        <f>INDEX(#REF!, MATCH($A281,#REF!, 0), MATCH(AL$4,#REF!, 0))</f>
        <v>#REF!</v>
      </c>
      <c r="AM281" s="146" t="e">
        <f>INDEX(#REF!, MATCH($A281,#REF!, 0), MATCH(AM$4,#REF!, 0))</f>
        <v>#REF!</v>
      </c>
      <c r="AN281" s="146" t="e">
        <f>INDEX(#REF!, MATCH($A281,#REF!, 0), MATCH(AN$4,#REF!, 0))</f>
        <v>#REF!</v>
      </c>
      <c r="AO281" s="146" t="e">
        <f>INDEX(#REF!, MATCH($A281,#REF!, 0), MATCH(AO$4,#REF!, 0))</f>
        <v>#REF!</v>
      </c>
      <c r="AP281" s="146" t="e">
        <f>INDEX(#REF!, MATCH($A281,#REF!, 0), MATCH(AP$4,#REF!, 0))</f>
        <v>#REF!</v>
      </c>
      <c r="AQ281" s="320" t="e">
        <f>INDEX(#REF!, MATCH($A281,#REF!, 0), MATCH(AQ$4,#REF!, 0))</f>
        <v>#REF!</v>
      </c>
      <c r="AR281" s="146" t="e">
        <f>INDEX(#REF!, MATCH($A281,#REF!, 0), MATCH(AR$4,#REF!, 0))</f>
        <v>#REF!</v>
      </c>
      <c r="AS281" s="146" t="e">
        <f>INDEX(#REF!, MATCH($A281,#REF!, 0), MATCH(AS$4,#REF!, 0))</f>
        <v>#REF!</v>
      </c>
      <c r="AT281" s="146" t="e">
        <f>INDEX(#REF!, MATCH($A281,#REF!, 0), MATCH(AT$4,#REF!, 0))</f>
        <v>#REF!</v>
      </c>
      <c r="AU281" s="146" t="e">
        <f>INDEX(#REF!, MATCH($A281,#REF!, 0), MATCH(AU$4,#REF!, 0))</f>
        <v>#REF!</v>
      </c>
      <c r="AV281" s="146" t="e">
        <f>INDEX(#REF!, MATCH($A281,#REF!, 0), MATCH(AV$4,#REF!, 0))</f>
        <v>#REF!</v>
      </c>
      <c r="AW281" s="146" t="e">
        <f>INDEX(#REF!, MATCH($A281,#REF!, 0), MATCH(AW$4,#REF!, 0))</f>
        <v>#REF!</v>
      </c>
      <c r="AX281" s="320" t="e">
        <f>INDEX(#REF!, MATCH($A281,#REF!, 0), MATCH(AX$4,#REF!, 0))</f>
        <v>#REF!</v>
      </c>
      <c r="AY281" s="146" t="e">
        <f>INDEX(#REF!, MATCH($A281,#REF!, 0), MATCH(AY$4,#REF!, 0))</f>
        <v>#REF!</v>
      </c>
      <c r="AZ281" s="146" t="e">
        <f>INDEX(#REF!, MATCH($A281,#REF!, 0), MATCH(AZ$4,#REF!, 0))</f>
        <v>#REF!</v>
      </c>
      <c r="BA281" s="146" t="e">
        <f>INDEX(#REF!, MATCH($A281,#REF!, 0), MATCH(BA$4,#REF!, 0))</f>
        <v>#REF!</v>
      </c>
      <c r="BB281" s="146" t="e">
        <f>INDEX(#REF!, MATCH($A281,#REF!, 0), MATCH(BB$4,#REF!, 0))</f>
        <v>#REF!</v>
      </c>
      <c r="BC281" s="146" t="e">
        <f>INDEX(#REF!, MATCH($A281,#REF!, 0), MATCH(BC$4,#REF!, 0))</f>
        <v>#REF!</v>
      </c>
      <c r="BD281" s="364" t="e">
        <f>INDEX(#REF!, MATCH($A281,#REF!, 0), MATCH(BD$4,#REF!, 0))</f>
        <v>#REF!</v>
      </c>
      <c r="BE281" s="320" t="e">
        <f>INDEX(#REF!, MATCH($A281,#REF!, 0), MATCH(BE$4,#REF!, 0))</f>
        <v>#REF!</v>
      </c>
      <c r="BF281" s="146" t="e">
        <f>INDEX(#REF!, MATCH($A281,#REF!, 0), MATCH(BF$4,#REF!, 0))</f>
        <v>#REF!</v>
      </c>
      <c r="BG281" s="146" t="e">
        <f>INDEX(#REF!, MATCH($A281,#REF!, 0), MATCH(BG$4,#REF!, 0))</f>
        <v>#REF!</v>
      </c>
      <c r="BH281" s="146" t="e">
        <f>INDEX(#REF!, MATCH($A281,#REF!, 0), MATCH(BH$4,#REF!, 0))</f>
        <v>#REF!</v>
      </c>
      <c r="BI281" s="146" t="e">
        <f>INDEX(#REF!, MATCH($A281,#REF!, 0), MATCH(BI$4,#REF!, 0))</f>
        <v>#REF!</v>
      </c>
      <c r="BJ281" s="146" t="e">
        <f>INDEX(#REF!, MATCH($A281,#REF!, 0), MATCH(BJ$4,#REF!, 0))</f>
        <v>#REF!</v>
      </c>
      <c r="BK281" s="364" t="e">
        <f>INDEX(#REF!, MATCH($A281,#REF!, 0), MATCH(BK$4,#REF!, 0))</f>
        <v>#REF!</v>
      </c>
      <c r="BL281" s="112">
        <f t="shared" ref="BL281:BR281" si="812">BL265</f>
        <v>0</v>
      </c>
      <c r="BM281" s="112">
        <f t="shared" si="812"/>
        <v>0</v>
      </c>
      <c r="BN281" s="112">
        <f t="shared" si="812"/>
        <v>0</v>
      </c>
      <c r="BO281" s="112">
        <f t="shared" si="812"/>
        <v>0</v>
      </c>
      <c r="BP281" s="112">
        <f t="shared" si="812"/>
        <v>0</v>
      </c>
      <c r="BQ281" s="112">
        <f t="shared" si="812"/>
        <v>0</v>
      </c>
      <c r="BR281" s="112">
        <f t="shared" si="812"/>
        <v>0</v>
      </c>
      <c r="BS281" s="123"/>
      <c r="BT281" s="127"/>
      <c r="BU281" s="123"/>
      <c r="BV281" s="123"/>
      <c r="BW281" s="123"/>
      <c r="BX281" s="123"/>
      <c r="BY281" s="123"/>
      <c r="BZ281" s="123"/>
      <c r="CA281" s="123"/>
      <c r="CB281" s="123"/>
      <c r="CC281" s="123"/>
      <c r="CD281" s="123"/>
      <c r="CE281" s="123"/>
      <c r="CF281" s="123"/>
      <c r="CG281" s="123"/>
      <c r="CH281" s="123"/>
      <c r="CI281" s="123"/>
      <c r="CJ281" s="123"/>
      <c r="CK281" s="123"/>
      <c r="CL281" s="123"/>
      <c r="CM281" s="123"/>
    </row>
    <row r="282" spans="1:91" s="88" customFormat="1">
      <c r="A282" s="105" t="s">
        <v>206</v>
      </c>
      <c r="B282" s="117" t="s">
        <v>134</v>
      </c>
      <c r="C282" s="117"/>
      <c r="D282" s="146" t="e">
        <f>INDEX(#REF!, MATCH($A282,#REF!, 0), MATCH(D$4,#REF!, 0))</f>
        <v>#REF!</v>
      </c>
      <c r="E282" s="146" t="e">
        <f>INDEX(#REF!, MATCH($A282,#REF!, 0), MATCH(E$4,#REF!, 0))</f>
        <v>#REF!</v>
      </c>
      <c r="F282" s="146" t="e">
        <f>INDEX(#REF!, MATCH($A282,#REF!, 0), MATCH(F$4,#REF!, 0))</f>
        <v>#REF!</v>
      </c>
      <c r="G282" s="146" t="e">
        <f>INDEX(#REF!, MATCH($A282,#REF!, 0), MATCH(G$4,#REF!, 0))</f>
        <v>#REF!</v>
      </c>
      <c r="H282" s="146" t="e">
        <f>INDEX(#REF!, MATCH($A282,#REF!, 0), MATCH(H$4,#REF!, 0))</f>
        <v>#REF!</v>
      </c>
      <c r="I282" s="146" t="e">
        <f>INDEX(#REF!, MATCH($A282,#REF!, 0), MATCH(I$4,#REF!, 0))</f>
        <v>#REF!</v>
      </c>
      <c r="J282" s="146" t="e">
        <f>INDEX(#REF!, MATCH($A282,#REF!, 0), MATCH(J$4,#REF!, 0))</f>
        <v>#REF!</v>
      </c>
      <c r="K282" s="146" t="e">
        <f>INDEX(#REF!, MATCH($A282,#REF!, 0), MATCH(K$4,#REF!, 0))</f>
        <v>#REF!</v>
      </c>
      <c r="L282" s="146" t="e">
        <f>INDEX(#REF!, MATCH($A282,#REF!, 0), MATCH(L$4,#REF!, 0))</f>
        <v>#REF!</v>
      </c>
      <c r="M282" s="146" t="e">
        <f>INDEX(#REF!, MATCH($A282,#REF!, 0), MATCH(M$4,#REF!, 0))</f>
        <v>#REF!</v>
      </c>
      <c r="N282" s="146" t="e">
        <f>INDEX(#REF!, MATCH($A282,#REF!, 0), MATCH(N$4,#REF!, 0))</f>
        <v>#REF!</v>
      </c>
      <c r="O282" s="146" t="e">
        <f>INDEX(#REF!, MATCH($A282,#REF!, 0), MATCH(O$4,#REF!, 0))</f>
        <v>#REF!</v>
      </c>
      <c r="P282" s="146" t="e">
        <f>INDEX(#REF!, MATCH($A282,#REF!, 0), MATCH(P$4,#REF!, 0))</f>
        <v>#REF!</v>
      </c>
      <c r="Q282" s="146" t="e">
        <f>INDEX(#REF!, MATCH($A282,#REF!, 0), MATCH(Q$4,#REF!, 0))</f>
        <v>#REF!</v>
      </c>
      <c r="R282" s="146" t="e">
        <f>INDEX(#REF!, MATCH($A282,#REF!, 0), MATCH(R$4,#REF!, 0))</f>
        <v>#REF!</v>
      </c>
      <c r="S282" s="146" t="e">
        <f>INDEX(#REF!, MATCH($A282,#REF!, 0), MATCH(S$4,#REF!, 0))</f>
        <v>#REF!</v>
      </c>
      <c r="T282" s="146" t="e">
        <f>INDEX(#REF!, MATCH($A282,#REF!, 0), MATCH(T$4,#REF!, 0))</f>
        <v>#REF!</v>
      </c>
      <c r="U282" s="146" t="e">
        <f>INDEX(#REF!, MATCH($A282,#REF!, 0), MATCH(U$4,#REF!, 0))</f>
        <v>#REF!</v>
      </c>
      <c r="V282" s="320" t="e">
        <f>INDEX(#REF!, MATCH($A282,#REF!, 0), MATCH(V$4,#REF!, 0))</f>
        <v>#REF!</v>
      </c>
      <c r="W282" s="146" t="e">
        <f>INDEX(#REF!, MATCH($A282,#REF!, 0), MATCH(W$4,#REF!, 0))</f>
        <v>#REF!</v>
      </c>
      <c r="X282" s="146" t="e">
        <f>INDEX(#REF!, MATCH($A282,#REF!, 0), MATCH(X$4,#REF!, 0))</f>
        <v>#REF!</v>
      </c>
      <c r="Y282" s="146" t="e">
        <f>INDEX(#REF!, MATCH($A282,#REF!, 0), MATCH(Y$4,#REF!, 0))</f>
        <v>#REF!</v>
      </c>
      <c r="Z282" s="146" t="e">
        <f>INDEX(#REF!, MATCH($A282,#REF!, 0), MATCH(Z$4,#REF!, 0))</f>
        <v>#REF!</v>
      </c>
      <c r="AA282" s="146" t="e">
        <f>INDEX(#REF!, MATCH($A282,#REF!, 0), MATCH(AA$4,#REF!, 0))</f>
        <v>#REF!</v>
      </c>
      <c r="AB282" s="146" t="e">
        <f>INDEX(#REF!, MATCH($A282,#REF!, 0), MATCH(AB$4,#REF!, 0))</f>
        <v>#REF!</v>
      </c>
      <c r="AC282" s="320" t="e">
        <f>INDEX(#REF!, MATCH($A282,#REF!, 0), MATCH(AC$4,#REF!, 0))</f>
        <v>#REF!</v>
      </c>
      <c r="AD282" s="146" t="e">
        <f>INDEX(#REF!, MATCH($A282,#REF!, 0), MATCH(AD$4,#REF!, 0))</f>
        <v>#REF!</v>
      </c>
      <c r="AE282" s="146" t="e">
        <f>INDEX(#REF!, MATCH($A282,#REF!, 0), MATCH(AE$4,#REF!, 0))</f>
        <v>#REF!</v>
      </c>
      <c r="AF282" s="146" t="e">
        <f>INDEX(#REF!, MATCH($A282,#REF!, 0), MATCH(AF$4,#REF!, 0))</f>
        <v>#REF!</v>
      </c>
      <c r="AG282" s="146" t="e">
        <f>INDEX(#REF!, MATCH($A282,#REF!, 0), MATCH(AG$4,#REF!, 0))</f>
        <v>#REF!</v>
      </c>
      <c r="AH282" s="146" t="e">
        <f>INDEX(#REF!, MATCH($A282,#REF!, 0), MATCH(AH$4,#REF!, 0))</f>
        <v>#REF!</v>
      </c>
      <c r="AI282" s="146" t="e">
        <f>INDEX(#REF!, MATCH($A282,#REF!, 0), MATCH(AI$4,#REF!, 0))</f>
        <v>#REF!</v>
      </c>
      <c r="AJ282" s="320" t="e">
        <f>INDEX(#REF!, MATCH($A282,#REF!, 0), MATCH(AJ$4,#REF!, 0))</f>
        <v>#REF!</v>
      </c>
      <c r="AK282" s="146" t="e">
        <f>INDEX(#REF!, MATCH($A282,#REF!, 0), MATCH(AK$4,#REF!, 0))</f>
        <v>#REF!</v>
      </c>
      <c r="AL282" s="146" t="e">
        <f>INDEX(#REF!, MATCH($A282,#REF!, 0), MATCH(AL$4,#REF!, 0))</f>
        <v>#REF!</v>
      </c>
      <c r="AM282" s="146" t="e">
        <f>INDEX(#REF!, MATCH($A282,#REF!, 0), MATCH(AM$4,#REF!, 0))</f>
        <v>#REF!</v>
      </c>
      <c r="AN282" s="146" t="e">
        <f>INDEX(#REF!, MATCH($A282,#REF!, 0), MATCH(AN$4,#REF!, 0))</f>
        <v>#REF!</v>
      </c>
      <c r="AO282" s="146" t="e">
        <f>INDEX(#REF!, MATCH($A282,#REF!, 0), MATCH(AO$4,#REF!, 0))</f>
        <v>#REF!</v>
      </c>
      <c r="AP282" s="146" t="e">
        <f>INDEX(#REF!, MATCH($A282,#REF!, 0), MATCH(AP$4,#REF!, 0))</f>
        <v>#REF!</v>
      </c>
      <c r="AQ282" s="320" t="e">
        <f>INDEX(#REF!, MATCH($A282,#REF!, 0), MATCH(AQ$4,#REF!, 0))</f>
        <v>#REF!</v>
      </c>
      <c r="AR282" s="146" t="e">
        <f>INDEX(#REF!, MATCH($A282,#REF!, 0), MATCH(AR$4,#REF!, 0))</f>
        <v>#REF!</v>
      </c>
      <c r="AS282" s="146" t="e">
        <f>INDEX(#REF!, MATCH($A282,#REF!, 0), MATCH(AS$4,#REF!, 0))</f>
        <v>#REF!</v>
      </c>
      <c r="AT282" s="146" t="e">
        <f>INDEX(#REF!, MATCH($A282,#REF!, 0), MATCH(AT$4,#REF!, 0))</f>
        <v>#REF!</v>
      </c>
      <c r="AU282" s="146" t="e">
        <f>INDEX(#REF!, MATCH($A282,#REF!, 0), MATCH(AU$4,#REF!, 0))</f>
        <v>#REF!</v>
      </c>
      <c r="AV282" s="146" t="e">
        <f>INDEX(#REF!, MATCH($A282,#REF!, 0), MATCH(AV$4,#REF!, 0))</f>
        <v>#REF!</v>
      </c>
      <c r="AW282" s="146" t="e">
        <f>INDEX(#REF!, MATCH($A282,#REF!, 0), MATCH(AW$4,#REF!, 0))</f>
        <v>#REF!</v>
      </c>
      <c r="AX282" s="320" t="e">
        <f>INDEX(#REF!, MATCH($A282,#REF!, 0), MATCH(AX$4,#REF!, 0))</f>
        <v>#REF!</v>
      </c>
      <c r="AY282" s="146" t="e">
        <f>INDEX(#REF!, MATCH($A282,#REF!, 0), MATCH(AY$4,#REF!, 0))</f>
        <v>#REF!</v>
      </c>
      <c r="AZ282" s="146" t="e">
        <f>INDEX(#REF!, MATCH($A282,#REF!, 0), MATCH(AZ$4,#REF!, 0))</f>
        <v>#REF!</v>
      </c>
      <c r="BA282" s="146" t="e">
        <f>INDEX(#REF!, MATCH($A282,#REF!, 0), MATCH(BA$4,#REF!, 0))</f>
        <v>#REF!</v>
      </c>
      <c r="BB282" s="146" t="e">
        <f>INDEX(#REF!, MATCH($A282,#REF!, 0), MATCH(BB$4,#REF!, 0))</f>
        <v>#REF!</v>
      </c>
      <c r="BC282" s="146" t="e">
        <f>INDEX(#REF!, MATCH($A282,#REF!, 0), MATCH(BC$4,#REF!, 0))</f>
        <v>#REF!</v>
      </c>
      <c r="BD282" s="364" t="e">
        <f>INDEX(#REF!, MATCH($A282,#REF!, 0), MATCH(BD$4,#REF!, 0))</f>
        <v>#REF!</v>
      </c>
      <c r="BE282" s="320" t="e">
        <f>INDEX(#REF!, MATCH($A282,#REF!, 0), MATCH(BE$4,#REF!, 0))</f>
        <v>#REF!</v>
      </c>
      <c r="BF282" s="146" t="e">
        <f>INDEX(#REF!, MATCH($A282,#REF!, 0), MATCH(BF$4,#REF!, 0))</f>
        <v>#REF!</v>
      </c>
      <c r="BG282" s="146" t="e">
        <f>INDEX(#REF!, MATCH($A282,#REF!, 0), MATCH(BG$4,#REF!, 0))</f>
        <v>#REF!</v>
      </c>
      <c r="BH282" s="146" t="e">
        <f>INDEX(#REF!, MATCH($A282,#REF!, 0), MATCH(BH$4,#REF!, 0))</f>
        <v>#REF!</v>
      </c>
      <c r="BI282" s="146" t="e">
        <f>INDEX(#REF!, MATCH($A282,#REF!, 0), MATCH(BI$4,#REF!, 0))</f>
        <v>#REF!</v>
      </c>
      <c r="BJ282" s="146" t="e">
        <f>INDEX(#REF!, MATCH($A282,#REF!, 0), MATCH(BJ$4,#REF!, 0))</f>
        <v>#REF!</v>
      </c>
      <c r="BK282" s="364" t="e">
        <f>INDEX(#REF!, MATCH($A282,#REF!, 0), MATCH(BK$4,#REF!, 0))</f>
        <v>#REF!</v>
      </c>
      <c r="BL282" s="112">
        <v>0</v>
      </c>
      <c r="BM282" s="112">
        <f>BL282</f>
        <v>0</v>
      </c>
      <c r="BN282" s="112">
        <f t="shared" si="810"/>
        <v>0</v>
      </c>
      <c r="BO282" s="112">
        <f t="shared" si="810"/>
        <v>0</v>
      </c>
      <c r="BP282" s="112">
        <f>BO282</f>
        <v>0</v>
      </c>
      <c r="BQ282" s="112">
        <f t="shared" si="811"/>
        <v>0</v>
      </c>
      <c r="BR282" s="112">
        <f>BQ282</f>
        <v>0</v>
      </c>
      <c r="BS282" s="123"/>
      <c r="BT282" s="127"/>
      <c r="BU282" s="123"/>
      <c r="BV282" s="123"/>
      <c r="BW282" s="123"/>
      <c r="BX282" s="123"/>
      <c r="BY282" s="123"/>
      <c r="BZ282" s="123"/>
      <c r="CA282" s="123"/>
      <c r="CB282" s="123"/>
      <c r="CC282" s="123"/>
      <c r="CD282" s="123"/>
      <c r="CE282" s="123"/>
      <c r="CF282" s="123"/>
      <c r="CG282" s="123"/>
      <c r="CH282" s="123"/>
      <c r="CI282" s="123"/>
      <c r="CJ282" s="123"/>
      <c r="CK282" s="123"/>
      <c r="CL282" s="123"/>
      <c r="CM282" s="123"/>
    </row>
    <row r="283" spans="1:91" s="88" customFormat="1">
      <c r="A283" s="216" t="s">
        <v>258</v>
      </c>
      <c r="B283" s="117" t="s">
        <v>135</v>
      </c>
      <c r="C283" s="117"/>
      <c r="D283" s="146" t="e">
        <f>INDEX(#REF!, MATCH($A283,#REF!, 0), MATCH(D$4,#REF!, 0))</f>
        <v>#REF!</v>
      </c>
      <c r="E283" s="146" t="e">
        <f>INDEX(#REF!, MATCH($A283,#REF!, 0), MATCH(E$4,#REF!, 0))</f>
        <v>#REF!</v>
      </c>
      <c r="F283" s="146" t="e">
        <f>INDEX(#REF!, MATCH($A283,#REF!, 0), MATCH(F$4,#REF!, 0))</f>
        <v>#REF!</v>
      </c>
      <c r="G283" s="146" t="e">
        <f>INDEX(#REF!, MATCH($A283,#REF!, 0), MATCH(G$4,#REF!, 0))</f>
        <v>#REF!</v>
      </c>
      <c r="H283" s="146" t="e">
        <f>INDEX(#REF!, MATCH($A283,#REF!, 0), MATCH(H$4,#REF!, 0))</f>
        <v>#REF!</v>
      </c>
      <c r="I283" s="146" t="e">
        <f>INDEX(#REF!, MATCH($A283,#REF!, 0), MATCH(I$4,#REF!, 0))</f>
        <v>#REF!</v>
      </c>
      <c r="J283" s="146" t="e">
        <f>INDEX(#REF!, MATCH($A283,#REF!, 0), MATCH(J$4,#REF!, 0))</f>
        <v>#REF!</v>
      </c>
      <c r="K283" s="146" t="e">
        <f>INDEX(#REF!, MATCH($A283,#REF!, 0), MATCH(K$4,#REF!, 0))</f>
        <v>#REF!</v>
      </c>
      <c r="L283" s="146" t="e">
        <f>INDEX(#REF!, MATCH($A283,#REF!, 0), MATCH(L$4,#REF!, 0))</f>
        <v>#REF!</v>
      </c>
      <c r="M283" s="146" t="e">
        <f>INDEX(#REF!, MATCH($A283,#REF!, 0), MATCH(M$4,#REF!, 0))</f>
        <v>#REF!</v>
      </c>
      <c r="N283" s="146" t="e">
        <f>INDEX(#REF!, MATCH($A283,#REF!, 0), MATCH(N$4,#REF!, 0))</f>
        <v>#REF!</v>
      </c>
      <c r="O283" s="146" t="e">
        <f>INDEX(#REF!, MATCH($A283,#REF!, 0), MATCH(O$4,#REF!, 0))</f>
        <v>#REF!</v>
      </c>
      <c r="P283" s="146" t="e">
        <f>INDEX(#REF!, MATCH($A283,#REF!, 0), MATCH(P$4,#REF!, 0))</f>
        <v>#REF!</v>
      </c>
      <c r="Q283" s="146" t="e">
        <f>INDEX(#REF!, MATCH($A283,#REF!, 0), MATCH(Q$4,#REF!, 0))</f>
        <v>#REF!</v>
      </c>
      <c r="R283" s="146" t="e">
        <f>INDEX(#REF!, MATCH($A283,#REF!, 0), MATCH(R$4,#REF!, 0))</f>
        <v>#REF!</v>
      </c>
      <c r="S283" s="146" t="e">
        <f>INDEX(#REF!, MATCH($A283,#REF!, 0), MATCH(S$4,#REF!, 0))</f>
        <v>#REF!</v>
      </c>
      <c r="T283" s="146" t="e">
        <f>INDEX(#REF!, MATCH($A283,#REF!, 0), MATCH(T$4,#REF!, 0))</f>
        <v>#REF!</v>
      </c>
      <c r="U283" s="146" t="e">
        <f>INDEX(#REF!, MATCH($A283,#REF!, 0), MATCH(U$4,#REF!, 0))</f>
        <v>#REF!</v>
      </c>
      <c r="V283" s="320" t="e">
        <f>INDEX(#REF!, MATCH($A283,#REF!, 0), MATCH(V$4,#REF!, 0))</f>
        <v>#REF!</v>
      </c>
      <c r="W283" s="146" t="e">
        <f>INDEX(#REF!, MATCH($A283,#REF!, 0), MATCH(W$4,#REF!, 0))</f>
        <v>#REF!</v>
      </c>
      <c r="X283" s="146" t="e">
        <f>INDEX(#REF!, MATCH($A283,#REF!, 0), MATCH(X$4,#REF!, 0))</f>
        <v>#REF!</v>
      </c>
      <c r="Y283" s="146" t="e">
        <f>INDEX(#REF!, MATCH($A283,#REF!, 0), MATCH(Y$4,#REF!, 0))</f>
        <v>#REF!</v>
      </c>
      <c r="Z283" s="146" t="e">
        <f>INDEX(#REF!, MATCH($A283,#REF!, 0), MATCH(Z$4,#REF!, 0))</f>
        <v>#REF!</v>
      </c>
      <c r="AA283" s="146" t="e">
        <f>INDEX(#REF!, MATCH($A283,#REF!, 0), MATCH(AA$4,#REF!, 0))</f>
        <v>#REF!</v>
      </c>
      <c r="AB283" s="146" t="e">
        <f>INDEX(#REF!, MATCH($A283,#REF!, 0), MATCH(AB$4,#REF!, 0))</f>
        <v>#REF!</v>
      </c>
      <c r="AC283" s="320" t="e">
        <f>INDEX(#REF!, MATCH($A283,#REF!, 0), MATCH(AC$4,#REF!, 0))</f>
        <v>#REF!</v>
      </c>
      <c r="AD283" s="146" t="e">
        <f>INDEX(#REF!, MATCH($A283,#REF!, 0), MATCH(AD$4,#REF!, 0))</f>
        <v>#REF!</v>
      </c>
      <c r="AE283" s="146" t="e">
        <f>INDEX(#REF!, MATCH($A283,#REF!, 0), MATCH(AE$4,#REF!, 0))</f>
        <v>#REF!</v>
      </c>
      <c r="AF283" s="146" t="e">
        <f>INDEX(#REF!, MATCH($A283,#REF!, 0), MATCH(AF$4,#REF!, 0))</f>
        <v>#REF!</v>
      </c>
      <c r="AG283" s="146" t="e">
        <f>INDEX(#REF!, MATCH($A283,#REF!, 0), MATCH(AG$4,#REF!, 0))</f>
        <v>#REF!</v>
      </c>
      <c r="AH283" s="146" t="e">
        <f>INDEX(#REF!, MATCH($A283,#REF!, 0), MATCH(AH$4,#REF!, 0))</f>
        <v>#REF!</v>
      </c>
      <c r="AI283" s="146" t="e">
        <f>INDEX(#REF!, MATCH($A283,#REF!, 0), MATCH(AI$4,#REF!, 0))</f>
        <v>#REF!</v>
      </c>
      <c r="AJ283" s="320" t="e">
        <f>INDEX(#REF!, MATCH($A283,#REF!, 0), MATCH(AJ$4,#REF!, 0))</f>
        <v>#REF!</v>
      </c>
      <c r="AK283" s="146" t="e">
        <f>INDEX(#REF!, MATCH($A283,#REF!, 0), MATCH(AK$4,#REF!, 0))</f>
        <v>#REF!</v>
      </c>
      <c r="AL283" s="146" t="e">
        <f>INDEX(#REF!, MATCH($A283,#REF!, 0), MATCH(AL$4,#REF!, 0))</f>
        <v>#REF!</v>
      </c>
      <c r="AM283" s="146" t="e">
        <f>INDEX(#REF!, MATCH($A283,#REF!, 0), MATCH(AM$4,#REF!, 0))</f>
        <v>#REF!</v>
      </c>
      <c r="AN283" s="146" t="e">
        <f>INDEX(#REF!, MATCH($A283,#REF!, 0), MATCH(AN$4,#REF!, 0))</f>
        <v>#REF!</v>
      </c>
      <c r="AO283" s="146" t="e">
        <f>INDEX(#REF!, MATCH($A283,#REF!, 0), MATCH(AO$4,#REF!, 0))</f>
        <v>#REF!</v>
      </c>
      <c r="AP283" s="146" t="e">
        <f>INDEX(#REF!, MATCH($A283,#REF!, 0), MATCH(AP$4,#REF!, 0))</f>
        <v>#REF!</v>
      </c>
      <c r="AQ283" s="320" t="e">
        <f>INDEX(#REF!, MATCH($A283,#REF!, 0), MATCH(AQ$4,#REF!, 0))</f>
        <v>#REF!</v>
      </c>
      <c r="AR283" s="146" t="e">
        <f>INDEX(#REF!, MATCH($A283,#REF!, 0), MATCH(AR$4,#REF!, 0))</f>
        <v>#REF!</v>
      </c>
      <c r="AS283" s="146" t="e">
        <f>INDEX(#REF!, MATCH($A283,#REF!, 0), MATCH(AS$4,#REF!, 0))</f>
        <v>#REF!</v>
      </c>
      <c r="AT283" s="146" t="e">
        <f>INDEX(#REF!, MATCH($A283,#REF!, 0), MATCH(AT$4,#REF!, 0))</f>
        <v>#REF!</v>
      </c>
      <c r="AU283" s="146" t="e">
        <f>INDEX(#REF!, MATCH($A283,#REF!, 0), MATCH(AU$4,#REF!, 0))</f>
        <v>#REF!</v>
      </c>
      <c r="AV283" s="146" t="e">
        <f>INDEX(#REF!, MATCH($A283,#REF!, 0), MATCH(AV$4,#REF!, 0))</f>
        <v>#REF!</v>
      </c>
      <c r="AW283" s="146" t="e">
        <f>INDEX(#REF!, MATCH($A283,#REF!, 0), MATCH(AW$4,#REF!, 0))</f>
        <v>#REF!</v>
      </c>
      <c r="AX283" s="320" t="e">
        <f>INDEX(#REF!, MATCH($A283,#REF!, 0), MATCH(AX$4,#REF!, 0))</f>
        <v>#REF!</v>
      </c>
      <c r="AY283" s="146" t="e">
        <f>INDEX(#REF!, MATCH($A283,#REF!, 0), MATCH(AY$4,#REF!, 0))</f>
        <v>#REF!</v>
      </c>
      <c r="AZ283" s="146" t="e">
        <f>INDEX(#REF!, MATCH($A283,#REF!, 0), MATCH(AZ$4,#REF!, 0))</f>
        <v>#REF!</v>
      </c>
      <c r="BA283" s="146" t="e">
        <f>INDEX(#REF!, MATCH($A283,#REF!, 0), MATCH(BA$4,#REF!, 0))</f>
        <v>#REF!</v>
      </c>
      <c r="BB283" s="146" t="e">
        <f>INDEX(#REF!, MATCH($A283,#REF!, 0), MATCH(BB$4,#REF!, 0))</f>
        <v>#REF!</v>
      </c>
      <c r="BC283" s="146" t="e">
        <f>INDEX(#REF!, MATCH($A283,#REF!, 0), MATCH(BC$4,#REF!, 0))</f>
        <v>#REF!</v>
      </c>
      <c r="BD283" s="364" t="e">
        <f>INDEX(#REF!, MATCH($A283,#REF!, 0), MATCH(BD$4,#REF!, 0))</f>
        <v>#REF!</v>
      </c>
      <c r="BE283" s="320" t="e">
        <f>INDEX(#REF!, MATCH($A283,#REF!, 0), MATCH(BE$4,#REF!, 0))</f>
        <v>#REF!</v>
      </c>
      <c r="BF283" s="146" t="e">
        <f>INDEX(#REF!, MATCH($A283,#REF!, 0), MATCH(BF$4,#REF!, 0))</f>
        <v>#REF!</v>
      </c>
      <c r="BG283" s="146" t="e">
        <f>INDEX(#REF!, MATCH($A283,#REF!, 0), MATCH(BG$4,#REF!, 0))</f>
        <v>#REF!</v>
      </c>
      <c r="BH283" s="146" t="e">
        <f>INDEX(#REF!, MATCH($A283,#REF!, 0), MATCH(BH$4,#REF!, 0))</f>
        <v>#REF!</v>
      </c>
      <c r="BI283" s="146" t="e">
        <f>INDEX(#REF!, MATCH($A283,#REF!, 0), MATCH(BI$4,#REF!, 0))</f>
        <v>#REF!</v>
      </c>
      <c r="BJ283" s="146" t="e">
        <f>INDEX(#REF!, MATCH($A283,#REF!, 0), MATCH(BJ$4,#REF!, 0))</f>
        <v>#REF!</v>
      </c>
      <c r="BK283" s="364" t="e">
        <f>INDEX(#REF!, MATCH($A283,#REF!, 0), MATCH(BK$4,#REF!, 0))</f>
        <v>#REF!</v>
      </c>
      <c r="BL283" s="112">
        <v>0</v>
      </c>
      <c r="BM283" s="112">
        <f>BL283</f>
        <v>0</v>
      </c>
      <c r="BN283" s="112">
        <f t="shared" si="810"/>
        <v>0</v>
      </c>
      <c r="BO283" s="112">
        <f t="shared" si="810"/>
        <v>0</v>
      </c>
      <c r="BP283" s="112">
        <f>BO283</f>
        <v>0</v>
      </c>
      <c r="BQ283" s="112">
        <f t="shared" si="811"/>
        <v>0</v>
      </c>
      <c r="BR283" s="112">
        <f>BQ283</f>
        <v>0</v>
      </c>
      <c r="BS283" s="123"/>
      <c r="BT283" s="127"/>
      <c r="BU283" s="123"/>
      <c r="BV283" s="123"/>
      <c r="BW283" s="123"/>
      <c r="BX283" s="123"/>
      <c r="BY283" s="123"/>
      <c r="BZ283" s="123"/>
      <c r="CA283" s="123"/>
      <c r="CB283" s="123"/>
      <c r="CC283" s="123"/>
      <c r="CD283" s="123"/>
      <c r="CE283" s="123"/>
      <c r="CF283" s="123"/>
      <c r="CG283" s="123"/>
      <c r="CH283" s="123"/>
      <c r="CI283" s="123"/>
      <c r="CJ283" s="123"/>
      <c r="CK283" s="123"/>
      <c r="CL283" s="123"/>
      <c r="CM283" s="123"/>
    </row>
    <row r="284" spans="1:91">
      <c r="A284" s="110" t="s">
        <v>208</v>
      </c>
      <c r="B284" s="214" t="s">
        <v>136</v>
      </c>
      <c r="C284" s="214"/>
      <c r="D284" s="217" t="e">
        <f>INDEX(#REF!, MATCH($A284,#REF!, 0), MATCH(D$4,#REF!, 0))</f>
        <v>#REF!</v>
      </c>
      <c r="E284" s="217" t="e">
        <f>INDEX(#REF!, MATCH($A284,#REF!, 0), MATCH(E$4,#REF!, 0))</f>
        <v>#REF!</v>
      </c>
      <c r="F284" s="217" t="e">
        <f>INDEX(#REF!, MATCH($A284,#REF!, 0), MATCH(F$4,#REF!, 0))</f>
        <v>#REF!</v>
      </c>
      <c r="G284" s="217" t="e">
        <f>INDEX(#REF!, MATCH($A284,#REF!, 0), MATCH(G$4,#REF!, 0))</f>
        <v>#REF!</v>
      </c>
      <c r="H284" s="217" t="e">
        <f>INDEX(#REF!, MATCH($A284,#REF!, 0), MATCH(H$4,#REF!, 0))</f>
        <v>#REF!</v>
      </c>
      <c r="I284" s="217" t="e">
        <f>INDEX(#REF!, MATCH($A284,#REF!, 0), MATCH(I$4,#REF!, 0))</f>
        <v>#REF!</v>
      </c>
      <c r="J284" s="217" t="e">
        <f>INDEX(#REF!, MATCH($A284,#REF!, 0), MATCH(J$4,#REF!, 0))</f>
        <v>#REF!</v>
      </c>
      <c r="K284" s="217" t="e">
        <f>INDEX(#REF!, MATCH($A284,#REF!, 0), MATCH(K$4,#REF!, 0))</f>
        <v>#REF!</v>
      </c>
      <c r="L284" s="217" t="e">
        <f>INDEX(#REF!, MATCH($A284,#REF!, 0), MATCH(L$4,#REF!, 0))</f>
        <v>#REF!</v>
      </c>
      <c r="M284" s="217" t="e">
        <f>INDEX(#REF!, MATCH($A284,#REF!, 0), MATCH(M$4,#REF!, 0))</f>
        <v>#REF!</v>
      </c>
      <c r="N284" s="217" t="e">
        <f>INDEX(#REF!, MATCH($A284,#REF!, 0), MATCH(N$4,#REF!, 0))</f>
        <v>#REF!</v>
      </c>
      <c r="O284" s="217" t="e">
        <f>INDEX(#REF!, MATCH($A284,#REF!, 0), MATCH(O$4,#REF!, 0))</f>
        <v>#REF!</v>
      </c>
      <c r="P284" s="217" t="e">
        <f>INDEX(#REF!, MATCH($A284,#REF!, 0), MATCH(P$4,#REF!, 0))</f>
        <v>#REF!</v>
      </c>
      <c r="Q284" s="217" t="e">
        <f>INDEX(#REF!, MATCH($A284,#REF!, 0), MATCH(Q$4,#REF!, 0))</f>
        <v>#REF!</v>
      </c>
      <c r="R284" s="217" t="e">
        <f>INDEX(#REF!, MATCH($A284,#REF!, 0), MATCH(R$4,#REF!, 0))</f>
        <v>#REF!</v>
      </c>
      <c r="S284" s="217" t="e">
        <f>INDEX(#REF!, MATCH($A284,#REF!, 0), MATCH(S$4,#REF!, 0))</f>
        <v>#REF!</v>
      </c>
      <c r="T284" s="217" t="e">
        <f>INDEX(#REF!, MATCH($A284,#REF!, 0), MATCH(T$4,#REF!, 0))</f>
        <v>#REF!</v>
      </c>
      <c r="U284" s="217" t="e">
        <f>INDEX(#REF!, MATCH($A284,#REF!, 0), MATCH(U$4,#REF!, 0))</f>
        <v>#REF!</v>
      </c>
      <c r="V284" s="347" t="e">
        <f>INDEX(#REF!, MATCH($A284,#REF!, 0), MATCH(V$4,#REF!, 0))</f>
        <v>#REF!</v>
      </c>
      <c r="W284" s="217" t="e">
        <f>INDEX(#REF!, MATCH($A284,#REF!, 0), MATCH(W$4,#REF!, 0))</f>
        <v>#REF!</v>
      </c>
      <c r="X284" s="217" t="e">
        <f>INDEX(#REF!, MATCH($A284,#REF!, 0), MATCH(X$4,#REF!, 0))</f>
        <v>#REF!</v>
      </c>
      <c r="Y284" s="217" t="e">
        <f>INDEX(#REF!, MATCH($A284,#REF!, 0), MATCH(Y$4,#REF!, 0))</f>
        <v>#REF!</v>
      </c>
      <c r="Z284" s="217" t="e">
        <f>INDEX(#REF!, MATCH($A284,#REF!, 0), MATCH(Z$4,#REF!, 0))</f>
        <v>#REF!</v>
      </c>
      <c r="AA284" s="217" t="e">
        <f>INDEX(#REF!, MATCH($A284,#REF!, 0), MATCH(AA$4,#REF!, 0))</f>
        <v>#REF!</v>
      </c>
      <c r="AB284" s="217" t="e">
        <f>INDEX(#REF!, MATCH($A284,#REF!, 0), MATCH(AB$4,#REF!, 0))</f>
        <v>#REF!</v>
      </c>
      <c r="AC284" s="347" t="e">
        <f>INDEX(#REF!, MATCH($A284,#REF!, 0), MATCH(AC$4,#REF!, 0))</f>
        <v>#REF!</v>
      </c>
      <c r="AD284" s="217" t="e">
        <f>INDEX(#REF!, MATCH($A284,#REF!, 0), MATCH(AD$4,#REF!, 0))</f>
        <v>#REF!</v>
      </c>
      <c r="AE284" s="217" t="e">
        <f>INDEX(#REF!, MATCH($A284,#REF!, 0), MATCH(AE$4,#REF!, 0))</f>
        <v>#REF!</v>
      </c>
      <c r="AF284" s="217" t="e">
        <f>INDEX(#REF!, MATCH($A284,#REF!, 0), MATCH(AF$4,#REF!, 0))</f>
        <v>#REF!</v>
      </c>
      <c r="AG284" s="217" t="e">
        <f>INDEX(#REF!, MATCH($A284,#REF!, 0), MATCH(AG$4,#REF!, 0))</f>
        <v>#REF!</v>
      </c>
      <c r="AH284" s="217" t="e">
        <f>INDEX(#REF!, MATCH($A284,#REF!, 0), MATCH(AH$4,#REF!, 0))</f>
        <v>#REF!</v>
      </c>
      <c r="AI284" s="217" t="e">
        <f>INDEX(#REF!, MATCH($A284,#REF!, 0), MATCH(AI$4,#REF!, 0))</f>
        <v>#REF!</v>
      </c>
      <c r="AJ284" s="347" t="e">
        <f>INDEX(#REF!, MATCH($A284,#REF!, 0), MATCH(AJ$4,#REF!, 0))</f>
        <v>#REF!</v>
      </c>
      <c r="AK284" s="217" t="e">
        <f>INDEX(#REF!, MATCH($A284,#REF!, 0), MATCH(AK$4,#REF!, 0))</f>
        <v>#REF!</v>
      </c>
      <c r="AL284" s="217" t="e">
        <f>INDEX(#REF!, MATCH($A284,#REF!, 0), MATCH(AL$4,#REF!, 0))</f>
        <v>#REF!</v>
      </c>
      <c r="AM284" s="217" t="e">
        <f>INDEX(#REF!, MATCH($A284,#REF!, 0), MATCH(AM$4,#REF!, 0))</f>
        <v>#REF!</v>
      </c>
      <c r="AN284" s="217" t="e">
        <f>INDEX(#REF!, MATCH($A284,#REF!, 0), MATCH(AN$4,#REF!, 0))</f>
        <v>#REF!</v>
      </c>
      <c r="AO284" s="217" t="e">
        <f>INDEX(#REF!, MATCH($A284,#REF!, 0), MATCH(AO$4,#REF!, 0))</f>
        <v>#REF!</v>
      </c>
      <c r="AP284" s="217" t="e">
        <f>INDEX(#REF!, MATCH($A284,#REF!, 0), MATCH(AP$4,#REF!, 0))</f>
        <v>#REF!</v>
      </c>
      <c r="AQ284" s="347" t="e">
        <f>INDEX(#REF!, MATCH($A284,#REF!, 0), MATCH(AQ$4,#REF!, 0))</f>
        <v>#REF!</v>
      </c>
      <c r="AR284" s="217" t="e">
        <f>INDEX(#REF!, MATCH($A284,#REF!, 0), MATCH(AR$4,#REF!, 0))</f>
        <v>#REF!</v>
      </c>
      <c r="AS284" s="217" t="e">
        <f>INDEX(#REF!, MATCH($A284,#REF!, 0), MATCH(AS$4,#REF!, 0))</f>
        <v>#REF!</v>
      </c>
      <c r="AT284" s="217" t="e">
        <f>INDEX(#REF!, MATCH($A284,#REF!, 0), MATCH(AT$4,#REF!, 0))</f>
        <v>#REF!</v>
      </c>
      <c r="AU284" s="217" t="e">
        <f>INDEX(#REF!, MATCH($A284,#REF!, 0), MATCH(AU$4,#REF!, 0))</f>
        <v>#REF!</v>
      </c>
      <c r="AV284" s="217" t="e">
        <f>INDEX(#REF!, MATCH($A284,#REF!, 0), MATCH(AV$4,#REF!, 0))</f>
        <v>#REF!</v>
      </c>
      <c r="AW284" s="217" t="e">
        <f>INDEX(#REF!, MATCH($A284,#REF!, 0), MATCH(AW$4,#REF!, 0))</f>
        <v>#REF!</v>
      </c>
      <c r="AX284" s="347" t="e">
        <f>INDEX(#REF!, MATCH($A284,#REF!, 0), MATCH(AX$4,#REF!, 0))</f>
        <v>#REF!</v>
      </c>
      <c r="AY284" s="217" t="e">
        <f>INDEX(#REF!, MATCH($A284,#REF!, 0), MATCH(AY$4,#REF!, 0))</f>
        <v>#REF!</v>
      </c>
      <c r="AZ284" s="217" t="e">
        <f>INDEX(#REF!, MATCH($A284,#REF!, 0), MATCH(AZ$4,#REF!, 0))</f>
        <v>#REF!</v>
      </c>
      <c r="BA284" s="217" t="e">
        <f>INDEX(#REF!, MATCH($A284,#REF!, 0), MATCH(BA$4,#REF!, 0))</f>
        <v>#REF!</v>
      </c>
      <c r="BB284" s="217" t="e">
        <f>INDEX(#REF!, MATCH($A284,#REF!, 0), MATCH(BB$4,#REF!, 0))</f>
        <v>#REF!</v>
      </c>
      <c r="BC284" s="217" t="e">
        <f>INDEX(#REF!, MATCH($A284,#REF!, 0), MATCH(BC$4,#REF!, 0))</f>
        <v>#REF!</v>
      </c>
      <c r="BD284" s="389" t="e">
        <f>INDEX(#REF!, MATCH($A284,#REF!, 0), MATCH(BD$4,#REF!, 0))</f>
        <v>#REF!</v>
      </c>
      <c r="BE284" s="347" t="e">
        <f>INDEX(#REF!, MATCH($A284,#REF!, 0), MATCH(BE$4,#REF!, 0))</f>
        <v>#REF!</v>
      </c>
      <c r="BF284" s="217" t="e">
        <f>INDEX(#REF!, MATCH($A284,#REF!, 0), MATCH(BF$4,#REF!, 0))</f>
        <v>#REF!</v>
      </c>
      <c r="BG284" s="217" t="e">
        <f>INDEX(#REF!, MATCH($A284,#REF!, 0), MATCH(BG$4,#REF!, 0))</f>
        <v>#REF!</v>
      </c>
      <c r="BH284" s="217" t="e">
        <f>INDEX(#REF!, MATCH($A284,#REF!, 0), MATCH(BH$4,#REF!, 0))</f>
        <v>#REF!</v>
      </c>
      <c r="BI284" s="217" t="e">
        <f>INDEX(#REF!, MATCH($A284,#REF!, 0), MATCH(BI$4,#REF!, 0))</f>
        <v>#REF!</v>
      </c>
      <c r="BJ284" s="217" t="e">
        <f>INDEX(#REF!, MATCH($A284,#REF!, 0), MATCH(BJ$4,#REF!, 0))</f>
        <v>#REF!</v>
      </c>
      <c r="BK284" s="389" t="e">
        <f>INDEX(#REF!, MATCH($A284,#REF!, 0), MATCH(BK$4,#REF!, 0))</f>
        <v>#REF!</v>
      </c>
      <c r="BL284" s="164" t="e">
        <f t="shared" ref="BL284:BR284" si="813">SUM(BL280:BL283)-SUM(BL277:BL279)</f>
        <v>#REF!</v>
      </c>
      <c r="BM284" s="164" t="e">
        <f t="shared" si="813"/>
        <v>#REF!</v>
      </c>
      <c r="BN284" s="164" t="e">
        <f t="shared" si="813"/>
        <v>#REF!</v>
      </c>
      <c r="BO284" s="164" t="e">
        <f t="shared" si="813"/>
        <v>#REF!</v>
      </c>
      <c r="BP284" s="164" t="e">
        <f t="shared" si="813"/>
        <v>#REF!</v>
      </c>
      <c r="BQ284" s="164" t="e">
        <f t="shared" si="813"/>
        <v>#REF!</v>
      </c>
      <c r="BR284" s="164" t="e">
        <f t="shared" si="813"/>
        <v>#REF!</v>
      </c>
      <c r="BT284" s="121"/>
    </row>
    <row r="285" spans="1:91">
      <c r="A285" s="130"/>
      <c r="B285" s="117" t="s">
        <v>111</v>
      </c>
      <c r="C285" s="117"/>
      <c r="D285" s="160" t="e">
        <f t="shared" ref="D285:P285" si="814">D280+D281+D282+D283-D277-D278-D279-D284</f>
        <v>#REF!</v>
      </c>
      <c r="E285" s="160" t="e">
        <f t="shared" si="814"/>
        <v>#REF!</v>
      </c>
      <c r="F285" s="160" t="e">
        <f t="shared" si="814"/>
        <v>#REF!</v>
      </c>
      <c r="G285" s="160" t="e">
        <f t="shared" si="814"/>
        <v>#REF!</v>
      </c>
      <c r="H285" s="160" t="e">
        <f t="shared" si="814"/>
        <v>#REF!</v>
      </c>
      <c r="I285" s="160" t="e">
        <f t="shared" si="814"/>
        <v>#REF!</v>
      </c>
      <c r="J285" s="160" t="e">
        <f t="shared" si="814"/>
        <v>#REF!</v>
      </c>
      <c r="K285" s="160" t="e">
        <f t="shared" si="814"/>
        <v>#REF!</v>
      </c>
      <c r="L285" s="160" t="e">
        <f t="shared" si="814"/>
        <v>#REF!</v>
      </c>
      <c r="M285" s="160" t="e">
        <f t="shared" si="814"/>
        <v>#REF!</v>
      </c>
      <c r="N285" s="160" t="e">
        <f t="shared" si="814"/>
        <v>#REF!</v>
      </c>
      <c r="O285" s="160" t="e">
        <f t="shared" si="814"/>
        <v>#REF!</v>
      </c>
      <c r="P285" s="160" t="e">
        <f t="shared" si="814"/>
        <v>#REF!</v>
      </c>
      <c r="Q285" s="160" t="e">
        <f t="shared" ref="Q285:AX285" si="815">Q280+Q281+Q282+Q283-Q277-Q278-Q279-Q284</f>
        <v>#REF!</v>
      </c>
      <c r="R285" s="160" t="e">
        <f t="shared" si="815"/>
        <v>#REF!</v>
      </c>
      <c r="S285" s="160" t="e">
        <f t="shared" si="815"/>
        <v>#REF!</v>
      </c>
      <c r="T285" s="160" t="e">
        <f t="shared" si="815"/>
        <v>#REF!</v>
      </c>
      <c r="U285" s="160" t="e">
        <f t="shared" si="815"/>
        <v>#REF!</v>
      </c>
      <c r="V285" s="338" t="e">
        <f t="shared" ref="V285:AA285" si="816">V280+V281+V282+V283-V277-V278-V279-V284</f>
        <v>#REF!</v>
      </c>
      <c r="W285" s="160" t="e">
        <f t="shared" si="816"/>
        <v>#REF!</v>
      </c>
      <c r="X285" s="160" t="e">
        <f t="shared" si="816"/>
        <v>#REF!</v>
      </c>
      <c r="Y285" s="160" t="e">
        <f t="shared" si="816"/>
        <v>#REF!</v>
      </c>
      <c r="Z285" s="160" t="e">
        <f t="shared" si="816"/>
        <v>#REF!</v>
      </c>
      <c r="AA285" s="160" t="e">
        <f t="shared" si="816"/>
        <v>#REF!</v>
      </c>
      <c r="AB285" s="160" t="e">
        <f t="shared" si="815"/>
        <v>#REF!</v>
      </c>
      <c r="AC285" s="338" t="e">
        <f t="shared" ref="AC285:AH285" si="817">AC280+AC281+AC282+AC283-AC277-AC278-AC279-AC284</f>
        <v>#REF!</v>
      </c>
      <c r="AD285" s="160" t="e">
        <f t="shared" si="817"/>
        <v>#REF!</v>
      </c>
      <c r="AE285" s="160" t="e">
        <f t="shared" si="817"/>
        <v>#REF!</v>
      </c>
      <c r="AF285" s="160" t="e">
        <f t="shared" si="817"/>
        <v>#REF!</v>
      </c>
      <c r="AG285" s="160" t="e">
        <f t="shared" si="817"/>
        <v>#REF!</v>
      </c>
      <c r="AH285" s="160" t="e">
        <f t="shared" si="817"/>
        <v>#REF!</v>
      </c>
      <c r="AI285" s="160" t="e">
        <f t="shared" si="815"/>
        <v>#REF!</v>
      </c>
      <c r="AJ285" s="338" t="e">
        <f t="shared" ref="AJ285:AO285" si="818">AJ280+AJ281+AJ282+AJ283-AJ277-AJ278-AJ279-AJ284</f>
        <v>#REF!</v>
      </c>
      <c r="AK285" s="160" t="e">
        <f t="shared" si="818"/>
        <v>#REF!</v>
      </c>
      <c r="AL285" s="160" t="e">
        <f t="shared" si="818"/>
        <v>#REF!</v>
      </c>
      <c r="AM285" s="160" t="e">
        <f t="shared" si="818"/>
        <v>#REF!</v>
      </c>
      <c r="AN285" s="160" t="e">
        <f t="shared" si="818"/>
        <v>#REF!</v>
      </c>
      <c r="AO285" s="160" t="e">
        <f t="shared" si="818"/>
        <v>#REF!</v>
      </c>
      <c r="AP285" s="160" t="e">
        <f t="shared" si="815"/>
        <v>#REF!</v>
      </c>
      <c r="AQ285" s="338" t="e">
        <f t="shared" ref="AQ285:AV285" si="819">AQ280+AQ281+AQ282+AQ283-AQ277-AQ278-AQ279-AQ284</f>
        <v>#REF!</v>
      </c>
      <c r="AR285" s="160" t="e">
        <f t="shared" si="819"/>
        <v>#REF!</v>
      </c>
      <c r="AS285" s="160" t="e">
        <f t="shared" si="819"/>
        <v>#REF!</v>
      </c>
      <c r="AT285" s="160" t="e">
        <f t="shared" si="819"/>
        <v>#REF!</v>
      </c>
      <c r="AU285" s="160" t="e">
        <f t="shared" si="819"/>
        <v>#REF!</v>
      </c>
      <c r="AV285" s="160" t="e">
        <f t="shared" si="819"/>
        <v>#REF!</v>
      </c>
      <c r="AW285" s="160" t="e">
        <f t="shared" si="815"/>
        <v>#REF!</v>
      </c>
      <c r="AX285" s="338" t="e">
        <f t="shared" si="815"/>
        <v>#REF!</v>
      </c>
      <c r="AY285" s="160" t="e">
        <f t="shared" ref="AY285:AZ285" si="820">AY280+AY281+AY282+AY283-AY277-AY278-AY279-AY284</f>
        <v>#REF!</v>
      </c>
      <c r="AZ285" s="160" t="e">
        <f t="shared" si="820"/>
        <v>#REF!</v>
      </c>
      <c r="BA285" s="160" t="e">
        <f t="shared" ref="BA285:BC285" si="821">BA280+BA281+BA282+BA283-BA277-BA278-BA279-BA284</f>
        <v>#REF!</v>
      </c>
      <c r="BB285" s="160" t="e">
        <f t="shared" si="821"/>
        <v>#REF!</v>
      </c>
      <c r="BC285" s="160" t="e">
        <f t="shared" si="821"/>
        <v>#REF!</v>
      </c>
      <c r="BD285" s="381" t="e">
        <f t="shared" ref="BD285:BJ285" si="822">BD280+BD281+BD282+BD283-BD277-BD278-BD279-BD284</f>
        <v>#REF!</v>
      </c>
      <c r="BE285" s="338" t="e">
        <f t="shared" si="822"/>
        <v>#REF!</v>
      </c>
      <c r="BF285" s="160" t="e">
        <f t="shared" si="822"/>
        <v>#REF!</v>
      </c>
      <c r="BG285" s="160" t="e">
        <f t="shared" si="822"/>
        <v>#REF!</v>
      </c>
      <c r="BH285" s="160" t="e">
        <f t="shared" si="822"/>
        <v>#REF!</v>
      </c>
      <c r="BI285" s="160" t="e">
        <f t="shared" si="822"/>
        <v>#REF!</v>
      </c>
      <c r="BJ285" s="160" t="e">
        <f t="shared" si="822"/>
        <v>#REF!</v>
      </c>
      <c r="BK285" s="381" t="e">
        <f t="shared" ref="BK285" si="823">BK280+BK281+BK282+BK283-BK277-BK278-BK279-BK284</f>
        <v>#REF!</v>
      </c>
      <c r="BL285" s="160"/>
      <c r="BM285" s="160"/>
      <c r="BN285" s="160"/>
      <c r="BO285" s="160"/>
      <c r="BP285" s="160"/>
      <c r="BQ285" s="160"/>
      <c r="BR285" s="160"/>
      <c r="BT285" s="121"/>
    </row>
    <row r="286" spans="1:91">
      <c r="A286" s="130"/>
      <c r="B286" s="117"/>
      <c r="C286" s="117"/>
      <c r="D286" s="160"/>
      <c r="E286" s="160"/>
      <c r="F286" s="160"/>
      <c r="G286" s="160"/>
      <c r="H286" s="160"/>
      <c r="I286" s="160"/>
      <c r="J286" s="160"/>
      <c r="K286" s="160"/>
      <c r="L286" s="160"/>
      <c r="M286" s="160"/>
      <c r="N286" s="160"/>
      <c r="O286" s="160"/>
      <c r="P286" s="160"/>
      <c r="Q286" s="160"/>
      <c r="R286" s="160"/>
      <c r="S286" s="160"/>
      <c r="T286" s="160"/>
      <c r="U286" s="160"/>
      <c r="V286" s="338"/>
      <c r="W286" s="160"/>
      <c r="X286" s="160"/>
      <c r="Y286" s="160"/>
      <c r="Z286" s="160"/>
      <c r="AA286" s="160"/>
      <c r="AB286" s="160"/>
      <c r="AC286" s="338"/>
      <c r="AD286" s="160"/>
      <c r="AE286" s="160"/>
      <c r="AF286" s="160"/>
      <c r="AG286" s="160"/>
      <c r="AH286" s="160"/>
      <c r="AI286" s="160"/>
      <c r="AJ286" s="338"/>
      <c r="AK286" s="160"/>
      <c r="AL286" s="160"/>
      <c r="AM286" s="160"/>
      <c r="AN286" s="160"/>
      <c r="AO286" s="160"/>
      <c r="AP286" s="160"/>
      <c r="AQ286" s="338"/>
      <c r="AR286" s="160"/>
      <c r="AS286" s="160"/>
      <c r="AT286" s="160"/>
      <c r="AU286" s="160"/>
      <c r="AV286" s="160"/>
      <c r="AW286" s="160"/>
      <c r="AX286" s="338"/>
      <c r="AY286" s="160"/>
      <c r="AZ286" s="160"/>
      <c r="BA286" s="160"/>
      <c r="BB286" s="160"/>
      <c r="BC286" s="160"/>
      <c r="BD286" s="381"/>
      <c r="BE286" s="338"/>
      <c r="BF286" s="160"/>
      <c r="BG286" s="160"/>
      <c r="BH286" s="160"/>
      <c r="BI286" s="160"/>
      <c r="BJ286" s="160"/>
      <c r="BK286" s="381"/>
      <c r="BL286" s="160"/>
      <c r="BM286" s="160"/>
      <c r="BN286" s="119"/>
      <c r="BO286" s="119"/>
      <c r="BP286" s="160"/>
      <c r="BQ286" s="119"/>
      <c r="BR286" s="160"/>
      <c r="BT286" s="121"/>
    </row>
    <row r="287" spans="1:91">
      <c r="A287" s="105" t="s">
        <v>209</v>
      </c>
      <c r="B287" s="117" t="s">
        <v>137</v>
      </c>
      <c r="C287" s="117"/>
      <c r="D287" s="146" t="e">
        <f>INDEX(#REF!, MATCH($A287,#REF!, 0), MATCH(D$4,#REF!, 0))</f>
        <v>#REF!</v>
      </c>
      <c r="E287" s="146" t="e">
        <f>INDEX(#REF!, MATCH($A287,#REF!, 0), MATCH(E$4,#REF!, 0))</f>
        <v>#REF!</v>
      </c>
      <c r="F287" s="146" t="e">
        <f>INDEX(#REF!, MATCH($A287,#REF!, 0), MATCH(F$4,#REF!, 0))</f>
        <v>#REF!</v>
      </c>
      <c r="G287" s="146" t="e">
        <f>INDEX(#REF!, MATCH($A287,#REF!, 0), MATCH(G$4,#REF!, 0))</f>
        <v>#REF!</v>
      </c>
      <c r="H287" s="146" t="e">
        <f>INDEX(#REF!, MATCH($A287,#REF!, 0), MATCH(H$4,#REF!, 0))</f>
        <v>#REF!</v>
      </c>
      <c r="I287" s="146" t="e">
        <f>INDEX(#REF!, MATCH($A287,#REF!, 0), MATCH(I$4,#REF!, 0))</f>
        <v>#REF!</v>
      </c>
      <c r="J287" s="146" t="e">
        <f>INDEX(#REF!, MATCH($A287,#REF!, 0), MATCH(J$4,#REF!, 0))</f>
        <v>#REF!</v>
      </c>
      <c r="K287" s="146" t="e">
        <f>INDEX(#REF!, MATCH($A287,#REF!, 0), MATCH(K$4,#REF!, 0))</f>
        <v>#REF!</v>
      </c>
      <c r="L287" s="146" t="e">
        <f>INDEX(#REF!, MATCH($A287,#REF!, 0), MATCH(L$4,#REF!, 0))</f>
        <v>#REF!</v>
      </c>
      <c r="M287" s="146" t="e">
        <f>INDEX(#REF!, MATCH($A287,#REF!, 0), MATCH(M$4,#REF!, 0))</f>
        <v>#REF!</v>
      </c>
      <c r="N287" s="146" t="e">
        <f>INDEX(#REF!, MATCH($A287,#REF!, 0), MATCH(N$4,#REF!, 0))</f>
        <v>#REF!</v>
      </c>
      <c r="O287" s="146" t="e">
        <f>INDEX(#REF!, MATCH($A287,#REF!, 0), MATCH(O$4,#REF!, 0))</f>
        <v>#REF!</v>
      </c>
      <c r="P287" s="146" t="e">
        <f>INDEX(#REF!, MATCH($A287,#REF!, 0), MATCH(P$4,#REF!, 0))</f>
        <v>#REF!</v>
      </c>
      <c r="Q287" s="146" t="e">
        <f>INDEX(#REF!, MATCH($A287,#REF!, 0), MATCH(Q$4,#REF!, 0))</f>
        <v>#REF!</v>
      </c>
      <c r="R287" s="146" t="e">
        <f>INDEX(#REF!, MATCH($A287,#REF!, 0), MATCH(R$4,#REF!, 0))</f>
        <v>#REF!</v>
      </c>
      <c r="S287" s="146" t="e">
        <f>INDEX(#REF!, MATCH($A287,#REF!, 0), MATCH(S$4,#REF!, 0))</f>
        <v>#REF!</v>
      </c>
      <c r="T287" s="146" t="e">
        <f>INDEX(#REF!, MATCH($A287,#REF!, 0), MATCH(T$4,#REF!, 0))</f>
        <v>#REF!</v>
      </c>
      <c r="U287" s="146" t="e">
        <f>INDEX(#REF!, MATCH($A287,#REF!, 0), MATCH(U$4,#REF!, 0))</f>
        <v>#REF!</v>
      </c>
      <c r="V287" s="320" t="e">
        <f>INDEX(#REF!, MATCH($A287,#REF!, 0), MATCH(V$4,#REF!, 0))</f>
        <v>#REF!</v>
      </c>
      <c r="W287" s="146" t="e">
        <f>INDEX(#REF!, MATCH($A287,#REF!, 0), MATCH(W$4,#REF!, 0))</f>
        <v>#REF!</v>
      </c>
      <c r="X287" s="146" t="e">
        <f>INDEX(#REF!, MATCH($A287,#REF!, 0), MATCH(X$4,#REF!, 0))</f>
        <v>#REF!</v>
      </c>
      <c r="Y287" s="146" t="e">
        <f>INDEX(#REF!, MATCH($A287,#REF!, 0), MATCH(Y$4,#REF!, 0))</f>
        <v>#REF!</v>
      </c>
      <c r="Z287" s="146" t="e">
        <f>INDEX(#REF!, MATCH($A287,#REF!, 0), MATCH(Z$4,#REF!, 0))</f>
        <v>#REF!</v>
      </c>
      <c r="AA287" s="146" t="e">
        <f>INDEX(#REF!, MATCH($A287,#REF!, 0), MATCH(AA$4,#REF!, 0))</f>
        <v>#REF!</v>
      </c>
      <c r="AB287" s="146" t="e">
        <f>INDEX(#REF!, MATCH($A287,#REF!, 0), MATCH(AB$4,#REF!, 0))</f>
        <v>#REF!</v>
      </c>
      <c r="AC287" s="320" t="e">
        <f>INDEX(#REF!, MATCH($A287,#REF!, 0), MATCH(AC$4,#REF!, 0))</f>
        <v>#REF!</v>
      </c>
      <c r="AD287" s="146" t="e">
        <f>INDEX(#REF!, MATCH($A287,#REF!, 0), MATCH(AD$4,#REF!, 0))</f>
        <v>#REF!</v>
      </c>
      <c r="AE287" s="146" t="e">
        <f>INDEX(#REF!, MATCH($A287,#REF!, 0), MATCH(AE$4,#REF!, 0))</f>
        <v>#REF!</v>
      </c>
      <c r="AF287" s="146" t="e">
        <f>INDEX(#REF!, MATCH($A287,#REF!, 0), MATCH(AF$4,#REF!, 0))</f>
        <v>#REF!</v>
      </c>
      <c r="AG287" s="146" t="e">
        <f>INDEX(#REF!, MATCH($A287,#REF!, 0), MATCH(AG$4,#REF!, 0))</f>
        <v>#REF!</v>
      </c>
      <c r="AH287" s="146" t="e">
        <f>INDEX(#REF!, MATCH($A287,#REF!, 0), MATCH(AH$4,#REF!, 0))</f>
        <v>#REF!</v>
      </c>
      <c r="AI287" s="146" t="e">
        <f>INDEX(#REF!, MATCH($A287,#REF!, 0), MATCH(AI$4,#REF!, 0))</f>
        <v>#REF!</v>
      </c>
      <c r="AJ287" s="320" t="e">
        <f>INDEX(#REF!, MATCH($A287,#REF!, 0), MATCH(AJ$4,#REF!, 0))</f>
        <v>#REF!</v>
      </c>
      <c r="AK287" s="146" t="e">
        <f>INDEX(#REF!, MATCH($A287,#REF!, 0), MATCH(AK$4,#REF!, 0))</f>
        <v>#REF!</v>
      </c>
      <c r="AL287" s="146" t="e">
        <f>INDEX(#REF!, MATCH($A287,#REF!, 0), MATCH(AL$4,#REF!, 0))</f>
        <v>#REF!</v>
      </c>
      <c r="AM287" s="146" t="e">
        <f>INDEX(#REF!, MATCH($A287,#REF!, 0), MATCH(AM$4,#REF!, 0))</f>
        <v>#REF!</v>
      </c>
      <c r="AN287" s="146" t="e">
        <f>INDEX(#REF!, MATCH($A287,#REF!, 0), MATCH(AN$4,#REF!, 0))</f>
        <v>#REF!</v>
      </c>
      <c r="AO287" s="146" t="e">
        <f>INDEX(#REF!, MATCH($A287,#REF!, 0), MATCH(AO$4,#REF!, 0))</f>
        <v>#REF!</v>
      </c>
      <c r="AP287" s="146" t="e">
        <f>INDEX(#REF!, MATCH($A287,#REF!, 0), MATCH(AP$4,#REF!, 0))</f>
        <v>#REF!</v>
      </c>
      <c r="AQ287" s="320" t="e">
        <f>INDEX(#REF!, MATCH($A287,#REF!, 0), MATCH(AQ$4,#REF!, 0))</f>
        <v>#REF!</v>
      </c>
      <c r="AR287" s="146" t="e">
        <f>INDEX(#REF!, MATCH($A287,#REF!, 0), MATCH(AR$4,#REF!, 0))</f>
        <v>#REF!</v>
      </c>
      <c r="AS287" s="146" t="e">
        <f>INDEX(#REF!, MATCH($A287,#REF!, 0), MATCH(AS$4,#REF!, 0))</f>
        <v>#REF!</v>
      </c>
      <c r="AT287" s="146" t="e">
        <f>INDEX(#REF!, MATCH($A287,#REF!, 0), MATCH(AT$4,#REF!, 0))</f>
        <v>#REF!</v>
      </c>
      <c r="AU287" s="146" t="e">
        <f>INDEX(#REF!, MATCH($A287,#REF!, 0), MATCH(AU$4,#REF!, 0))</f>
        <v>#REF!</v>
      </c>
      <c r="AV287" s="146" t="e">
        <f>INDEX(#REF!, MATCH($A287,#REF!, 0), MATCH(AV$4,#REF!, 0))</f>
        <v>#REF!</v>
      </c>
      <c r="AW287" s="146" t="e">
        <f>INDEX(#REF!, MATCH($A287,#REF!, 0), MATCH(AW$4,#REF!, 0))</f>
        <v>#REF!</v>
      </c>
      <c r="AX287" s="320" t="e">
        <f>INDEX(#REF!, MATCH($A287,#REF!, 0), MATCH(AX$4,#REF!, 0))</f>
        <v>#REF!</v>
      </c>
      <c r="AY287" s="146" t="e">
        <f>INDEX(#REF!, MATCH($A287,#REF!, 0), MATCH(AY$4,#REF!, 0))</f>
        <v>#REF!</v>
      </c>
      <c r="AZ287" s="146" t="e">
        <f>INDEX(#REF!, MATCH($A287,#REF!, 0), MATCH(AZ$4,#REF!, 0))</f>
        <v>#REF!</v>
      </c>
      <c r="BA287" s="146" t="e">
        <f>INDEX(#REF!, MATCH($A287,#REF!, 0), MATCH(BA$4,#REF!, 0))</f>
        <v>#REF!</v>
      </c>
      <c r="BB287" s="146" t="e">
        <f>INDEX(#REF!, MATCH($A287,#REF!, 0), MATCH(BB$4,#REF!, 0))</f>
        <v>#REF!</v>
      </c>
      <c r="BC287" s="146" t="e">
        <f>INDEX(#REF!, MATCH($A287,#REF!, 0), MATCH(BC$4,#REF!, 0))</f>
        <v>#REF!</v>
      </c>
      <c r="BD287" s="364" t="e">
        <f>INDEX(#REF!, MATCH($A287,#REF!, 0), MATCH(BD$4,#REF!, 0))</f>
        <v>#REF!</v>
      </c>
      <c r="BE287" s="320" t="e">
        <f>INDEX(#REF!, MATCH($A287,#REF!, 0), MATCH(BE$4,#REF!, 0))</f>
        <v>#REF!</v>
      </c>
      <c r="BF287" s="146" t="e">
        <f>INDEX(#REF!, MATCH($A287,#REF!, 0), MATCH(BF$4,#REF!, 0))</f>
        <v>#REF!</v>
      </c>
      <c r="BG287" s="146" t="e">
        <f>INDEX(#REF!, MATCH($A287,#REF!, 0), MATCH(BG$4,#REF!, 0))</f>
        <v>#REF!</v>
      </c>
      <c r="BH287" s="146" t="e">
        <f>INDEX(#REF!, MATCH($A287,#REF!, 0), MATCH(BH$4,#REF!, 0))</f>
        <v>#REF!</v>
      </c>
      <c r="BI287" s="146" t="e">
        <f>INDEX(#REF!, MATCH($A287,#REF!, 0), MATCH(BI$4,#REF!, 0))</f>
        <v>#REF!</v>
      </c>
      <c r="BJ287" s="146" t="e">
        <f>INDEX(#REF!, MATCH($A287,#REF!, 0), MATCH(BJ$4,#REF!, 0))</f>
        <v>#REF!</v>
      </c>
      <c r="BK287" s="364" t="e">
        <f>INDEX(#REF!, MATCH($A287,#REF!, 0), MATCH(BK$4,#REF!, 0))</f>
        <v>#REF!</v>
      </c>
      <c r="BL287" s="150">
        <f t="shared" ref="BL287:BR287" si="824">BL288*BL289*(1-BL290)</f>
        <v>0</v>
      </c>
      <c r="BM287" s="150">
        <f t="shared" si="824"/>
        <v>0</v>
      </c>
      <c r="BN287" s="150">
        <f t="shared" si="824"/>
        <v>0</v>
      </c>
      <c r="BO287" s="150">
        <f t="shared" si="824"/>
        <v>0</v>
      </c>
      <c r="BP287" s="150">
        <f t="shared" si="824"/>
        <v>0</v>
      </c>
      <c r="BQ287" s="150">
        <f t="shared" si="824"/>
        <v>0</v>
      </c>
      <c r="BR287" s="150">
        <f t="shared" si="824"/>
        <v>0</v>
      </c>
      <c r="BT287" s="121"/>
    </row>
    <row r="288" spans="1:91" ht="12.6" hidden="1">
      <c r="A288" s="130"/>
      <c r="B288" s="181" t="s">
        <v>138</v>
      </c>
      <c r="C288" s="218"/>
      <c r="D288" s="165"/>
      <c r="E288" s="165"/>
      <c r="F288" s="165"/>
      <c r="G288" s="165"/>
      <c r="H288" s="165"/>
      <c r="I288" s="165"/>
      <c r="J288" s="165"/>
      <c r="K288" s="165"/>
      <c r="L288" s="165"/>
      <c r="M288" s="165"/>
      <c r="N288" s="165"/>
      <c r="O288" s="165"/>
      <c r="P288" s="165"/>
      <c r="Q288" s="165"/>
      <c r="R288" s="165"/>
      <c r="S288" s="165"/>
      <c r="T288" s="165"/>
      <c r="U288" s="165"/>
      <c r="V288" s="336"/>
      <c r="W288" s="165"/>
      <c r="X288" s="165"/>
      <c r="Y288" s="165"/>
      <c r="Z288" s="165"/>
      <c r="AA288" s="165"/>
      <c r="AB288" s="165"/>
      <c r="AC288" s="336"/>
      <c r="AD288" s="165"/>
      <c r="AE288" s="165"/>
      <c r="AF288" s="165"/>
      <c r="AG288" s="165"/>
      <c r="AH288" s="165"/>
      <c r="AI288" s="165"/>
      <c r="AJ288" s="336"/>
      <c r="AK288" s="165"/>
      <c r="AL288" s="165"/>
      <c r="AM288" s="165"/>
      <c r="AN288" s="165"/>
      <c r="AO288" s="165"/>
      <c r="AP288" s="165"/>
      <c r="AQ288" s="336"/>
      <c r="AR288" s="165"/>
      <c r="AS288" s="165"/>
      <c r="AT288" s="165"/>
      <c r="AU288" s="165"/>
      <c r="AV288" s="165"/>
      <c r="AW288" s="165"/>
      <c r="AX288" s="336"/>
      <c r="AY288" s="165"/>
      <c r="AZ288" s="165"/>
      <c r="BA288" s="165"/>
      <c r="BB288" s="165"/>
      <c r="BC288" s="165"/>
      <c r="BD288" s="379"/>
      <c r="BE288" s="336"/>
      <c r="BF288" s="165"/>
      <c r="BG288" s="165"/>
      <c r="BH288" s="165"/>
      <c r="BI288" s="165"/>
      <c r="BJ288" s="165"/>
      <c r="BK288" s="379"/>
      <c r="BL288" s="165"/>
      <c r="BM288" s="165"/>
      <c r="BN288" s="165"/>
      <c r="BO288" s="165"/>
      <c r="BP288" s="165"/>
      <c r="BQ288" s="165"/>
      <c r="BR288" s="165"/>
      <c r="BT288" s="121"/>
    </row>
    <row r="289" spans="1:91" s="86" customFormat="1" ht="12.6" hidden="1">
      <c r="A289" s="185"/>
      <c r="B289" s="181" t="s">
        <v>139</v>
      </c>
      <c r="C289" s="218"/>
      <c r="D289" s="165"/>
      <c r="E289" s="165"/>
      <c r="F289" s="165"/>
      <c r="G289" s="165"/>
      <c r="H289" s="165"/>
      <c r="I289" s="165"/>
      <c r="J289" s="165"/>
      <c r="K289" s="165"/>
      <c r="L289" s="165"/>
      <c r="M289" s="165"/>
      <c r="N289" s="165"/>
      <c r="O289" s="165"/>
      <c r="P289" s="165"/>
      <c r="Q289" s="165"/>
      <c r="R289" s="165"/>
      <c r="S289" s="165"/>
      <c r="T289" s="165"/>
      <c r="U289" s="165"/>
      <c r="V289" s="336"/>
      <c r="W289" s="165"/>
      <c r="X289" s="165"/>
      <c r="Y289" s="165"/>
      <c r="Z289" s="165"/>
      <c r="AA289" s="165"/>
      <c r="AB289" s="165"/>
      <c r="AC289" s="336"/>
      <c r="AD289" s="165"/>
      <c r="AE289" s="165"/>
      <c r="AF289" s="165"/>
      <c r="AG289" s="165"/>
      <c r="AH289" s="165"/>
      <c r="AI289" s="165"/>
      <c r="AJ289" s="336"/>
      <c r="AK289" s="165"/>
      <c r="AL289" s="165"/>
      <c r="AM289" s="165"/>
      <c r="AN289" s="165"/>
      <c r="AO289" s="165"/>
      <c r="AP289" s="165"/>
      <c r="AQ289" s="336"/>
      <c r="AR289" s="165"/>
      <c r="AS289" s="165"/>
      <c r="AT289" s="165"/>
      <c r="AU289" s="165"/>
      <c r="AV289" s="165"/>
      <c r="AW289" s="165"/>
      <c r="AX289" s="336"/>
      <c r="AY289" s="165"/>
      <c r="AZ289" s="165"/>
      <c r="BA289" s="165"/>
      <c r="BB289" s="165"/>
      <c r="BC289" s="165"/>
      <c r="BD289" s="379"/>
      <c r="BE289" s="336"/>
      <c r="BF289" s="165"/>
      <c r="BG289" s="165"/>
      <c r="BH289" s="165"/>
      <c r="BI289" s="165"/>
      <c r="BJ289" s="165"/>
      <c r="BK289" s="379"/>
      <c r="BL289" s="165"/>
      <c r="BM289" s="165"/>
      <c r="BN289" s="165"/>
      <c r="BO289" s="165"/>
      <c r="BP289" s="165"/>
      <c r="BQ289" s="165"/>
      <c r="BR289" s="165"/>
      <c r="BS289" s="125"/>
      <c r="BT289" s="129"/>
      <c r="BU289" s="125"/>
      <c r="BV289" s="125"/>
      <c r="BW289" s="125"/>
      <c r="BX289" s="125"/>
      <c r="BY289" s="125"/>
      <c r="BZ289" s="125"/>
      <c r="CA289" s="125"/>
      <c r="CB289" s="125"/>
      <c r="CC289" s="125"/>
      <c r="CD289" s="125"/>
      <c r="CE289" s="125"/>
      <c r="CF289" s="125"/>
      <c r="CG289" s="125"/>
      <c r="CH289" s="125"/>
      <c r="CI289" s="125"/>
      <c r="CJ289" s="125"/>
      <c r="CK289" s="125"/>
      <c r="CL289" s="125"/>
      <c r="CM289" s="125"/>
    </row>
    <row r="290" spans="1:91" ht="12.6" hidden="1">
      <c r="A290" s="130"/>
      <c r="B290" s="181" t="s">
        <v>140</v>
      </c>
      <c r="C290" s="218"/>
      <c r="D290" s="133"/>
      <c r="E290" s="133"/>
      <c r="F290" s="133"/>
      <c r="G290" s="133"/>
      <c r="H290" s="133"/>
      <c r="I290" s="133"/>
      <c r="J290" s="133"/>
      <c r="K290" s="133"/>
      <c r="L290" s="133"/>
      <c r="M290" s="133"/>
      <c r="N290" s="133"/>
      <c r="O290" s="133"/>
      <c r="P290" s="133"/>
      <c r="Q290" s="133"/>
      <c r="R290" s="133"/>
      <c r="S290" s="133"/>
      <c r="T290" s="133"/>
      <c r="U290" s="133"/>
      <c r="V290" s="348"/>
      <c r="W290" s="133"/>
      <c r="X290" s="133"/>
      <c r="Y290" s="133"/>
      <c r="Z290" s="133"/>
      <c r="AA290" s="133"/>
      <c r="AB290" s="133"/>
      <c r="AC290" s="348"/>
      <c r="AD290" s="133"/>
      <c r="AE290" s="133"/>
      <c r="AF290" s="133"/>
      <c r="AG290" s="133"/>
      <c r="AH290" s="133"/>
      <c r="AI290" s="133"/>
      <c r="AJ290" s="348"/>
      <c r="AK290" s="133"/>
      <c r="AL290" s="133"/>
      <c r="AM290" s="133"/>
      <c r="AN290" s="133"/>
      <c r="AO290" s="133"/>
      <c r="AP290" s="133"/>
      <c r="AQ290" s="348"/>
      <c r="AR290" s="133"/>
      <c r="AS290" s="133"/>
      <c r="AT290" s="133"/>
      <c r="AU290" s="133"/>
      <c r="AV290" s="133"/>
      <c r="AW290" s="133"/>
      <c r="AX290" s="348"/>
      <c r="AY290" s="133"/>
      <c r="AZ290" s="133"/>
      <c r="BA290" s="133"/>
      <c r="BB290" s="133"/>
      <c r="BC290" s="133"/>
      <c r="BD290" s="390"/>
      <c r="BE290" s="348"/>
      <c r="BF290" s="133"/>
      <c r="BG290" s="133"/>
      <c r="BH290" s="133"/>
      <c r="BI290" s="133"/>
      <c r="BJ290" s="133"/>
      <c r="BK290" s="390"/>
      <c r="BL290" s="133"/>
      <c r="BM290" s="133"/>
      <c r="BN290" s="133"/>
      <c r="BO290" s="133"/>
      <c r="BP290" s="133"/>
      <c r="BQ290" s="133"/>
      <c r="BR290" s="133"/>
      <c r="BT290" s="121"/>
    </row>
    <row r="291" spans="1:91">
      <c r="A291" s="105" t="s">
        <v>211</v>
      </c>
      <c r="B291" s="117" t="s">
        <v>141</v>
      </c>
      <c r="C291" s="117"/>
      <c r="D291" s="146" t="e">
        <f>INDEX(#REF!, MATCH($A291,#REF!, 0), MATCH(D$4,#REF!, 0))</f>
        <v>#REF!</v>
      </c>
      <c r="E291" s="146" t="e">
        <f>INDEX(#REF!, MATCH($A291,#REF!, 0), MATCH(E$4,#REF!, 0))</f>
        <v>#REF!</v>
      </c>
      <c r="F291" s="146" t="e">
        <f>INDEX(#REF!, MATCH($A291,#REF!, 0), MATCH(F$4,#REF!, 0))</f>
        <v>#REF!</v>
      </c>
      <c r="G291" s="146" t="e">
        <f>INDEX(#REF!, MATCH($A291,#REF!, 0), MATCH(G$4,#REF!, 0))</f>
        <v>#REF!</v>
      </c>
      <c r="H291" s="146" t="e">
        <f>INDEX(#REF!, MATCH($A291,#REF!, 0), MATCH(H$4,#REF!, 0))</f>
        <v>#REF!</v>
      </c>
      <c r="I291" s="146" t="e">
        <f>INDEX(#REF!, MATCH($A291,#REF!, 0), MATCH(I$4,#REF!, 0))</f>
        <v>#REF!</v>
      </c>
      <c r="J291" s="146" t="e">
        <f>INDEX(#REF!, MATCH($A291,#REF!, 0), MATCH(J$4,#REF!, 0))</f>
        <v>#REF!</v>
      </c>
      <c r="K291" s="146" t="e">
        <f>INDEX(#REF!, MATCH($A291,#REF!, 0), MATCH(K$4,#REF!, 0))</f>
        <v>#REF!</v>
      </c>
      <c r="L291" s="146" t="e">
        <f>INDEX(#REF!, MATCH($A291,#REF!, 0), MATCH(L$4,#REF!, 0))</f>
        <v>#REF!</v>
      </c>
      <c r="M291" s="146" t="e">
        <f>INDEX(#REF!, MATCH($A291,#REF!, 0), MATCH(M$4,#REF!, 0))</f>
        <v>#REF!</v>
      </c>
      <c r="N291" s="146" t="e">
        <f>INDEX(#REF!, MATCH($A291,#REF!, 0), MATCH(N$4,#REF!, 0))</f>
        <v>#REF!</v>
      </c>
      <c r="O291" s="146" t="e">
        <f>INDEX(#REF!, MATCH($A291,#REF!, 0), MATCH(O$4,#REF!, 0))</f>
        <v>#REF!</v>
      </c>
      <c r="P291" s="146" t="e">
        <f>INDEX(#REF!, MATCH($A291,#REF!, 0), MATCH(P$4,#REF!, 0))</f>
        <v>#REF!</v>
      </c>
      <c r="Q291" s="146" t="e">
        <f>INDEX(#REF!, MATCH($A291,#REF!, 0), MATCH(Q$4,#REF!, 0))</f>
        <v>#REF!</v>
      </c>
      <c r="R291" s="146" t="e">
        <f>INDEX(#REF!, MATCH($A291,#REF!, 0), MATCH(R$4,#REF!, 0))</f>
        <v>#REF!</v>
      </c>
      <c r="S291" s="146" t="e">
        <f>INDEX(#REF!, MATCH($A291,#REF!, 0), MATCH(S$4,#REF!, 0))</f>
        <v>#REF!</v>
      </c>
      <c r="T291" s="146" t="e">
        <f>INDEX(#REF!, MATCH($A291,#REF!, 0), MATCH(T$4,#REF!, 0))</f>
        <v>#REF!</v>
      </c>
      <c r="U291" s="146" t="e">
        <f>INDEX(#REF!, MATCH($A291,#REF!, 0), MATCH(U$4,#REF!, 0))</f>
        <v>#REF!</v>
      </c>
      <c r="V291" s="320" t="e">
        <f>INDEX(#REF!, MATCH($A291,#REF!, 0), MATCH(V$4,#REF!, 0))</f>
        <v>#REF!</v>
      </c>
      <c r="W291" s="146" t="e">
        <f>INDEX(#REF!, MATCH($A291,#REF!, 0), MATCH(W$4,#REF!, 0))</f>
        <v>#REF!</v>
      </c>
      <c r="X291" s="146" t="e">
        <f>INDEX(#REF!, MATCH($A291,#REF!, 0), MATCH(X$4,#REF!, 0))</f>
        <v>#REF!</v>
      </c>
      <c r="Y291" s="146" t="e">
        <f>INDEX(#REF!, MATCH($A291,#REF!, 0), MATCH(Y$4,#REF!, 0))</f>
        <v>#REF!</v>
      </c>
      <c r="Z291" s="146" t="e">
        <f>INDEX(#REF!, MATCH($A291,#REF!, 0), MATCH(Z$4,#REF!, 0))</f>
        <v>#REF!</v>
      </c>
      <c r="AA291" s="146" t="e">
        <f>INDEX(#REF!, MATCH($A291,#REF!, 0), MATCH(AA$4,#REF!, 0))</f>
        <v>#REF!</v>
      </c>
      <c r="AB291" s="146" t="e">
        <f>INDEX(#REF!, MATCH($A291,#REF!, 0), MATCH(AB$4,#REF!, 0))</f>
        <v>#REF!</v>
      </c>
      <c r="AC291" s="320" t="e">
        <f>INDEX(#REF!, MATCH($A291,#REF!, 0), MATCH(AC$4,#REF!, 0))</f>
        <v>#REF!</v>
      </c>
      <c r="AD291" s="146" t="e">
        <f>INDEX(#REF!, MATCH($A291,#REF!, 0), MATCH(AD$4,#REF!, 0))</f>
        <v>#REF!</v>
      </c>
      <c r="AE291" s="146" t="e">
        <f>INDEX(#REF!, MATCH($A291,#REF!, 0), MATCH(AE$4,#REF!, 0))</f>
        <v>#REF!</v>
      </c>
      <c r="AF291" s="146" t="e">
        <f>INDEX(#REF!, MATCH($A291,#REF!, 0), MATCH(AF$4,#REF!, 0))</f>
        <v>#REF!</v>
      </c>
      <c r="AG291" s="146" t="e">
        <f>INDEX(#REF!, MATCH($A291,#REF!, 0), MATCH(AG$4,#REF!, 0))</f>
        <v>#REF!</v>
      </c>
      <c r="AH291" s="146" t="e">
        <f>INDEX(#REF!, MATCH($A291,#REF!, 0), MATCH(AH$4,#REF!, 0))</f>
        <v>#REF!</v>
      </c>
      <c r="AI291" s="146" t="e">
        <f>INDEX(#REF!, MATCH($A291,#REF!, 0), MATCH(AI$4,#REF!, 0))</f>
        <v>#REF!</v>
      </c>
      <c r="AJ291" s="320" t="e">
        <f>INDEX(#REF!, MATCH($A291,#REF!, 0), MATCH(AJ$4,#REF!, 0))</f>
        <v>#REF!</v>
      </c>
      <c r="AK291" s="146" t="e">
        <f>INDEX(#REF!, MATCH($A291,#REF!, 0), MATCH(AK$4,#REF!, 0))</f>
        <v>#REF!</v>
      </c>
      <c r="AL291" s="146" t="e">
        <f>INDEX(#REF!, MATCH($A291,#REF!, 0), MATCH(AL$4,#REF!, 0))</f>
        <v>#REF!</v>
      </c>
      <c r="AM291" s="146" t="e">
        <f>INDEX(#REF!, MATCH($A291,#REF!, 0), MATCH(AM$4,#REF!, 0))</f>
        <v>#REF!</v>
      </c>
      <c r="AN291" s="146" t="e">
        <f>INDEX(#REF!, MATCH($A291,#REF!, 0), MATCH(AN$4,#REF!, 0))</f>
        <v>#REF!</v>
      </c>
      <c r="AO291" s="146" t="e">
        <f>INDEX(#REF!, MATCH($A291,#REF!, 0), MATCH(AO$4,#REF!, 0))</f>
        <v>#REF!</v>
      </c>
      <c r="AP291" s="146" t="e">
        <f>INDEX(#REF!, MATCH($A291,#REF!, 0), MATCH(AP$4,#REF!, 0))</f>
        <v>#REF!</v>
      </c>
      <c r="AQ291" s="320" t="e">
        <f>INDEX(#REF!, MATCH($A291,#REF!, 0), MATCH(AQ$4,#REF!, 0))</f>
        <v>#REF!</v>
      </c>
      <c r="AR291" s="146" t="e">
        <f>INDEX(#REF!, MATCH($A291,#REF!, 0), MATCH(AR$4,#REF!, 0))</f>
        <v>#REF!</v>
      </c>
      <c r="AS291" s="146" t="e">
        <f>INDEX(#REF!, MATCH($A291,#REF!, 0), MATCH(AS$4,#REF!, 0))</f>
        <v>#REF!</v>
      </c>
      <c r="AT291" s="146" t="e">
        <f>INDEX(#REF!, MATCH($A291,#REF!, 0), MATCH(AT$4,#REF!, 0))</f>
        <v>#REF!</v>
      </c>
      <c r="AU291" s="146" t="e">
        <f>INDEX(#REF!, MATCH($A291,#REF!, 0), MATCH(AU$4,#REF!, 0))</f>
        <v>#REF!</v>
      </c>
      <c r="AV291" s="146" t="e">
        <f>INDEX(#REF!, MATCH($A291,#REF!, 0), MATCH(AV$4,#REF!, 0))</f>
        <v>#REF!</v>
      </c>
      <c r="AW291" s="146" t="e">
        <f>INDEX(#REF!, MATCH($A291,#REF!, 0), MATCH(AW$4,#REF!, 0))</f>
        <v>#REF!</v>
      </c>
      <c r="AX291" s="320" t="e">
        <f>INDEX(#REF!, MATCH($A291,#REF!, 0), MATCH(AX$4,#REF!, 0))</f>
        <v>#REF!</v>
      </c>
      <c r="AY291" s="146" t="e">
        <f>INDEX(#REF!, MATCH($A291,#REF!, 0), MATCH(AY$4,#REF!, 0))</f>
        <v>#REF!</v>
      </c>
      <c r="AZ291" s="146" t="e">
        <f>INDEX(#REF!, MATCH($A291,#REF!, 0), MATCH(AZ$4,#REF!, 0))</f>
        <v>#REF!</v>
      </c>
      <c r="BA291" s="146" t="e">
        <f>INDEX(#REF!, MATCH($A291,#REF!, 0), MATCH(BA$4,#REF!, 0))</f>
        <v>#REF!</v>
      </c>
      <c r="BB291" s="146" t="e">
        <f>INDEX(#REF!, MATCH($A291,#REF!, 0), MATCH(BB$4,#REF!, 0))</f>
        <v>#REF!</v>
      </c>
      <c r="BC291" s="146" t="e">
        <f>INDEX(#REF!, MATCH($A291,#REF!, 0), MATCH(BC$4,#REF!, 0))</f>
        <v>#REF!</v>
      </c>
      <c r="BD291" s="364" t="e">
        <f>INDEX(#REF!, MATCH($A291,#REF!, 0), MATCH(BD$4,#REF!, 0))</f>
        <v>#REF!</v>
      </c>
      <c r="BE291" s="320" t="e">
        <f>INDEX(#REF!, MATCH($A291,#REF!, 0), MATCH(BE$4,#REF!, 0))</f>
        <v>#REF!</v>
      </c>
      <c r="BF291" s="146" t="e">
        <f>INDEX(#REF!, MATCH($A291,#REF!, 0), MATCH(BF$4,#REF!, 0))</f>
        <v>#REF!</v>
      </c>
      <c r="BG291" s="146" t="e">
        <f>INDEX(#REF!, MATCH($A291,#REF!, 0), MATCH(BG$4,#REF!, 0))</f>
        <v>#REF!</v>
      </c>
      <c r="BH291" s="146" t="e">
        <f>INDEX(#REF!, MATCH($A291,#REF!, 0), MATCH(BH$4,#REF!, 0))</f>
        <v>#REF!</v>
      </c>
      <c r="BI291" s="146" t="e">
        <f>INDEX(#REF!, MATCH($A291,#REF!, 0), MATCH(BI$4,#REF!, 0))</f>
        <v>#REF!</v>
      </c>
      <c r="BJ291" s="146" t="e">
        <f>INDEX(#REF!, MATCH($A291,#REF!, 0), MATCH(BJ$4,#REF!, 0))</f>
        <v>#REF!</v>
      </c>
      <c r="BK291" s="364" t="e">
        <f>INDEX(#REF!, MATCH($A291,#REF!, 0), MATCH(BK$4,#REF!, 0))</f>
        <v>#REF!</v>
      </c>
      <c r="BL291" s="165">
        <v>0</v>
      </c>
      <c r="BM291" s="165">
        <v>0</v>
      </c>
      <c r="BN291" s="165">
        <v>0</v>
      </c>
      <c r="BO291" s="165">
        <v>0</v>
      </c>
      <c r="BP291" s="165">
        <v>0</v>
      </c>
      <c r="BQ291" s="165">
        <v>0</v>
      </c>
      <c r="BR291" s="165">
        <v>0</v>
      </c>
      <c r="BT291" s="121"/>
    </row>
    <row r="292" spans="1:91">
      <c r="A292" s="105" t="s">
        <v>210</v>
      </c>
      <c r="B292" s="117" t="s">
        <v>142</v>
      </c>
      <c r="C292" s="117"/>
      <c r="D292" s="146" t="e">
        <f>INDEX(#REF!, MATCH($A292,#REF!, 0), MATCH(D$4,#REF!, 0))</f>
        <v>#REF!</v>
      </c>
      <c r="E292" s="146" t="e">
        <f>INDEX(#REF!, MATCH($A292,#REF!, 0), MATCH(E$4,#REF!, 0))</f>
        <v>#REF!</v>
      </c>
      <c r="F292" s="146" t="e">
        <f>INDEX(#REF!, MATCH($A292,#REF!, 0), MATCH(F$4,#REF!, 0))</f>
        <v>#REF!</v>
      </c>
      <c r="G292" s="146" t="e">
        <f>INDEX(#REF!, MATCH($A292,#REF!, 0), MATCH(G$4,#REF!, 0))</f>
        <v>#REF!</v>
      </c>
      <c r="H292" s="146" t="e">
        <f>INDEX(#REF!, MATCH($A292,#REF!, 0), MATCH(H$4,#REF!, 0))</f>
        <v>#REF!</v>
      </c>
      <c r="I292" s="146" t="e">
        <f>INDEX(#REF!, MATCH($A292,#REF!, 0), MATCH(I$4,#REF!, 0))</f>
        <v>#REF!</v>
      </c>
      <c r="J292" s="146" t="e">
        <f>INDEX(#REF!, MATCH($A292,#REF!, 0), MATCH(J$4,#REF!, 0))</f>
        <v>#REF!</v>
      </c>
      <c r="K292" s="146" t="e">
        <f>INDEX(#REF!, MATCH($A292,#REF!, 0), MATCH(K$4,#REF!, 0))</f>
        <v>#REF!</v>
      </c>
      <c r="L292" s="146" t="e">
        <f>INDEX(#REF!, MATCH($A292,#REF!, 0), MATCH(L$4,#REF!, 0))</f>
        <v>#REF!</v>
      </c>
      <c r="M292" s="146" t="e">
        <f>INDEX(#REF!, MATCH($A292,#REF!, 0), MATCH(M$4,#REF!, 0))</f>
        <v>#REF!</v>
      </c>
      <c r="N292" s="146" t="e">
        <f>INDEX(#REF!, MATCH($A292,#REF!, 0), MATCH(N$4,#REF!, 0))</f>
        <v>#REF!</v>
      </c>
      <c r="O292" s="146" t="e">
        <f>INDEX(#REF!, MATCH($A292,#REF!, 0), MATCH(O$4,#REF!, 0))</f>
        <v>#REF!</v>
      </c>
      <c r="P292" s="146" t="e">
        <f>INDEX(#REF!, MATCH($A292,#REF!, 0), MATCH(P$4,#REF!, 0))</f>
        <v>#REF!</v>
      </c>
      <c r="Q292" s="146" t="e">
        <f>INDEX(#REF!, MATCH($A292,#REF!, 0), MATCH(Q$4,#REF!, 0))</f>
        <v>#REF!</v>
      </c>
      <c r="R292" s="146" t="e">
        <f>INDEX(#REF!, MATCH($A292,#REF!, 0), MATCH(R$4,#REF!, 0))</f>
        <v>#REF!</v>
      </c>
      <c r="S292" s="146" t="e">
        <f>INDEX(#REF!, MATCH($A292,#REF!, 0), MATCH(S$4,#REF!, 0))</f>
        <v>#REF!</v>
      </c>
      <c r="T292" s="146" t="e">
        <f>INDEX(#REF!, MATCH($A292,#REF!, 0), MATCH(T$4,#REF!, 0))</f>
        <v>#REF!</v>
      </c>
      <c r="U292" s="146" t="e">
        <f>INDEX(#REF!, MATCH($A292,#REF!, 0), MATCH(U$4,#REF!, 0))</f>
        <v>#REF!</v>
      </c>
      <c r="V292" s="320" t="e">
        <f>INDEX(#REF!, MATCH($A292,#REF!, 0), MATCH(V$4,#REF!, 0))</f>
        <v>#REF!</v>
      </c>
      <c r="W292" s="146" t="e">
        <f>INDEX(#REF!, MATCH($A292,#REF!, 0), MATCH(W$4,#REF!, 0))</f>
        <v>#REF!</v>
      </c>
      <c r="X292" s="146" t="e">
        <f>INDEX(#REF!, MATCH($A292,#REF!, 0), MATCH(X$4,#REF!, 0))</f>
        <v>#REF!</v>
      </c>
      <c r="Y292" s="146" t="e">
        <f>INDEX(#REF!, MATCH($A292,#REF!, 0), MATCH(Y$4,#REF!, 0))</f>
        <v>#REF!</v>
      </c>
      <c r="Z292" s="146" t="e">
        <f>INDEX(#REF!, MATCH($A292,#REF!, 0), MATCH(Z$4,#REF!, 0))</f>
        <v>#REF!</v>
      </c>
      <c r="AA292" s="146" t="e">
        <f>INDEX(#REF!, MATCH($A292,#REF!, 0), MATCH(AA$4,#REF!, 0))</f>
        <v>#REF!</v>
      </c>
      <c r="AB292" s="146" t="e">
        <f>INDEX(#REF!, MATCH($A292,#REF!, 0), MATCH(AB$4,#REF!, 0))</f>
        <v>#REF!</v>
      </c>
      <c r="AC292" s="320" t="e">
        <f>INDEX(#REF!, MATCH($A292,#REF!, 0), MATCH(AC$4,#REF!, 0))</f>
        <v>#REF!</v>
      </c>
      <c r="AD292" s="146" t="e">
        <f>INDEX(#REF!, MATCH($A292,#REF!, 0), MATCH(AD$4,#REF!, 0))</f>
        <v>#REF!</v>
      </c>
      <c r="AE292" s="146" t="e">
        <f>INDEX(#REF!, MATCH($A292,#REF!, 0), MATCH(AE$4,#REF!, 0))</f>
        <v>#REF!</v>
      </c>
      <c r="AF292" s="146" t="e">
        <f>INDEX(#REF!, MATCH($A292,#REF!, 0), MATCH(AF$4,#REF!, 0))</f>
        <v>#REF!</v>
      </c>
      <c r="AG292" s="146" t="e">
        <f>INDEX(#REF!, MATCH($A292,#REF!, 0), MATCH(AG$4,#REF!, 0))</f>
        <v>#REF!</v>
      </c>
      <c r="AH292" s="146" t="e">
        <f>INDEX(#REF!, MATCH($A292,#REF!, 0), MATCH(AH$4,#REF!, 0))</f>
        <v>#REF!</v>
      </c>
      <c r="AI292" s="146" t="e">
        <f>INDEX(#REF!, MATCH($A292,#REF!, 0), MATCH(AI$4,#REF!, 0))</f>
        <v>#REF!</v>
      </c>
      <c r="AJ292" s="320" t="e">
        <f>INDEX(#REF!, MATCH($A292,#REF!, 0), MATCH(AJ$4,#REF!, 0))</f>
        <v>#REF!</v>
      </c>
      <c r="AK292" s="146" t="e">
        <f>INDEX(#REF!, MATCH($A292,#REF!, 0), MATCH(AK$4,#REF!, 0))</f>
        <v>#REF!</v>
      </c>
      <c r="AL292" s="146" t="e">
        <f>INDEX(#REF!, MATCH($A292,#REF!, 0), MATCH(AL$4,#REF!, 0))</f>
        <v>#REF!</v>
      </c>
      <c r="AM292" s="146" t="e">
        <f>INDEX(#REF!, MATCH($A292,#REF!, 0), MATCH(AM$4,#REF!, 0))</f>
        <v>#REF!</v>
      </c>
      <c r="AN292" s="146" t="e">
        <f>INDEX(#REF!, MATCH($A292,#REF!, 0), MATCH(AN$4,#REF!, 0))</f>
        <v>#REF!</v>
      </c>
      <c r="AO292" s="146" t="e">
        <f>INDEX(#REF!, MATCH($A292,#REF!, 0), MATCH(AO$4,#REF!, 0))</f>
        <v>#REF!</v>
      </c>
      <c r="AP292" s="146" t="e">
        <f>INDEX(#REF!, MATCH($A292,#REF!, 0), MATCH(AP$4,#REF!, 0))</f>
        <v>#REF!</v>
      </c>
      <c r="AQ292" s="320" t="e">
        <f>INDEX(#REF!, MATCH($A292,#REF!, 0), MATCH(AQ$4,#REF!, 0))</f>
        <v>#REF!</v>
      </c>
      <c r="AR292" s="146" t="e">
        <f>INDEX(#REF!, MATCH($A292,#REF!, 0), MATCH(AR$4,#REF!, 0))</f>
        <v>#REF!</v>
      </c>
      <c r="AS292" s="146" t="e">
        <f>INDEX(#REF!, MATCH($A292,#REF!, 0), MATCH(AS$4,#REF!, 0))</f>
        <v>#REF!</v>
      </c>
      <c r="AT292" s="146" t="e">
        <f>INDEX(#REF!, MATCH($A292,#REF!, 0), MATCH(AT$4,#REF!, 0))</f>
        <v>#REF!</v>
      </c>
      <c r="AU292" s="146" t="e">
        <f>INDEX(#REF!, MATCH($A292,#REF!, 0), MATCH(AU$4,#REF!, 0))</f>
        <v>#REF!</v>
      </c>
      <c r="AV292" s="146" t="e">
        <f>INDEX(#REF!, MATCH($A292,#REF!, 0), MATCH(AV$4,#REF!, 0))</f>
        <v>#REF!</v>
      </c>
      <c r="AW292" s="146" t="e">
        <f>INDEX(#REF!, MATCH($A292,#REF!, 0), MATCH(AW$4,#REF!, 0))</f>
        <v>#REF!</v>
      </c>
      <c r="AX292" s="320" t="e">
        <f>INDEX(#REF!, MATCH($A292,#REF!, 0), MATCH(AX$4,#REF!, 0))</f>
        <v>#REF!</v>
      </c>
      <c r="AY292" s="146" t="e">
        <f>INDEX(#REF!, MATCH($A292,#REF!, 0), MATCH(AY$4,#REF!, 0))</f>
        <v>#REF!</v>
      </c>
      <c r="AZ292" s="146" t="e">
        <f>INDEX(#REF!, MATCH($A292,#REF!, 0), MATCH(AZ$4,#REF!, 0))</f>
        <v>#REF!</v>
      </c>
      <c r="BA292" s="146" t="e">
        <f>INDEX(#REF!, MATCH($A292,#REF!, 0), MATCH(BA$4,#REF!, 0))</f>
        <v>#REF!</v>
      </c>
      <c r="BB292" s="146" t="e">
        <f>INDEX(#REF!, MATCH($A292,#REF!, 0), MATCH(BB$4,#REF!, 0))</f>
        <v>#REF!</v>
      </c>
      <c r="BC292" s="146" t="e">
        <f>INDEX(#REF!, MATCH($A292,#REF!, 0), MATCH(BC$4,#REF!, 0))</f>
        <v>#REF!</v>
      </c>
      <c r="BD292" s="364" t="e">
        <f>INDEX(#REF!, MATCH($A292,#REF!, 0), MATCH(BD$4,#REF!, 0))</f>
        <v>#REF!</v>
      </c>
      <c r="BE292" s="320" t="e">
        <f>INDEX(#REF!, MATCH($A292,#REF!, 0), MATCH(BE$4,#REF!, 0))</f>
        <v>#REF!</v>
      </c>
      <c r="BF292" s="146" t="e">
        <f>INDEX(#REF!, MATCH($A292,#REF!, 0), MATCH(BF$4,#REF!, 0))</f>
        <v>#REF!</v>
      </c>
      <c r="BG292" s="146" t="e">
        <f>INDEX(#REF!, MATCH($A292,#REF!, 0), MATCH(BG$4,#REF!, 0))</f>
        <v>#REF!</v>
      </c>
      <c r="BH292" s="146" t="e">
        <f>INDEX(#REF!, MATCH($A292,#REF!, 0), MATCH(BH$4,#REF!, 0))</f>
        <v>#REF!</v>
      </c>
      <c r="BI292" s="146" t="e">
        <f>INDEX(#REF!, MATCH($A292,#REF!, 0), MATCH(BI$4,#REF!, 0))</f>
        <v>#REF!</v>
      </c>
      <c r="BJ292" s="146" t="e">
        <f>INDEX(#REF!, MATCH($A292,#REF!, 0), MATCH(BJ$4,#REF!, 0))</f>
        <v>#REF!</v>
      </c>
      <c r="BK292" s="364" t="e">
        <f>INDEX(#REF!, MATCH($A292,#REF!, 0), MATCH(BK$4,#REF!, 0))</f>
        <v>#REF!</v>
      </c>
      <c r="BL292" s="165">
        <f>0</f>
        <v>0</v>
      </c>
      <c r="BM292" s="165">
        <f>0</f>
        <v>0</v>
      </c>
      <c r="BN292" s="165">
        <f>0</f>
        <v>0</v>
      </c>
      <c r="BO292" s="165">
        <f>0</f>
        <v>0</v>
      </c>
      <c r="BP292" s="165">
        <f>0</f>
        <v>0</v>
      </c>
      <c r="BQ292" s="165">
        <f>0</f>
        <v>0</v>
      </c>
      <c r="BR292" s="165">
        <f>0</f>
        <v>0</v>
      </c>
      <c r="BT292" s="121"/>
    </row>
    <row r="293" spans="1:91">
      <c r="A293" s="219" t="s">
        <v>259</v>
      </c>
      <c r="B293" s="117" t="s">
        <v>106</v>
      </c>
      <c r="C293" s="117"/>
      <c r="D293" s="146" t="e">
        <f>INDEX(#REF!, MATCH($A293,#REF!, 0), MATCH(D$4,#REF!, 0))</f>
        <v>#REF!</v>
      </c>
      <c r="E293" s="146" t="e">
        <f>INDEX(#REF!, MATCH($A293,#REF!, 0), MATCH(E$4,#REF!, 0))</f>
        <v>#REF!</v>
      </c>
      <c r="F293" s="146" t="e">
        <f>INDEX(#REF!, MATCH($A293,#REF!, 0), MATCH(F$4,#REF!, 0))</f>
        <v>#REF!</v>
      </c>
      <c r="G293" s="146" t="e">
        <f>INDEX(#REF!, MATCH($A293,#REF!, 0), MATCH(G$4,#REF!, 0))</f>
        <v>#REF!</v>
      </c>
      <c r="H293" s="146" t="e">
        <f>INDEX(#REF!, MATCH($A293,#REF!, 0), MATCH(H$4,#REF!, 0))</f>
        <v>#REF!</v>
      </c>
      <c r="I293" s="146" t="e">
        <f>INDEX(#REF!, MATCH($A293,#REF!, 0), MATCH(I$4,#REF!, 0))</f>
        <v>#REF!</v>
      </c>
      <c r="J293" s="146" t="e">
        <f>INDEX(#REF!, MATCH($A293,#REF!, 0), MATCH(J$4,#REF!, 0))</f>
        <v>#REF!</v>
      </c>
      <c r="K293" s="146" t="e">
        <f>INDEX(#REF!, MATCH($A293,#REF!, 0), MATCH(K$4,#REF!, 0))</f>
        <v>#REF!</v>
      </c>
      <c r="L293" s="146" t="e">
        <f>INDEX(#REF!, MATCH($A293,#REF!, 0), MATCH(L$4,#REF!, 0))</f>
        <v>#REF!</v>
      </c>
      <c r="M293" s="146" t="e">
        <f>INDEX(#REF!, MATCH($A293,#REF!, 0), MATCH(M$4,#REF!, 0))</f>
        <v>#REF!</v>
      </c>
      <c r="N293" s="146" t="e">
        <f>INDEX(#REF!, MATCH($A293,#REF!, 0), MATCH(N$4,#REF!, 0))</f>
        <v>#REF!</v>
      </c>
      <c r="O293" s="146" t="e">
        <f>INDEX(#REF!, MATCH($A293,#REF!, 0), MATCH(O$4,#REF!, 0))</f>
        <v>#REF!</v>
      </c>
      <c r="P293" s="146" t="e">
        <f>INDEX(#REF!, MATCH($A293,#REF!, 0), MATCH(P$4,#REF!, 0))</f>
        <v>#REF!</v>
      </c>
      <c r="Q293" s="146" t="e">
        <f>INDEX(#REF!, MATCH($A293,#REF!, 0), MATCH(Q$4,#REF!, 0))</f>
        <v>#REF!</v>
      </c>
      <c r="R293" s="146" t="e">
        <f>INDEX(#REF!, MATCH($A293,#REF!, 0), MATCH(R$4,#REF!, 0))</f>
        <v>#REF!</v>
      </c>
      <c r="S293" s="146" t="e">
        <f>INDEX(#REF!, MATCH($A293,#REF!, 0), MATCH(S$4,#REF!, 0))</f>
        <v>#REF!</v>
      </c>
      <c r="T293" s="146" t="e">
        <f>INDEX(#REF!, MATCH($A293,#REF!, 0), MATCH(T$4,#REF!, 0))</f>
        <v>#REF!</v>
      </c>
      <c r="U293" s="146" t="e">
        <f>INDEX(#REF!, MATCH($A293,#REF!, 0), MATCH(U$4,#REF!, 0))</f>
        <v>#REF!</v>
      </c>
      <c r="V293" s="320" t="e">
        <f>INDEX(#REF!, MATCH($A293,#REF!, 0), MATCH(V$4,#REF!, 0))</f>
        <v>#REF!</v>
      </c>
      <c r="W293" s="146" t="e">
        <f>INDEX(#REF!, MATCH($A293,#REF!, 0), MATCH(W$4,#REF!, 0))</f>
        <v>#REF!</v>
      </c>
      <c r="X293" s="146" t="e">
        <f>INDEX(#REF!, MATCH($A293,#REF!, 0), MATCH(X$4,#REF!, 0))</f>
        <v>#REF!</v>
      </c>
      <c r="Y293" s="146" t="e">
        <f>INDEX(#REF!, MATCH($A293,#REF!, 0), MATCH(Y$4,#REF!, 0))</f>
        <v>#REF!</v>
      </c>
      <c r="Z293" s="146" t="e">
        <f>INDEX(#REF!, MATCH($A293,#REF!, 0), MATCH(Z$4,#REF!, 0))</f>
        <v>#REF!</v>
      </c>
      <c r="AA293" s="146" t="e">
        <f>INDEX(#REF!, MATCH($A293,#REF!, 0), MATCH(AA$4,#REF!, 0))</f>
        <v>#REF!</v>
      </c>
      <c r="AB293" s="146" t="e">
        <f>INDEX(#REF!, MATCH($A293,#REF!, 0), MATCH(AB$4,#REF!, 0))</f>
        <v>#REF!</v>
      </c>
      <c r="AC293" s="320" t="e">
        <f>INDEX(#REF!, MATCH($A293,#REF!, 0), MATCH(AC$4,#REF!, 0))</f>
        <v>#REF!</v>
      </c>
      <c r="AD293" s="146" t="e">
        <f>INDEX(#REF!, MATCH($A293,#REF!, 0), MATCH(AD$4,#REF!, 0))</f>
        <v>#REF!</v>
      </c>
      <c r="AE293" s="146" t="e">
        <f>INDEX(#REF!, MATCH($A293,#REF!, 0), MATCH(AE$4,#REF!, 0))</f>
        <v>#REF!</v>
      </c>
      <c r="AF293" s="146" t="e">
        <f>INDEX(#REF!, MATCH($A293,#REF!, 0), MATCH(AF$4,#REF!, 0))</f>
        <v>#REF!</v>
      </c>
      <c r="AG293" s="146" t="e">
        <f>INDEX(#REF!, MATCH($A293,#REF!, 0), MATCH(AG$4,#REF!, 0))</f>
        <v>#REF!</v>
      </c>
      <c r="AH293" s="146" t="e">
        <f>INDEX(#REF!, MATCH($A293,#REF!, 0), MATCH(AH$4,#REF!, 0))</f>
        <v>#REF!</v>
      </c>
      <c r="AI293" s="146" t="e">
        <f>INDEX(#REF!, MATCH($A293,#REF!, 0), MATCH(AI$4,#REF!, 0))</f>
        <v>#REF!</v>
      </c>
      <c r="AJ293" s="320" t="e">
        <f>INDEX(#REF!, MATCH($A293,#REF!, 0), MATCH(AJ$4,#REF!, 0))</f>
        <v>#REF!</v>
      </c>
      <c r="AK293" s="146" t="e">
        <f>INDEX(#REF!, MATCH($A293,#REF!, 0), MATCH(AK$4,#REF!, 0))</f>
        <v>#REF!</v>
      </c>
      <c r="AL293" s="146" t="e">
        <f>INDEX(#REF!, MATCH($A293,#REF!, 0), MATCH(AL$4,#REF!, 0))</f>
        <v>#REF!</v>
      </c>
      <c r="AM293" s="146" t="e">
        <f>INDEX(#REF!, MATCH($A293,#REF!, 0), MATCH(AM$4,#REF!, 0))</f>
        <v>#REF!</v>
      </c>
      <c r="AN293" s="146" t="e">
        <f>INDEX(#REF!, MATCH($A293,#REF!, 0), MATCH(AN$4,#REF!, 0))</f>
        <v>#REF!</v>
      </c>
      <c r="AO293" s="146" t="e">
        <f>INDEX(#REF!, MATCH($A293,#REF!, 0), MATCH(AO$4,#REF!, 0))</f>
        <v>#REF!</v>
      </c>
      <c r="AP293" s="146" t="e">
        <f>INDEX(#REF!, MATCH($A293,#REF!, 0), MATCH(AP$4,#REF!, 0))</f>
        <v>#REF!</v>
      </c>
      <c r="AQ293" s="320" t="e">
        <f>INDEX(#REF!, MATCH($A293,#REF!, 0), MATCH(AQ$4,#REF!, 0))</f>
        <v>#REF!</v>
      </c>
      <c r="AR293" s="146" t="e">
        <f>INDEX(#REF!, MATCH($A293,#REF!, 0), MATCH(AR$4,#REF!, 0))</f>
        <v>#REF!</v>
      </c>
      <c r="AS293" s="146" t="e">
        <f>INDEX(#REF!, MATCH($A293,#REF!, 0), MATCH(AS$4,#REF!, 0))</f>
        <v>#REF!</v>
      </c>
      <c r="AT293" s="146" t="e">
        <f>INDEX(#REF!, MATCH($A293,#REF!, 0), MATCH(AT$4,#REF!, 0))</f>
        <v>#REF!</v>
      </c>
      <c r="AU293" s="146" t="e">
        <f>INDEX(#REF!, MATCH($A293,#REF!, 0), MATCH(AU$4,#REF!, 0))</f>
        <v>#REF!</v>
      </c>
      <c r="AV293" s="146" t="e">
        <f>INDEX(#REF!, MATCH($A293,#REF!, 0), MATCH(AV$4,#REF!, 0))</f>
        <v>#REF!</v>
      </c>
      <c r="AW293" s="146" t="e">
        <f>INDEX(#REF!, MATCH($A293,#REF!, 0), MATCH(AW$4,#REF!, 0))</f>
        <v>#REF!</v>
      </c>
      <c r="AX293" s="320" t="e">
        <f>INDEX(#REF!, MATCH($A293,#REF!, 0), MATCH(AX$4,#REF!, 0))</f>
        <v>#REF!</v>
      </c>
      <c r="AY293" s="146" t="e">
        <f>INDEX(#REF!, MATCH($A293,#REF!, 0), MATCH(AY$4,#REF!, 0))</f>
        <v>#REF!</v>
      </c>
      <c r="AZ293" s="146" t="e">
        <f>INDEX(#REF!, MATCH($A293,#REF!, 0), MATCH(AZ$4,#REF!, 0))</f>
        <v>#REF!</v>
      </c>
      <c r="BA293" s="146" t="e">
        <f>INDEX(#REF!, MATCH($A293,#REF!, 0), MATCH(BA$4,#REF!, 0))</f>
        <v>#REF!</v>
      </c>
      <c r="BB293" s="146" t="e">
        <f>INDEX(#REF!, MATCH($A293,#REF!, 0), MATCH(BB$4,#REF!, 0))</f>
        <v>#REF!</v>
      </c>
      <c r="BC293" s="146" t="e">
        <f>INDEX(#REF!, MATCH($A293,#REF!, 0), MATCH(BC$4,#REF!, 0))</f>
        <v>#REF!</v>
      </c>
      <c r="BD293" s="364" t="e">
        <f>INDEX(#REF!, MATCH($A293,#REF!, 0), MATCH(BD$4,#REF!, 0))</f>
        <v>#REF!</v>
      </c>
      <c r="BE293" s="320" t="e">
        <f>INDEX(#REF!, MATCH($A293,#REF!, 0), MATCH(BE$4,#REF!, 0))</f>
        <v>#REF!</v>
      </c>
      <c r="BF293" s="146" t="e">
        <f>INDEX(#REF!, MATCH($A293,#REF!, 0), MATCH(BF$4,#REF!, 0))</f>
        <v>#REF!</v>
      </c>
      <c r="BG293" s="146" t="e">
        <f>INDEX(#REF!, MATCH($A293,#REF!, 0), MATCH(BG$4,#REF!, 0))</f>
        <v>#REF!</v>
      </c>
      <c r="BH293" s="146" t="e">
        <f>INDEX(#REF!, MATCH($A293,#REF!, 0), MATCH(BH$4,#REF!, 0))</f>
        <v>#REF!</v>
      </c>
      <c r="BI293" s="146" t="e">
        <f>INDEX(#REF!, MATCH($A293,#REF!, 0), MATCH(BI$4,#REF!, 0))</f>
        <v>#REF!</v>
      </c>
      <c r="BJ293" s="146" t="e">
        <f>INDEX(#REF!, MATCH($A293,#REF!, 0), MATCH(BJ$4,#REF!, 0))</f>
        <v>#REF!</v>
      </c>
      <c r="BK293" s="364" t="e">
        <f>INDEX(#REF!, MATCH($A293,#REF!, 0), MATCH(BK$4,#REF!, 0))</f>
        <v>#REF!</v>
      </c>
      <c r="BL293" s="112">
        <v>0</v>
      </c>
      <c r="BM293" s="112">
        <f t="shared" ref="BM293:BR294" si="825">BL293</f>
        <v>0</v>
      </c>
      <c r="BN293" s="112">
        <f t="shared" si="825"/>
        <v>0</v>
      </c>
      <c r="BO293" s="112">
        <f t="shared" si="825"/>
        <v>0</v>
      </c>
      <c r="BP293" s="112">
        <f t="shared" si="825"/>
        <v>0</v>
      </c>
      <c r="BQ293" s="112">
        <f t="shared" si="825"/>
        <v>0</v>
      </c>
      <c r="BR293" s="112">
        <f t="shared" si="825"/>
        <v>0</v>
      </c>
      <c r="BT293" s="121"/>
    </row>
    <row r="294" spans="1:91">
      <c r="A294" s="105" t="s">
        <v>212</v>
      </c>
      <c r="B294" s="117" t="s">
        <v>143</v>
      </c>
      <c r="C294" s="117"/>
      <c r="D294" s="146" t="e">
        <f>INDEX(#REF!, MATCH($A294,#REF!, 0), MATCH(D$4,#REF!, 0))</f>
        <v>#REF!</v>
      </c>
      <c r="E294" s="146" t="e">
        <f>INDEX(#REF!, MATCH($A294,#REF!, 0), MATCH(E$4,#REF!, 0))</f>
        <v>#REF!</v>
      </c>
      <c r="F294" s="146" t="e">
        <f>INDEX(#REF!, MATCH($A294,#REF!, 0), MATCH(F$4,#REF!, 0))</f>
        <v>#REF!</v>
      </c>
      <c r="G294" s="146" t="e">
        <f>INDEX(#REF!, MATCH($A294,#REF!, 0), MATCH(G$4,#REF!, 0))</f>
        <v>#REF!</v>
      </c>
      <c r="H294" s="146" t="e">
        <f>INDEX(#REF!, MATCH($A294,#REF!, 0), MATCH(H$4,#REF!, 0))</f>
        <v>#REF!</v>
      </c>
      <c r="I294" s="146" t="e">
        <f>INDEX(#REF!, MATCH($A294,#REF!, 0), MATCH(I$4,#REF!, 0))</f>
        <v>#REF!</v>
      </c>
      <c r="J294" s="146" t="e">
        <f>INDEX(#REF!, MATCH($A294,#REF!, 0), MATCH(J$4,#REF!, 0))</f>
        <v>#REF!</v>
      </c>
      <c r="K294" s="146" t="e">
        <f>INDEX(#REF!, MATCH($A294,#REF!, 0), MATCH(K$4,#REF!, 0))</f>
        <v>#REF!</v>
      </c>
      <c r="L294" s="146" t="e">
        <f>INDEX(#REF!, MATCH($A294,#REF!, 0), MATCH(L$4,#REF!, 0))</f>
        <v>#REF!</v>
      </c>
      <c r="M294" s="146" t="e">
        <f>INDEX(#REF!, MATCH($A294,#REF!, 0), MATCH(M$4,#REF!, 0))</f>
        <v>#REF!</v>
      </c>
      <c r="N294" s="146" t="e">
        <f>INDEX(#REF!, MATCH($A294,#REF!, 0), MATCH(N$4,#REF!, 0))</f>
        <v>#REF!</v>
      </c>
      <c r="O294" s="146" t="e">
        <f>INDEX(#REF!, MATCH($A294,#REF!, 0), MATCH(O$4,#REF!, 0))</f>
        <v>#REF!</v>
      </c>
      <c r="P294" s="146" t="e">
        <f>INDEX(#REF!, MATCH($A294,#REF!, 0), MATCH(P$4,#REF!, 0))</f>
        <v>#REF!</v>
      </c>
      <c r="Q294" s="146" t="e">
        <f>INDEX(#REF!, MATCH($A294,#REF!, 0), MATCH(Q$4,#REF!, 0))</f>
        <v>#REF!</v>
      </c>
      <c r="R294" s="146" t="e">
        <f>INDEX(#REF!, MATCH($A294,#REF!, 0), MATCH(R$4,#REF!, 0))</f>
        <v>#REF!</v>
      </c>
      <c r="S294" s="146" t="e">
        <f>INDEX(#REF!, MATCH($A294,#REF!, 0), MATCH(S$4,#REF!, 0))</f>
        <v>#REF!</v>
      </c>
      <c r="T294" s="146" t="e">
        <f>INDEX(#REF!, MATCH($A294,#REF!, 0), MATCH(T$4,#REF!, 0))</f>
        <v>#REF!</v>
      </c>
      <c r="U294" s="146" t="e">
        <f>INDEX(#REF!, MATCH($A294,#REF!, 0), MATCH(U$4,#REF!, 0))</f>
        <v>#REF!</v>
      </c>
      <c r="V294" s="320" t="e">
        <f>INDEX(#REF!, MATCH($A294,#REF!, 0), MATCH(V$4,#REF!, 0))</f>
        <v>#REF!</v>
      </c>
      <c r="W294" s="146" t="e">
        <f>INDEX(#REF!, MATCH($A294,#REF!, 0), MATCH(W$4,#REF!, 0))</f>
        <v>#REF!</v>
      </c>
      <c r="X294" s="146" t="e">
        <f>INDEX(#REF!, MATCH($A294,#REF!, 0), MATCH(X$4,#REF!, 0))</f>
        <v>#REF!</v>
      </c>
      <c r="Y294" s="146" t="e">
        <f>INDEX(#REF!, MATCH($A294,#REF!, 0), MATCH(Y$4,#REF!, 0))</f>
        <v>#REF!</v>
      </c>
      <c r="Z294" s="146" t="e">
        <f>INDEX(#REF!, MATCH($A294,#REF!, 0), MATCH(Z$4,#REF!, 0))</f>
        <v>#REF!</v>
      </c>
      <c r="AA294" s="146" t="e">
        <f>INDEX(#REF!, MATCH($A294,#REF!, 0), MATCH(AA$4,#REF!, 0))</f>
        <v>#REF!</v>
      </c>
      <c r="AB294" s="146" t="e">
        <f>INDEX(#REF!, MATCH($A294,#REF!, 0), MATCH(AB$4,#REF!, 0))</f>
        <v>#REF!</v>
      </c>
      <c r="AC294" s="320" t="e">
        <f>INDEX(#REF!, MATCH($A294,#REF!, 0), MATCH(AC$4,#REF!, 0))</f>
        <v>#REF!</v>
      </c>
      <c r="AD294" s="146" t="e">
        <f>INDEX(#REF!, MATCH($A294,#REF!, 0), MATCH(AD$4,#REF!, 0))</f>
        <v>#REF!</v>
      </c>
      <c r="AE294" s="146" t="e">
        <f>INDEX(#REF!, MATCH($A294,#REF!, 0), MATCH(AE$4,#REF!, 0))</f>
        <v>#REF!</v>
      </c>
      <c r="AF294" s="146" t="e">
        <f>INDEX(#REF!, MATCH($A294,#REF!, 0), MATCH(AF$4,#REF!, 0))</f>
        <v>#REF!</v>
      </c>
      <c r="AG294" s="146" t="e">
        <f>INDEX(#REF!, MATCH($A294,#REF!, 0), MATCH(AG$4,#REF!, 0))</f>
        <v>#REF!</v>
      </c>
      <c r="AH294" s="146" t="e">
        <f>INDEX(#REF!, MATCH($A294,#REF!, 0), MATCH(AH$4,#REF!, 0))</f>
        <v>#REF!</v>
      </c>
      <c r="AI294" s="146" t="e">
        <f>INDEX(#REF!, MATCH($A294,#REF!, 0), MATCH(AI$4,#REF!, 0))</f>
        <v>#REF!</v>
      </c>
      <c r="AJ294" s="320" t="e">
        <f>INDEX(#REF!, MATCH($A294,#REF!, 0), MATCH(AJ$4,#REF!, 0))</f>
        <v>#REF!</v>
      </c>
      <c r="AK294" s="146" t="e">
        <f>INDEX(#REF!, MATCH($A294,#REF!, 0), MATCH(AK$4,#REF!, 0))</f>
        <v>#REF!</v>
      </c>
      <c r="AL294" s="146" t="e">
        <f>INDEX(#REF!, MATCH($A294,#REF!, 0), MATCH(AL$4,#REF!, 0))</f>
        <v>#REF!</v>
      </c>
      <c r="AM294" s="146" t="e">
        <f>INDEX(#REF!, MATCH($A294,#REF!, 0), MATCH(AM$4,#REF!, 0))</f>
        <v>#REF!</v>
      </c>
      <c r="AN294" s="146" t="e">
        <f>INDEX(#REF!, MATCH($A294,#REF!, 0), MATCH(AN$4,#REF!, 0))</f>
        <v>#REF!</v>
      </c>
      <c r="AO294" s="146" t="e">
        <f>INDEX(#REF!, MATCH($A294,#REF!, 0), MATCH(AO$4,#REF!, 0))</f>
        <v>#REF!</v>
      </c>
      <c r="AP294" s="146" t="e">
        <f>INDEX(#REF!, MATCH($A294,#REF!, 0), MATCH(AP$4,#REF!, 0))</f>
        <v>#REF!</v>
      </c>
      <c r="AQ294" s="320" t="e">
        <f>INDEX(#REF!, MATCH($A294,#REF!, 0), MATCH(AQ$4,#REF!, 0))</f>
        <v>#REF!</v>
      </c>
      <c r="AR294" s="146" t="e">
        <f>INDEX(#REF!, MATCH($A294,#REF!, 0), MATCH(AR$4,#REF!, 0))</f>
        <v>#REF!</v>
      </c>
      <c r="AS294" s="146" t="e">
        <f>INDEX(#REF!, MATCH($A294,#REF!, 0), MATCH(AS$4,#REF!, 0))</f>
        <v>#REF!</v>
      </c>
      <c r="AT294" s="146" t="e">
        <f>INDEX(#REF!, MATCH($A294,#REF!, 0), MATCH(AT$4,#REF!, 0))</f>
        <v>#REF!</v>
      </c>
      <c r="AU294" s="146" t="e">
        <f>INDEX(#REF!, MATCH($A294,#REF!, 0), MATCH(AU$4,#REF!, 0))</f>
        <v>#REF!</v>
      </c>
      <c r="AV294" s="146" t="e">
        <f>INDEX(#REF!, MATCH($A294,#REF!, 0), MATCH(AV$4,#REF!, 0))</f>
        <v>#REF!</v>
      </c>
      <c r="AW294" s="146" t="e">
        <f>INDEX(#REF!, MATCH($A294,#REF!, 0), MATCH(AW$4,#REF!, 0))</f>
        <v>#REF!</v>
      </c>
      <c r="AX294" s="320" t="e">
        <f>INDEX(#REF!, MATCH($A294,#REF!, 0), MATCH(AX$4,#REF!, 0))</f>
        <v>#REF!</v>
      </c>
      <c r="AY294" s="146" t="e">
        <f>INDEX(#REF!, MATCH($A294,#REF!, 0), MATCH(AY$4,#REF!, 0))</f>
        <v>#REF!</v>
      </c>
      <c r="AZ294" s="146" t="e">
        <f>INDEX(#REF!, MATCH($A294,#REF!, 0), MATCH(AZ$4,#REF!, 0))</f>
        <v>#REF!</v>
      </c>
      <c r="BA294" s="146" t="e">
        <f>INDEX(#REF!, MATCH($A294,#REF!, 0), MATCH(BA$4,#REF!, 0))</f>
        <v>#REF!</v>
      </c>
      <c r="BB294" s="146" t="e">
        <f>INDEX(#REF!, MATCH($A294,#REF!, 0), MATCH(BB$4,#REF!, 0))</f>
        <v>#REF!</v>
      </c>
      <c r="BC294" s="146" t="e">
        <f>INDEX(#REF!, MATCH($A294,#REF!, 0), MATCH(BC$4,#REF!, 0))</f>
        <v>#REF!</v>
      </c>
      <c r="BD294" s="364" t="e">
        <f>INDEX(#REF!, MATCH($A294,#REF!, 0), MATCH(BD$4,#REF!, 0))</f>
        <v>#REF!</v>
      </c>
      <c r="BE294" s="320" t="e">
        <f>INDEX(#REF!, MATCH($A294,#REF!, 0), MATCH(BE$4,#REF!, 0))</f>
        <v>#REF!</v>
      </c>
      <c r="BF294" s="146" t="e">
        <f>INDEX(#REF!, MATCH($A294,#REF!, 0), MATCH(BF$4,#REF!, 0))</f>
        <v>#REF!</v>
      </c>
      <c r="BG294" s="146" t="e">
        <f>INDEX(#REF!, MATCH($A294,#REF!, 0), MATCH(BG$4,#REF!, 0))</f>
        <v>#REF!</v>
      </c>
      <c r="BH294" s="146" t="e">
        <f>INDEX(#REF!, MATCH($A294,#REF!, 0), MATCH(BH$4,#REF!, 0))</f>
        <v>#REF!</v>
      </c>
      <c r="BI294" s="146" t="e">
        <f>INDEX(#REF!, MATCH($A294,#REF!, 0), MATCH(BI$4,#REF!, 0))</f>
        <v>#REF!</v>
      </c>
      <c r="BJ294" s="146" t="e">
        <f>INDEX(#REF!, MATCH($A294,#REF!, 0), MATCH(BJ$4,#REF!, 0))</f>
        <v>#REF!</v>
      </c>
      <c r="BK294" s="364" t="e">
        <f>INDEX(#REF!, MATCH($A294,#REF!, 0), MATCH(BK$4,#REF!, 0))</f>
        <v>#REF!</v>
      </c>
      <c r="BL294" s="112">
        <v>0</v>
      </c>
      <c r="BM294" s="112">
        <f t="shared" si="825"/>
        <v>0</v>
      </c>
      <c r="BN294" s="112">
        <f t="shared" si="825"/>
        <v>0</v>
      </c>
      <c r="BO294" s="112">
        <f t="shared" si="825"/>
        <v>0</v>
      </c>
      <c r="BP294" s="112">
        <f t="shared" si="825"/>
        <v>0</v>
      </c>
      <c r="BQ294" s="112">
        <f t="shared" si="825"/>
        <v>0</v>
      </c>
      <c r="BR294" s="112">
        <f t="shared" si="825"/>
        <v>0</v>
      </c>
      <c r="BT294" s="121"/>
    </row>
    <row r="295" spans="1:91">
      <c r="A295" s="105" t="s">
        <v>213</v>
      </c>
      <c r="B295" s="117" t="s">
        <v>144</v>
      </c>
      <c r="C295" s="117"/>
      <c r="D295" s="146" t="e">
        <f>INDEX(#REF!, MATCH($A295,#REF!, 0), MATCH(D$4,#REF!, 0))</f>
        <v>#REF!</v>
      </c>
      <c r="E295" s="146" t="e">
        <f>INDEX(#REF!, MATCH($A295,#REF!, 0), MATCH(E$4,#REF!, 0))</f>
        <v>#REF!</v>
      </c>
      <c r="F295" s="146" t="e">
        <f>INDEX(#REF!, MATCH($A295,#REF!, 0), MATCH(F$4,#REF!, 0))</f>
        <v>#REF!</v>
      </c>
      <c r="G295" s="146" t="e">
        <f>INDEX(#REF!, MATCH($A295,#REF!, 0), MATCH(G$4,#REF!, 0))</f>
        <v>#REF!</v>
      </c>
      <c r="H295" s="146" t="e">
        <f>INDEX(#REF!, MATCH($A295,#REF!, 0), MATCH(H$4,#REF!, 0))</f>
        <v>#REF!</v>
      </c>
      <c r="I295" s="146" t="e">
        <f>INDEX(#REF!, MATCH($A295,#REF!, 0), MATCH(I$4,#REF!, 0))</f>
        <v>#REF!</v>
      </c>
      <c r="J295" s="146" t="e">
        <f>INDEX(#REF!, MATCH($A295,#REF!, 0), MATCH(J$4,#REF!, 0))</f>
        <v>#REF!</v>
      </c>
      <c r="K295" s="146" t="e">
        <f>INDEX(#REF!, MATCH($A295,#REF!, 0), MATCH(K$4,#REF!, 0))</f>
        <v>#REF!</v>
      </c>
      <c r="L295" s="146" t="e">
        <f>INDEX(#REF!, MATCH($A295,#REF!, 0), MATCH(L$4,#REF!, 0))</f>
        <v>#REF!</v>
      </c>
      <c r="M295" s="146" t="e">
        <f>INDEX(#REF!, MATCH($A295,#REF!, 0), MATCH(M$4,#REF!, 0))</f>
        <v>#REF!</v>
      </c>
      <c r="N295" s="146" t="e">
        <f>INDEX(#REF!, MATCH($A295,#REF!, 0), MATCH(N$4,#REF!, 0))</f>
        <v>#REF!</v>
      </c>
      <c r="O295" s="146" t="e">
        <f>INDEX(#REF!, MATCH($A295,#REF!, 0), MATCH(O$4,#REF!, 0))</f>
        <v>#REF!</v>
      </c>
      <c r="P295" s="146" t="e">
        <f>INDEX(#REF!, MATCH($A295,#REF!, 0), MATCH(P$4,#REF!, 0))</f>
        <v>#REF!</v>
      </c>
      <c r="Q295" s="146" t="e">
        <f>INDEX(#REF!, MATCH($A295,#REF!, 0), MATCH(Q$4,#REF!, 0))</f>
        <v>#REF!</v>
      </c>
      <c r="R295" s="146" t="e">
        <f>INDEX(#REF!, MATCH($A295,#REF!, 0), MATCH(R$4,#REF!, 0))</f>
        <v>#REF!</v>
      </c>
      <c r="S295" s="146" t="e">
        <f>INDEX(#REF!, MATCH($A295,#REF!, 0), MATCH(S$4,#REF!, 0))</f>
        <v>#REF!</v>
      </c>
      <c r="T295" s="146" t="e">
        <f>INDEX(#REF!, MATCH($A295,#REF!, 0), MATCH(T$4,#REF!, 0))</f>
        <v>#REF!</v>
      </c>
      <c r="U295" s="146" t="e">
        <f>INDEX(#REF!, MATCH($A295,#REF!, 0), MATCH(U$4,#REF!, 0))</f>
        <v>#REF!</v>
      </c>
      <c r="V295" s="320" t="e">
        <f>INDEX(#REF!, MATCH($A295,#REF!, 0), MATCH(V$4,#REF!, 0))</f>
        <v>#REF!</v>
      </c>
      <c r="W295" s="146" t="e">
        <f>INDEX(#REF!, MATCH($A295,#REF!, 0), MATCH(W$4,#REF!, 0))</f>
        <v>#REF!</v>
      </c>
      <c r="X295" s="146" t="e">
        <f>INDEX(#REF!, MATCH($A295,#REF!, 0), MATCH(X$4,#REF!, 0))</f>
        <v>#REF!</v>
      </c>
      <c r="Y295" s="146" t="e">
        <f>INDEX(#REF!, MATCH($A295,#REF!, 0), MATCH(Y$4,#REF!, 0))</f>
        <v>#REF!</v>
      </c>
      <c r="Z295" s="146" t="e">
        <f>INDEX(#REF!, MATCH($A295,#REF!, 0), MATCH(Z$4,#REF!, 0))</f>
        <v>#REF!</v>
      </c>
      <c r="AA295" s="146" t="e">
        <f>INDEX(#REF!, MATCH($A295,#REF!, 0), MATCH(AA$4,#REF!, 0))</f>
        <v>#REF!</v>
      </c>
      <c r="AB295" s="146" t="e">
        <f>INDEX(#REF!, MATCH($A295,#REF!, 0), MATCH(AB$4,#REF!, 0))</f>
        <v>#REF!</v>
      </c>
      <c r="AC295" s="320" t="e">
        <f>INDEX(#REF!, MATCH($A295,#REF!, 0), MATCH(AC$4,#REF!, 0))</f>
        <v>#REF!</v>
      </c>
      <c r="AD295" s="146" t="e">
        <f>INDEX(#REF!, MATCH($A295,#REF!, 0), MATCH(AD$4,#REF!, 0))</f>
        <v>#REF!</v>
      </c>
      <c r="AE295" s="146" t="e">
        <f>INDEX(#REF!, MATCH($A295,#REF!, 0), MATCH(AE$4,#REF!, 0))</f>
        <v>#REF!</v>
      </c>
      <c r="AF295" s="146" t="e">
        <f>INDEX(#REF!, MATCH($A295,#REF!, 0), MATCH(AF$4,#REF!, 0))</f>
        <v>#REF!</v>
      </c>
      <c r="AG295" s="146" t="e">
        <f>INDEX(#REF!, MATCH($A295,#REF!, 0), MATCH(AG$4,#REF!, 0))</f>
        <v>#REF!</v>
      </c>
      <c r="AH295" s="146" t="e">
        <f>INDEX(#REF!, MATCH($A295,#REF!, 0), MATCH(AH$4,#REF!, 0))</f>
        <v>#REF!</v>
      </c>
      <c r="AI295" s="146" t="e">
        <f>INDEX(#REF!, MATCH($A295,#REF!, 0), MATCH(AI$4,#REF!, 0))</f>
        <v>#REF!</v>
      </c>
      <c r="AJ295" s="320" t="e">
        <f>INDEX(#REF!, MATCH($A295,#REF!, 0), MATCH(AJ$4,#REF!, 0))</f>
        <v>#REF!</v>
      </c>
      <c r="AK295" s="146" t="e">
        <f>INDEX(#REF!, MATCH($A295,#REF!, 0), MATCH(AK$4,#REF!, 0))</f>
        <v>#REF!</v>
      </c>
      <c r="AL295" s="146" t="e">
        <f>INDEX(#REF!, MATCH($A295,#REF!, 0), MATCH(AL$4,#REF!, 0))</f>
        <v>#REF!</v>
      </c>
      <c r="AM295" s="146" t="e">
        <f>INDEX(#REF!, MATCH($A295,#REF!, 0), MATCH(AM$4,#REF!, 0))</f>
        <v>#REF!</v>
      </c>
      <c r="AN295" s="146" t="e">
        <f>INDEX(#REF!, MATCH($A295,#REF!, 0), MATCH(AN$4,#REF!, 0))</f>
        <v>#REF!</v>
      </c>
      <c r="AO295" s="146" t="e">
        <f>INDEX(#REF!, MATCH($A295,#REF!, 0), MATCH(AO$4,#REF!, 0))</f>
        <v>#REF!</v>
      </c>
      <c r="AP295" s="146" t="e">
        <f>INDEX(#REF!, MATCH($A295,#REF!, 0), MATCH(AP$4,#REF!, 0))</f>
        <v>#REF!</v>
      </c>
      <c r="AQ295" s="320" t="e">
        <f>INDEX(#REF!, MATCH($A295,#REF!, 0), MATCH(AQ$4,#REF!, 0))</f>
        <v>#REF!</v>
      </c>
      <c r="AR295" s="146" t="e">
        <f>INDEX(#REF!, MATCH($A295,#REF!, 0), MATCH(AR$4,#REF!, 0))</f>
        <v>#REF!</v>
      </c>
      <c r="AS295" s="146" t="e">
        <f>INDEX(#REF!, MATCH($A295,#REF!, 0), MATCH(AS$4,#REF!, 0))</f>
        <v>#REF!</v>
      </c>
      <c r="AT295" s="146" t="e">
        <f>INDEX(#REF!, MATCH($A295,#REF!, 0), MATCH(AT$4,#REF!, 0))</f>
        <v>#REF!</v>
      </c>
      <c r="AU295" s="146" t="e">
        <f>INDEX(#REF!, MATCH($A295,#REF!, 0), MATCH(AU$4,#REF!, 0))</f>
        <v>#REF!</v>
      </c>
      <c r="AV295" s="146" t="e">
        <f>INDEX(#REF!, MATCH($A295,#REF!, 0), MATCH(AV$4,#REF!, 0))</f>
        <v>#REF!</v>
      </c>
      <c r="AW295" s="146" t="e">
        <f>INDEX(#REF!, MATCH($A295,#REF!, 0), MATCH(AW$4,#REF!, 0))</f>
        <v>#REF!</v>
      </c>
      <c r="AX295" s="320" t="e">
        <f>INDEX(#REF!, MATCH($A295,#REF!, 0), MATCH(AX$4,#REF!, 0))</f>
        <v>#REF!</v>
      </c>
      <c r="AY295" s="146" t="e">
        <f>INDEX(#REF!, MATCH($A295,#REF!, 0), MATCH(AY$4,#REF!, 0))</f>
        <v>#REF!</v>
      </c>
      <c r="AZ295" s="146" t="e">
        <f>INDEX(#REF!, MATCH($A295,#REF!, 0), MATCH(AZ$4,#REF!, 0))</f>
        <v>#REF!</v>
      </c>
      <c r="BA295" s="146" t="e">
        <f>INDEX(#REF!, MATCH($A295,#REF!, 0), MATCH(BA$4,#REF!, 0))</f>
        <v>#REF!</v>
      </c>
      <c r="BB295" s="146" t="e">
        <f>INDEX(#REF!, MATCH($A295,#REF!, 0), MATCH(BB$4,#REF!, 0))</f>
        <v>#REF!</v>
      </c>
      <c r="BC295" s="146" t="e">
        <f>INDEX(#REF!, MATCH($A295,#REF!, 0), MATCH(BC$4,#REF!, 0))</f>
        <v>#REF!</v>
      </c>
      <c r="BD295" s="364" t="e">
        <f>INDEX(#REF!, MATCH($A295,#REF!, 0), MATCH(BD$4,#REF!, 0))</f>
        <v>#REF!</v>
      </c>
      <c r="BE295" s="320" t="e">
        <f>INDEX(#REF!, MATCH($A295,#REF!, 0), MATCH(BE$4,#REF!, 0))</f>
        <v>#REF!</v>
      </c>
      <c r="BF295" s="146" t="e">
        <f>INDEX(#REF!, MATCH($A295,#REF!, 0), MATCH(BF$4,#REF!, 0))</f>
        <v>#REF!</v>
      </c>
      <c r="BG295" s="146" t="e">
        <f>INDEX(#REF!, MATCH($A295,#REF!, 0), MATCH(BG$4,#REF!, 0))</f>
        <v>#REF!</v>
      </c>
      <c r="BH295" s="146" t="e">
        <f>INDEX(#REF!, MATCH($A295,#REF!, 0), MATCH(BH$4,#REF!, 0))</f>
        <v>#REF!</v>
      </c>
      <c r="BI295" s="146" t="e">
        <f>INDEX(#REF!, MATCH($A295,#REF!, 0), MATCH(BI$4,#REF!, 0))</f>
        <v>#REF!</v>
      </c>
      <c r="BJ295" s="146" t="e">
        <f>INDEX(#REF!, MATCH($A295,#REF!, 0), MATCH(BJ$4,#REF!, 0))</f>
        <v>#REF!</v>
      </c>
      <c r="BK295" s="364" t="e">
        <f>INDEX(#REF!, MATCH($A295,#REF!, 0), MATCH(BK$4,#REF!, 0))</f>
        <v>#REF!</v>
      </c>
      <c r="BL295" s="165" t="e">
        <f t="shared" ref="BL295:BR295" si="826">BL296+BL297</f>
        <v>#REF!</v>
      </c>
      <c r="BM295" s="165" t="e">
        <f t="shared" si="826"/>
        <v>#REF!</v>
      </c>
      <c r="BN295" s="165" t="e">
        <f t="shared" si="826"/>
        <v>#REF!</v>
      </c>
      <c r="BO295" s="165" t="e">
        <f t="shared" si="826"/>
        <v>#REF!</v>
      </c>
      <c r="BP295" s="165" t="e">
        <f t="shared" si="826"/>
        <v>#REF!</v>
      </c>
      <c r="BQ295" s="165" t="e">
        <f t="shared" si="826"/>
        <v>#REF!</v>
      </c>
      <c r="BR295" s="165" t="e">
        <f t="shared" si="826"/>
        <v>#REF!</v>
      </c>
      <c r="BT295" s="121"/>
    </row>
    <row r="296" spans="1:91" s="86" customFormat="1" ht="12.6">
      <c r="A296" s="185"/>
      <c r="B296" s="181" t="s">
        <v>145</v>
      </c>
      <c r="C296" s="144"/>
      <c r="D296" s="166">
        <f t="shared" ref="D296:AI296" si="827">D36</f>
        <v>0</v>
      </c>
      <c r="E296" s="166">
        <f t="shared" si="827"/>
        <v>0</v>
      </c>
      <c r="F296" s="166">
        <f t="shared" si="827"/>
        <v>0</v>
      </c>
      <c r="G296" s="166">
        <f t="shared" si="827"/>
        <v>0</v>
      </c>
      <c r="H296" s="166">
        <f t="shared" si="827"/>
        <v>0</v>
      </c>
      <c r="I296" s="166">
        <f t="shared" si="827"/>
        <v>0</v>
      </c>
      <c r="J296" s="166">
        <f t="shared" si="827"/>
        <v>0</v>
      </c>
      <c r="K296" s="166">
        <f t="shared" si="827"/>
        <v>0</v>
      </c>
      <c r="L296" s="166">
        <f t="shared" si="827"/>
        <v>0</v>
      </c>
      <c r="M296" s="166">
        <f t="shared" si="827"/>
        <v>0</v>
      </c>
      <c r="N296" s="166">
        <f t="shared" si="827"/>
        <v>0</v>
      </c>
      <c r="O296" s="166">
        <f t="shared" si="827"/>
        <v>0</v>
      </c>
      <c r="P296" s="166">
        <f t="shared" si="827"/>
        <v>0</v>
      </c>
      <c r="Q296" s="166">
        <f t="shared" si="827"/>
        <v>0</v>
      </c>
      <c r="R296" s="166">
        <f t="shared" si="827"/>
        <v>0</v>
      </c>
      <c r="S296" s="166">
        <f t="shared" si="827"/>
        <v>0</v>
      </c>
      <c r="T296" s="166">
        <f t="shared" si="827"/>
        <v>0</v>
      </c>
      <c r="U296" s="166">
        <f t="shared" si="827"/>
        <v>0</v>
      </c>
      <c r="V296" s="349">
        <f t="shared" si="827"/>
        <v>0</v>
      </c>
      <c r="W296" s="166">
        <f t="shared" si="827"/>
        <v>0</v>
      </c>
      <c r="X296" s="166">
        <f t="shared" si="827"/>
        <v>0</v>
      </c>
      <c r="Y296" s="166">
        <f t="shared" si="827"/>
        <v>0</v>
      </c>
      <c r="Z296" s="166">
        <f t="shared" si="827"/>
        <v>0</v>
      </c>
      <c r="AA296" s="166">
        <f t="shared" si="827"/>
        <v>0</v>
      </c>
      <c r="AB296" s="166">
        <f t="shared" si="827"/>
        <v>0</v>
      </c>
      <c r="AC296" s="349">
        <f t="shared" si="827"/>
        <v>0</v>
      </c>
      <c r="AD296" s="166">
        <f t="shared" si="827"/>
        <v>0</v>
      </c>
      <c r="AE296" s="166">
        <f t="shared" si="827"/>
        <v>0</v>
      </c>
      <c r="AF296" s="166">
        <f t="shared" si="827"/>
        <v>0</v>
      </c>
      <c r="AG296" s="166">
        <f t="shared" si="827"/>
        <v>0</v>
      </c>
      <c r="AH296" s="166">
        <f t="shared" si="827"/>
        <v>0</v>
      </c>
      <c r="AI296" s="166">
        <f t="shared" si="827"/>
        <v>0</v>
      </c>
      <c r="AJ296" s="349">
        <f t="shared" ref="AJ296:BD296" si="828">AJ36</f>
        <v>0</v>
      </c>
      <c r="AK296" s="166">
        <f t="shared" si="828"/>
        <v>0</v>
      </c>
      <c r="AL296" s="166">
        <f t="shared" si="828"/>
        <v>0</v>
      </c>
      <c r="AM296" s="166">
        <f t="shared" si="828"/>
        <v>0</v>
      </c>
      <c r="AN296" s="166">
        <f t="shared" si="828"/>
        <v>0</v>
      </c>
      <c r="AO296" s="166">
        <f t="shared" si="828"/>
        <v>0</v>
      </c>
      <c r="AP296" s="166">
        <f t="shared" si="828"/>
        <v>0</v>
      </c>
      <c r="AQ296" s="349">
        <f t="shared" si="828"/>
        <v>0</v>
      </c>
      <c r="AR296" s="166">
        <f t="shared" si="828"/>
        <v>0</v>
      </c>
      <c r="AS296" s="166">
        <f t="shared" si="828"/>
        <v>0</v>
      </c>
      <c r="AT296" s="166">
        <f t="shared" si="828"/>
        <v>0</v>
      </c>
      <c r="AU296" s="166">
        <f t="shared" si="828"/>
        <v>0</v>
      </c>
      <c r="AV296" s="166">
        <f t="shared" si="828"/>
        <v>0</v>
      </c>
      <c r="AW296" s="166">
        <f t="shared" si="828"/>
        <v>0</v>
      </c>
      <c r="AX296" s="349">
        <f t="shared" si="828"/>
        <v>0</v>
      </c>
      <c r="AY296" s="166">
        <f t="shared" si="828"/>
        <v>0</v>
      </c>
      <c r="AZ296" s="166">
        <f t="shared" si="828"/>
        <v>0</v>
      </c>
      <c r="BA296" s="166">
        <f t="shared" si="828"/>
        <v>0</v>
      </c>
      <c r="BB296" s="166">
        <f t="shared" si="828"/>
        <v>0</v>
      </c>
      <c r="BC296" s="166">
        <f t="shared" si="828"/>
        <v>0</v>
      </c>
      <c r="BD296" s="391">
        <f t="shared" si="828"/>
        <v>0</v>
      </c>
      <c r="BE296" s="349">
        <f t="shared" ref="BE296:BK296" si="829">BE36</f>
        <v>0</v>
      </c>
      <c r="BF296" s="166">
        <f t="shared" si="829"/>
        <v>0</v>
      </c>
      <c r="BG296" s="166">
        <f t="shared" si="829"/>
        <v>0</v>
      </c>
      <c r="BH296" s="166">
        <f t="shared" si="829"/>
        <v>0</v>
      </c>
      <c r="BI296" s="166">
        <f t="shared" si="829"/>
        <v>0</v>
      </c>
      <c r="BJ296" s="166">
        <f t="shared" si="829"/>
        <v>0</v>
      </c>
      <c r="BK296" s="391">
        <f t="shared" si="829"/>
        <v>0</v>
      </c>
      <c r="BL296" s="166" t="e">
        <f t="shared" ref="BL296:BR296" si="830">BL36</f>
        <v>#REF!</v>
      </c>
      <c r="BM296" s="166" t="e">
        <f t="shared" si="830"/>
        <v>#REF!</v>
      </c>
      <c r="BN296" s="166" t="e">
        <f t="shared" si="830"/>
        <v>#REF!</v>
      </c>
      <c r="BO296" s="166" t="e">
        <f t="shared" si="830"/>
        <v>#REF!</v>
      </c>
      <c r="BP296" s="166" t="e">
        <f t="shared" si="830"/>
        <v>#REF!</v>
      </c>
      <c r="BQ296" s="166" t="e">
        <f t="shared" si="830"/>
        <v>#REF!</v>
      </c>
      <c r="BR296" s="166" t="e">
        <f t="shared" si="830"/>
        <v>#REF!</v>
      </c>
      <c r="BS296" s="125"/>
      <c r="BT296" s="129"/>
      <c r="BU296" s="125"/>
      <c r="BV296" s="125"/>
      <c r="BW296" s="125"/>
      <c r="BX296" s="125"/>
      <c r="BY296" s="125"/>
      <c r="BZ296" s="125"/>
      <c r="CA296" s="125"/>
      <c r="CB296" s="125"/>
      <c r="CC296" s="125"/>
      <c r="CD296" s="125"/>
      <c r="CE296" s="125"/>
      <c r="CF296" s="125"/>
      <c r="CG296" s="125"/>
      <c r="CH296" s="125"/>
      <c r="CI296" s="125"/>
      <c r="CJ296" s="125"/>
      <c r="CK296" s="125"/>
      <c r="CL296" s="125"/>
      <c r="CM296" s="125"/>
    </row>
    <row r="297" spans="1:91" s="86" customFormat="1" ht="12.6">
      <c r="A297" s="185"/>
      <c r="B297" s="181" t="s">
        <v>146</v>
      </c>
      <c r="C297" s="144"/>
      <c r="D297" s="166">
        <f t="shared" ref="D297:U297" si="831">C124</f>
        <v>0</v>
      </c>
      <c r="E297" s="166">
        <f t="shared" si="831"/>
        <v>0</v>
      </c>
      <c r="F297" s="166">
        <f t="shared" si="831"/>
        <v>0</v>
      </c>
      <c r="G297" s="166">
        <f t="shared" si="831"/>
        <v>0</v>
      </c>
      <c r="H297" s="166">
        <f t="shared" si="831"/>
        <v>0</v>
      </c>
      <c r="I297" s="166">
        <f t="shared" si="831"/>
        <v>0</v>
      </c>
      <c r="J297" s="166">
        <f t="shared" si="831"/>
        <v>0</v>
      </c>
      <c r="K297" s="166">
        <f t="shared" si="831"/>
        <v>0</v>
      </c>
      <c r="L297" s="166">
        <f t="shared" si="831"/>
        <v>0</v>
      </c>
      <c r="M297" s="166">
        <f t="shared" si="831"/>
        <v>0</v>
      </c>
      <c r="N297" s="166">
        <f t="shared" si="831"/>
        <v>0</v>
      </c>
      <c r="O297" s="166">
        <f t="shared" si="831"/>
        <v>0</v>
      </c>
      <c r="P297" s="166">
        <f t="shared" si="831"/>
        <v>0</v>
      </c>
      <c r="Q297" s="166">
        <f t="shared" si="831"/>
        <v>0</v>
      </c>
      <c r="R297" s="166">
        <f t="shared" si="831"/>
        <v>0</v>
      </c>
      <c r="S297" s="166">
        <f t="shared" si="831"/>
        <v>0</v>
      </c>
      <c r="T297" s="166">
        <f t="shared" si="831"/>
        <v>0</v>
      </c>
      <c r="U297" s="166">
        <f t="shared" si="831"/>
        <v>0</v>
      </c>
      <c r="V297" s="349" t="e">
        <f>#REF!</f>
        <v>#REF!</v>
      </c>
      <c r="W297" s="166" t="e">
        <f>#REF!</f>
        <v>#REF!</v>
      </c>
      <c r="X297" s="166" t="e">
        <f>#REF!</f>
        <v>#REF!</v>
      </c>
      <c r="Y297" s="166" t="e">
        <f>#REF!</f>
        <v>#REF!</v>
      </c>
      <c r="Z297" s="166">
        <f>G124</f>
        <v>0</v>
      </c>
      <c r="AA297" s="166">
        <f>N124</f>
        <v>0</v>
      </c>
      <c r="AB297" s="166">
        <f>U124</f>
        <v>0</v>
      </c>
      <c r="AC297" s="349" t="e">
        <f>#REF!</f>
        <v>#REF!</v>
      </c>
      <c r="AD297" s="166" t="e">
        <f>#REF!</f>
        <v>#REF!</v>
      </c>
      <c r="AE297" s="166" t="e">
        <f>#REF!</f>
        <v>#REF!</v>
      </c>
      <c r="AF297" s="166">
        <f>G124</f>
        <v>0</v>
      </c>
      <c r="AG297" s="166">
        <f>N124</f>
        <v>0</v>
      </c>
      <c r="AH297" s="166">
        <f>U124</f>
        <v>0</v>
      </c>
      <c r="AI297" s="166">
        <f>AB124</f>
        <v>0</v>
      </c>
      <c r="AJ297" s="349">
        <f>E124</f>
        <v>0</v>
      </c>
      <c r="AK297" s="166">
        <f>F124</f>
        <v>0</v>
      </c>
      <c r="AL297" s="166">
        <f>G124</f>
        <v>0</v>
      </c>
      <c r="AM297" s="166">
        <f>N124</f>
        <v>0</v>
      </c>
      <c r="AN297" s="166">
        <f>U124</f>
        <v>0</v>
      </c>
      <c r="AO297" s="166">
        <f>AB124</f>
        <v>0</v>
      </c>
      <c r="AP297" s="166">
        <f>AI124</f>
        <v>0</v>
      </c>
      <c r="AQ297" s="349">
        <f>L124</f>
        <v>0</v>
      </c>
      <c r="AR297" s="166">
        <f>M124</f>
        <v>0</v>
      </c>
      <c r="AS297" s="166">
        <f>N124</f>
        <v>0</v>
      </c>
      <c r="AT297" s="166">
        <f>U124</f>
        <v>0</v>
      </c>
      <c r="AU297" s="166">
        <f>AB124</f>
        <v>0</v>
      </c>
      <c r="AV297" s="166">
        <f>AI124</f>
        <v>0</v>
      </c>
      <c r="AW297" s="166">
        <f>AP124</f>
        <v>0</v>
      </c>
      <c r="AX297" s="349">
        <f>S124</f>
        <v>0</v>
      </c>
      <c r="AY297" s="166">
        <f>T124</f>
        <v>0</v>
      </c>
      <c r="AZ297" s="166">
        <f>U124</f>
        <v>0</v>
      </c>
      <c r="BA297" s="166">
        <f>AB124</f>
        <v>0</v>
      </c>
      <c r="BB297" s="166">
        <f>AI124</f>
        <v>0</v>
      </c>
      <c r="BC297" s="166">
        <f>AP124</f>
        <v>0</v>
      </c>
      <c r="BD297" s="391">
        <f>AW124</f>
        <v>0</v>
      </c>
      <c r="BE297" s="349">
        <f>Z124</f>
        <v>0</v>
      </c>
      <c r="BF297" s="166">
        <f>AA124</f>
        <v>0</v>
      </c>
      <c r="BG297" s="166">
        <f>AB124</f>
        <v>0</v>
      </c>
      <c r="BH297" s="166">
        <f>AI124</f>
        <v>0</v>
      </c>
      <c r="BI297" s="166">
        <f>AP124</f>
        <v>0</v>
      </c>
      <c r="BJ297" s="166">
        <f>AW124</f>
        <v>0</v>
      </c>
      <c r="BK297" s="391">
        <f>BD124</f>
        <v>0</v>
      </c>
      <c r="BL297" s="166" t="e">
        <f t="shared" ref="BL297:BR297" si="832">BL124</f>
        <v>#REF!</v>
      </c>
      <c r="BM297" s="166" t="e">
        <f t="shared" si="832"/>
        <v>#REF!</v>
      </c>
      <c r="BN297" s="166" t="e">
        <f t="shared" si="832"/>
        <v>#REF!</v>
      </c>
      <c r="BO297" s="166" t="e">
        <f t="shared" si="832"/>
        <v>#REF!</v>
      </c>
      <c r="BP297" s="166" t="e">
        <f t="shared" si="832"/>
        <v>#REF!</v>
      </c>
      <c r="BQ297" s="166" t="e">
        <f t="shared" si="832"/>
        <v>#REF!</v>
      </c>
      <c r="BR297" s="166" t="e">
        <f t="shared" si="832"/>
        <v>#REF!</v>
      </c>
      <c r="BS297" s="125"/>
      <c r="BT297" s="129"/>
      <c r="BU297" s="125"/>
      <c r="BV297" s="125"/>
      <c r="BW297" s="125"/>
      <c r="BX297" s="125"/>
      <c r="BY297" s="125"/>
      <c r="BZ297" s="125"/>
      <c r="CA297" s="125"/>
      <c r="CB297" s="125"/>
      <c r="CC297" s="125"/>
      <c r="CD297" s="125"/>
      <c r="CE297" s="125"/>
      <c r="CF297" s="125"/>
      <c r="CG297" s="125"/>
      <c r="CH297" s="125"/>
      <c r="CI297" s="125"/>
      <c r="CJ297" s="125"/>
      <c r="CK297" s="125"/>
      <c r="CL297" s="125"/>
      <c r="CM297" s="125"/>
    </row>
    <row r="298" spans="1:91">
      <c r="A298" s="207" t="s">
        <v>314</v>
      </c>
      <c r="B298" s="117" t="s">
        <v>106</v>
      </c>
      <c r="C298" s="117"/>
      <c r="D298" s="146" t="e">
        <f>INDEX(#REF!, MATCH($A298,#REF!, 0), MATCH(D$4,#REF!, 0))</f>
        <v>#REF!</v>
      </c>
      <c r="E298" s="146" t="e">
        <f>INDEX(#REF!, MATCH($A298,#REF!, 0), MATCH(E$4,#REF!, 0))</f>
        <v>#REF!</v>
      </c>
      <c r="F298" s="146" t="e">
        <f>INDEX(#REF!, MATCH($A298,#REF!, 0), MATCH(F$4,#REF!, 0))</f>
        <v>#REF!</v>
      </c>
      <c r="G298" s="146" t="e">
        <f>INDEX(#REF!, MATCH($A298,#REF!, 0), MATCH(G$4,#REF!, 0))</f>
        <v>#REF!</v>
      </c>
      <c r="H298" s="146" t="e">
        <f>INDEX(#REF!, MATCH($A298,#REF!, 0), MATCH(H$4,#REF!, 0))</f>
        <v>#REF!</v>
      </c>
      <c r="I298" s="146" t="e">
        <f>INDEX(#REF!, MATCH($A298,#REF!, 0), MATCH(I$4,#REF!, 0))</f>
        <v>#REF!</v>
      </c>
      <c r="J298" s="146" t="e">
        <f>INDEX(#REF!, MATCH($A298,#REF!, 0), MATCH(J$4,#REF!, 0))</f>
        <v>#REF!</v>
      </c>
      <c r="K298" s="146" t="e">
        <f>INDEX(#REF!, MATCH($A298,#REF!, 0), MATCH(K$4,#REF!, 0))</f>
        <v>#REF!</v>
      </c>
      <c r="L298" s="146" t="e">
        <f>INDEX(#REF!, MATCH($A298,#REF!, 0), MATCH(L$4,#REF!, 0))</f>
        <v>#REF!</v>
      </c>
      <c r="M298" s="146" t="e">
        <f>INDEX(#REF!, MATCH($A298,#REF!, 0), MATCH(M$4,#REF!, 0))</f>
        <v>#REF!</v>
      </c>
      <c r="N298" s="146" t="e">
        <f>INDEX(#REF!, MATCH($A298,#REF!, 0), MATCH(N$4,#REF!, 0))</f>
        <v>#REF!</v>
      </c>
      <c r="O298" s="146" t="e">
        <f>INDEX(#REF!, MATCH($A298,#REF!, 0), MATCH(O$4,#REF!, 0))</f>
        <v>#REF!</v>
      </c>
      <c r="P298" s="146" t="e">
        <f>INDEX(#REF!, MATCH($A298,#REF!, 0), MATCH(P$4,#REF!, 0))</f>
        <v>#REF!</v>
      </c>
      <c r="Q298" s="146" t="e">
        <f>INDEX(#REF!, MATCH($A298,#REF!, 0), MATCH(Q$4,#REF!, 0))</f>
        <v>#REF!</v>
      </c>
      <c r="R298" s="146" t="e">
        <f>INDEX(#REF!, MATCH($A298,#REF!, 0), MATCH(R$4,#REF!, 0))</f>
        <v>#REF!</v>
      </c>
      <c r="S298" s="146" t="e">
        <f>INDEX(#REF!, MATCH($A298,#REF!, 0), MATCH(S$4,#REF!, 0))</f>
        <v>#REF!</v>
      </c>
      <c r="T298" s="146" t="e">
        <f>INDEX(#REF!, MATCH($A298,#REF!, 0), MATCH(T$4,#REF!, 0))</f>
        <v>#REF!</v>
      </c>
      <c r="U298" s="146" t="e">
        <f>INDEX(#REF!, MATCH($A298,#REF!, 0), MATCH(U$4,#REF!, 0))</f>
        <v>#REF!</v>
      </c>
      <c r="V298" s="320" t="e">
        <f>INDEX(#REF!, MATCH($A298,#REF!, 0), MATCH(V$4,#REF!, 0))</f>
        <v>#REF!</v>
      </c>
      <c r="W298" s="146" t="e">
        <f>INDEX(#REF!, MATCH($A298,#REF!, 0), MATCH(W$4,#REF!, 0))</f>
        <v>#REF!</v>
      </c>
      <c r="X298" s="146" t="e">
        <f>INDEX(#REF!, MATCH($A298,#REF!, 0), MATCH(X$4,#REF!, 0))</f>
        <v>#REF!</v>
      </c>
      <c r="Y298" s="146" t="e">
        <f>INDEX(#REF!, MATCH($A298,#REF!, 0), MATCH(Y$4,#REF!, 0))</f>
        <v>#REF!</v>
      </c>
      <c r="Z298" s="146" t="e">
        <f>INDEX(#REF!, MATCH($A298,#REF!, 0), MATCH(Z$4,#REF!, 0))</f>
        <v>#REF!</v>
      </c>
      <c r="AA298" s="146" t="e">
        <f>INDEX(#REF!, MATCH($A298,#REF!, 0), MATCH(AA$4,#REF!, 0))</f>
        <v>#REF!</v>
      </c>
      <c r="AB298" s="146" t="e">
        <f>INDEX(#REF!, MATCH($A298,#REF!, 0), MATCH(AB$4,#REF!, 0))</f>
        <v>#REF!</v>
      </c>
      <c r="AC298" s="320" t="e">
        <f>INDEX(#REF!, MATCH($A298,#REF!, 0), MATCH(AC$4,#REF!, 0))</f>
        <v>#REF!</v>
      </c>
      <c r="AD298" s="146" t="e">
        <f>INDEX(#REF!, MATCH($A298,#REF!, 0), MATCH(AD$4,#REF!, 0))</f>
        <v>#REF!</v>
      </c>
      <c r="AE298" s="146" t="e">
        <f>INDEX(#REF!, MATCH($A298,#REF!, 0), MATCH(AE$4,#REF!, 0))</f>
        <v>#REF!</v>
      </c>
      <c r="AF298" s="146" t="e">
        <f>INDEX(#REF!, MATCH($A298,#REF!, 0), MATCH(AF$4,#REF!, 0))</f>
        <v>#REF!</v>
      </c>
      <c r="AG298" s="146" t="e">
        <f>INDEX(#REF!, MATCH($A298,#REF!, 0), MATCH(AG$4,#REF!, 0))</f>
        <v>#REF!</v>
      </c>
      <c r="AH298" s="146" t="e">
        <f>INDEX(#REF!, MATCH($A298,#REF!, 0), MATCH(AH$4,#REF!, 0))</f>
        <v>#REF!</v>
      </c>
      <c r="AI298" s="146" t="e">
        <f>INDEX(#REF!, MATCH($A298,#REF!, 0), MATCH(AI$4,#REF!, 0))</f>
        <v>#REF!</v>
      </c>
      <c r="AJ298" s="320" t="e">
        <f>INDEX(#REF!, MATCH($A298,#REF!, 0), MATCH(AJ$4,#REF!, 0))</f>
        <v>#REF!</v>
      </c>
      <c r="AK298" s="146" t="e">
        <f>INDEX(#REF!, MATCH($A298,#REF!, 0), MATCH(AK$4,#REF!, 0))</f>
        <v>#REF!</v>
      </c>
      <c r="AL298" s="146" t="e">
        <f>INDEX(#REF!, MATCH($A298,#REF!, 0), MATCH(AL$4,#REF!, 0))</f>
        <v>#REF!</v>
      </c>
      <c r="AM298" s="146" t="e">
        <f>INDEX(#REF!, MATCH($A298,#REF!, 0), MATCH(AM$4,#REF!, 0))</f>
        <v>#REF!</v>
      </c>
      <c r="AN298" s="146" t="e">
        <f>INDEX(#REF!, MATCH($A298,#REF!, 0), MATCH(AN$4,#REF!, 0))</f>
        <v>#REF!</v>
      </c>
      <c r="AO298" s="146" t="e">
        <f>INDEX(#REF!, MATCH($A298,#REF!, 0), MATCH(AO$4,#REF!, 0))</f>
        <v>#REF!</v>
      </c>
      <c r="AP298" s="146" t="e">
        <f>INDEX(#REF!, MATCH($A298,#REF!, 0), MATCH(AP$4,#REF!, 0))</f>
        <v>#REF!</v>
      </c>
      <c r="AQ298" s="320" t="e">
        <f>INDEX(#REF!, MATCH($A298,#REF!, 0), MATCH(AQ$4,#REF!, 0))</f>
        <v>#REF!</v>
      </c>
      <c r="AR298" s="146" t="e">
        <f>INDEX(#REF!, MATCH($A298,#REF!, 0), MATCH(AR$4,#REF!, 0))</f>
        <v>#REF!</v>
      </c>
      <c r="AS298" s="146" t="e">
        <f>INDEX(#REF!, MATCH($A298,#REF!, 0), MATCH(AS$4,#REF!, 0))</f>
        <v>#REF!</v>
      </c>
      <c r="AT298" s="146" t="e">
        <f>INDEX(#REF!, MATCH($A298,#REF!, 0), MATCH(AT$4,#REF!, 0))</f>
        <v>#REF!</v>
      </c>
      <c r="AU298" s="146" t="e">
        <f>INDEX(#REF!, MATCH($A298,#REF!, 0), MATCH(AU$4,#REF!, 0))</f>
        <v>#REF!</v>
      </c>
      <c r="AV298" s="146" t="e">
        <f>INDEX(#REF!, MATCH($A298,#REF!, 0), MATCH(AV$4,#REF!, 0))</f>
        <v>#REF!</v>
      </c>
      <c r="AW298" s="146" t="e">
        <f>INDEX(#REF!, MATCH($A298,#REF!, 0), MATCH(AW$4,#REF!, 0))</f>
        <v>#REF!</v>
      </c>
      <c r="AX298" s="320" t="e">
        <f>INDEX(#REF!, MATCH($A298,#REF!, 0), MATCH(AX$4,#REF!, 0))</f>
        <v>#REF!</v>
      </c>
      <c r="AY298" s="146" t="e">
        <f>INDEX(#REF!, MATCH($A298,#REF!, 0), MATCH(AY$4,#REF!, 0))</f>
        <v>#REF!</v>
      </c>
      <c r="AZ298" s="146" t="e">
        <f>INDEX(#REF!, MATCH($A298,#REF!, 0), MATCH(AZ$4,#REF!, 0))</f>
        <v>#REF!</v>
      </c>
      <c r="BA298" s="146" t="e">
        <f>INDEX(#REF!, MATCH($A298,#REF!, 0), MATCH(BA$4,#REF!, 0))</f>
        <v>#REF!</v>
      </c>
      <c r="BB298" s="146" t="e">
        <f>INDEX(#REF!, MATCH($A298,#REF!, 0), MATCH(BB$4,#REF!, 0))</f>
        <v>#REF!</v>
      </c>
      <c r="BC298" s="146" t="e">
        <f>INDEX(#REF!, MATCH($A298,#REF!, 0), MATCH(BC$4,#REF!, 0))</f>
        <v>#REF!</v>
      </c>
      <c r="BD298" s="364" t="e">
        <f>INDEX(#REF!, MATCH($A298,#REF!, 0), MATCH(BD$4,#REF!, 0))</f>
        <v>#REF!</v>
      </c>
      <c r="BE298" s="320" t="e">
        <f>INDEX(#REF!, MATCH($A298,#REF!, 0), MATCH(BE$4,#REF!, 0))</f>
        <v>#REF!</v>
      </c>
      <c r="BF298" s="146" t="e">
        <f>INDEX(#REF!, MATCH($A298,#REF!, 0), MATCH(BF$4,#REF!, 0))</f>
        <v>#REF!</v>
      </c>
      <c r="BG298" s="146" t="e">
        <f>INDEX(#REF!, MATCH($A298,#REF!, 0), MATCH(BG$4,#REF!, 0))</f>
        <v>#REF!</v>
      </c>
      <c r="BH298" s="146" t="e">
        <f>INDEX(#REF!, MATCH($A298,#REF!, 0), MATCH(BH$4,#REF!, 0))</f>
        <v>#REF!</v>
      </c>
      <c r="BI298" s="146" t="e">
        <f>INDEX(#REF!, MATCH($A298,#REF!, 0), MATCH(BI$4,#REF!, 0))</f>
        <v>#REF!</v>
      </c>
      <c r="BJ298" s="146" t="e">
        <f>INDEX(#REF!, MATCH($A298,#REF!, 0), MATCH(BJ$4,#REF!, 0))</f>
        <v>#REF!</v>
      </c>
      <c r="BK298" s="364" t="e">
        <f>INDEX(#REF!, MATCH($A298,#REF!, 0), MATCH(BK$4,#REF!, 0))</f>
        <v>#REF!</v>
      </c>
      <c r="BL298" s="165"/>
      <c r="BM298" s="165"/>
      <c r="BN298" s="119"/>
      <c r="BO298" s="119"/>
      <c r="BP298" s="165"/>
      <c r="BQ298" s="119"/>
      <c r="BR298" s="165"/>
      <c r="BT298" s="121"/>
    </row>
    <row r="299" spans="1:91">
      <c r="A299" s="110" t="s">
        <v>214</v>
      </c>
      <c r="B299" s="214" t="s">
        <v>147</v>
      </c>
      <c r="C299" s="214"/>
      <c r="D299" s="146" t="e">
        <f>INDEX(#REF!, MATCH($A299,#REF!, 0), MATCH(D$4,#REF!, 0))</f>
        <v>#REF!</v>
      </c>
      <c r="E299" s="146" t="e">
        <f>INDEX(#REF!, MATCH($A299,#REF!, 0), MATCH(E$4,#REF!, 0))</f>
        <v>#REF!</v>
      </c>
      <c r="F299" s="146" t="e">
        <f>INDEX(#REF!, MATCH($A299,#REF!, 0), MATCH(F$4,#REF!, 0))</f>
        <v>#REF!</v>
      </c>
      <c r="G299" s="146" t="e">
        <f>INDEX(#REF!, MATCH($A299,#REF!, 0), MATCH(G$4,#REF!, 0))</f>
        <v>#REF!</v>
      </c>
      <c r="H299" s="146" t="e">
        <f>INDEX(#REF!, MATCH($A299,#REF!, 0), MATCH(H$4,#REF!, 0))</f>
        <v>#REF!</v>
      </c>
      <c r="I299" s="146" t="e">
        <f>INDEX(#REF!, MATCH($A299,#REF!, 0), MATCH(I$4,#REF!, 0))</f>
        <v>#REF!</v>
      </c>
      <c r="J299" s="146" t="e">
        <f>INDEX(#REF!, MATCH($A299,#REF!, 0), MATCH(J$4,#REF!, 0))</f>
        <v>#REF!</v>
      </c>
      <c r="K299" s="146" t="e">
        <f>INDEX(#REF!, MATCH($A299,#REF!, 0), MATCH(K$4,#REF!, 0))</f>
        <v>#REF!</v>
      </c>
      <c r="L299" s="146" t="e">
        <f>INDEX(#REF!, MATCH($A299,#REF!, 0), MATCH(L$4,#REF!, 0))</f>
        <v>#REF!</v>
      </c>
      <c r="M299" s="146" t="e">
        <f>INDEX(#REF!, MATCH($A299,#REF!, 0), MATCH(M$4,#REF!, 0))</f>
        <v>#REF!</v>
      </c>
      <c r="N299" s="146" t="e">
        <f>INDEX(#REF!, MATCH($A299,#REF!, 0), MATCH(N$4,#REF!, 0))</f>
        <v>#REF!</v>
      </c>
      <c r="O299" s="146" t="e">
        <f>INDEX(#REF!, MATCH($A299,#REF!, 0), MATCH(O$4,#REF!, 0))</f>
        <v>#REF!</v>
      </c>
      <c r="P299" s="146" t="e">
        <f>INDEX(#REF!, MATCH($A299,#REF!, 0), MATCH(P$4,#REF!, 0))</f>
        <v>#REF!</v>
      </c>
      <c r="Q299" s="146" t="e">
        <f>INDEX(#REF!, MATCH($A299,#REF!, 0), MATCH(Q$4,#REF!, 0))</f>
        <v>#REF!</v>
      </c>
      <c r="R299" s="146" t="e">
        <f>INDEX(#REF!, MATCH($A299,#REF!, 0), MATCH(R$4,#REF!, 0))</f>
        <v>#REF!</v>
      </c>
      <c r="S299" s="146" t="e">
        <f>INDEX(#REF!, MATCH($A299,#REF!, 0), MATCH(S$4,#REF!, 0))</f>
        <v>#REF!</v>
      </c>
      <c r="T299" s="146" t="e">
        <f>INDEX(#REF!, MATCH($A299,#REF!, 0), MATCH(T$4,#REF!, 0))</f>
        <v>#REF!</v>
      </c>
      <c r="U299" s="146" t="e">
        <f>INDEX(#REF!, MATCH($A299,#REF!, 0), MATCH(U$4,#REF!, 0))</f>
        <v>#REF!</v>
      </c>
      <c r="V299" s="320" t="e">
        <f>INDEX(#REF!, MATCH($A299,#REF!, 0), MATCH(V$4,#REF!, 0))</f>
        <v>#REF!</v>
      </c>
      <c r="W299" s="146" t="e">
        <f>INDEX(#REF!, MATCH($A299,#REF!, 0), MATCH(W$4,#REF!, 0))</f>
        <v>#REF!</v>
      </c>
      <c r="X299" s="146" t="e">
        <f>INDEX(#REF!, MATCH($A299,#REF!, 0), MATCH(X$4,#REF!, 0))</f>
        <v>#REF!</v>
      </c>
      <c r="Y299" s="146" t="e">
        <f>INDEX(#REF!, MATCH($A299,#REF!, 0), MATCH(Y$4,#REF!, 0))</f>
        <v>#REF!</v>
      </c>
      <c r="Z299" s="146" t="e">
        <f>INDEX(#REF!, MATCH($A299,#REF!, 0), MATCH(Z$4,#REF!, 0))</f>
        <v>#REF!</v>
      </c>
      <c r="AA299" s="146" t="e">
        <f>INDEX(#REF!, MATCH($A299,#REF!, 0), MATCH(AA$4,#REF!, 0))</f>
        <v>#REF!</v>
      </c>
      <c r="AB299" s="146" t="e">
        <f>INDEX(#REF!, MATCH($A299,#REF!, 0), MATCH(AB$4,#REF!, 0))</f>
        <v>#REF!</v>
      </c>
      <c r="AC299" s="320" t="e">
        <f>INDEX(#REF!, MATCH($A299,#REF!, 0), MATCH(AC$4,#REF!, 0))</f>
        <v>#REF!</v>
      </c>
      <c r="AD299" s="146" t="e">
        <f>INDEX(#REF!, MATCH($A299,#REF!, 0), MATCH(AD$4,#REF!, 0))</f>
        <v>#REF!</v>
      </c>
      <c r="AE299" s="146" t="e">
        <f>INDEX(#REF!, MATCH($A299,#REF!, 0), MATCH(AE$4,#REF!, 0))</f>
        <v>#REF!</v>
      </c>
      <c r="AF299" s="146" t="e">
        <f>INDEX(#REF!, MATCH($A299,#REF!, 0), MATCH(AF$4,#REF!, 0))</f>
        <v>#REF!</v>
      </c>
      <c r="AG299" s="146" t="e">
        <f>INDEX(#REF!, MATCH($A299,#REF!, 0), MATCH(AG$4,#REF!, 0))</f>
        <v>#REF!</v>
      </c>
      <c r="AH299" s="146" t="e">
        <f>INDEX(#REF!, MATCH($A299,#REF!, 0), MATCH(AH$4,#REF!, 0))</f>
        <v>#REF!</v>
      </c>
      <c r="AI299" s="146" t="e">
        <f>INDEX(#REF!, MATCH($A299,#REF!, 0), MATCH(AI$4,#REF!, 0))</f>
        <v>#REF!</v>
      </c>
      <c r="AJ299" s="320" t="e">
        <f>INDEX(#REF!, MATCH($A299,#REF!, 0), MATCH(AJ$4,#REF!, 0))</f>
        <v>#REF!</v>
      </c>
      <c r="AK299" s="146" t="e">
        <f>INDEX(#REF!, MATCH($A299,#REF!, 0), MATCH(AK$4,#REF!, 0))</f>
        <v>#REF!</v>
      </c>
      <c r="AL299" s="146" t="e">
        <f>INDEX(#REF!, MATCH($A299,#REF!, 0), MATCH(AL$4,#REF!, 0))</f>
        <v>#REF!</v>
      </c>
      <c r="AM299" s="146" t="e">
        <f>INDEX(#REF!, MATCH($A299,#REF!, 0), MATCH(AM$4,#REF!, 0))</f>
        <v>#REF!</v>
      </c>
      <c r="AN299" s="146" t="e">
        <f>INDEX(#REF!, MATCH($A299,#REF!, 0), MATCH(AN$4,#REF!, 0))</f>
        <v>#REF!</v>
      </c>
      <c r="AO299" s="146" t="e">
        <f>INDEX(#REF!, MATCH($A299,#REF!, 0), MATCH(AO$4,#REF!, 0))</f>
        <v>#REF!</v>
      </c>
      <c r="AP299" s="146" t="e">
        <f>INDEX(#REF!, MATCH($A299,#REF!, 0), MATCH(AP$4,#REF!, 0))</f>
        <v>#REF!</v>
      </c>
      <c r="AQ299" s="320" t="e">
        <f>INDEX(#REF!, MATCH($A299,#REF!, 0), MATCH(AQ$4,#REF!, 0))</f>
        <v>#REF!</v>
      </c>
      <c r="AR299" s="146" t="e">
        <f>INDEX(#REF!, MATCH($A299,#REF!, 0), MATCH(AR$4,#REF!, 0))</f>
        <v>#REF!</v>
      </c>
      <c r="AS299" s="146" t="e">
        <f>INDEX(#REF!, MATCH($A299,#REF!, 0), MATCH(AS$4,#REF!, 0))</f>
        <v>#REF!</v>
      </c>
      <c r="AT299" s="146" t="e">
        <f>INDEX(#REF!, MATCH($A299,#REF!, 0), MATCH(AT$4,#REF!, 0))</f>
        <v>#REF!</v>
      </c>
      <c r="AU299" s="146" t="e">
        <f>INDEX(#REF!, MATCH($A299,#REF!, 0), MATCH(AU$4,#REF!, 0))</f>
        <v>#REF!</v>
      </c>
      <c r="AV299" s="146" t="e">
        <f>INDEX(#REF!, MATCH($A299,#REF!, 0), MATCH(AV$4,#REF!, 0))</f>
        <v>#REF!</v>
      </c>
      <c r="AW299" s="146" t="e">
        <f>INDEX(#REF!, MATCH($A299,#REF!, 0), MATCH(AW$4,#REF!, 0))</f>
        <v>#REF!</v>
      </c>
      <c r="AX299" s="320" t="e">
        <f>INDEX(#REF!, MATCH($A299,#REF!, 0), MATCH(AX$4,#REF!, 0))</f>
        <v>#REF!</v>
      </c>
      <c r="AY299" s="146" t="e">
        <f>INDEX(#REF!, MATCH($A299,#REF!, 0), MATCH(AY$4,#REF!, 0))</f>
        <v>#REF!</v>
      </c>
      <c r="AZ299" s="146" t="e">
        <f>INDEX(#REF!, MATCH($A299,#REF!, 0), MATCH(AZ$4,#REF!, 0))</f>
        <v>#REF!</v>
      </c>
      <c r="BA299" s="146" t="e">
        <f>INDEX(#REF!, MATCH($A299,#REF!, 0), MATCH(BA$4,#REF!, 0))</f>
        <v>#REF!</v>
      </c>
      <c r="BB299" s="146" t="e">
        <f>INDEX(#REF!, MATCH($A299,#REF!, 0), MATCH(BB$4,#REF!, 0))</f>
        <v>#REF!</v>
      </c>
      <c r="BC299" s="146" t="e">
        <f>INDEX(#REF!, MATCH($A299,#REF!, 0), MATCH(BC$4,#REF!, 0))</f>
        <v>#REF!</v>
      </c>
      <c r="BD299" s="364" t="e">
        <f>INDEX(#REF!, MATCH($A299,#REF!, 0), MATCH(BD$4,#REF!, 0))</f>
        <v>#REF!</v>
      </c>
      <c r="BE299" s="320" t="e">
        <f>INDEX(#REF!, MATCH($A299,#REF!, 0), MATCH(BE$4,#REF!, 0))</f>
        <v>#REF!</v>
      </c>
      <c r="BF299" s="146" t="e">
        <f>INDEX(#REF!, MATCH($A299,#REF!, 0), MATCH(BF$4,#REF!, 0))</f>
        <v>#REF!</v>
      </c>
      <c r="BG299" s="146" t="e">
        <f>INDEX(#REF!, MATCH($A299,#REF!, 0), MATCH(BG$4,#REF!, 0))</f>
        <v>#REF!</v>
      </c>
      <c r="BH299" s="146" t="e">
        <f>INDEX(#REF!, MATCH($A299,#REF!, 0), MATCH(BH$4,#REF!, 0))</f>
        <v>#REF!</v>
      </c>
      <c r="BI299" s="146" t="e">
        <f>INDEX(#REF!, MATCH($A299,#REF!, 0), MATCH(BI$4,#REF!, 0))</f>
        <v>#REF!</v>
      </c>
      <c r="BJ299" s="146" t="e">
        <f>INDEX(#REF!, MATCH($A299,#REF!, 0), MATCH(BJ$4,#REF!, 0))</f>
        <v>#REF!</v>
      </c>
      <c r="BK299" s="364" t="e">
        <f>INDEX(#REF!, MATCH($A299,#REF!, 0), MATCH(BK$4,#REF!, 0))</f>
        <v>#REF!</v>
      </c>
      <c r="BL299" s="164" t="e">
        <f t="shared" ref="BL299:BR299" si="833">SUM(BL287:BL293)-SUM(BL294:BL295)</f>
        <v>#REF!</v>
      </c>
      <c r="BM299" s="164" t="e">
        <f t="shared" si="833"/>
        <v>#REF!</v>
      </c>
      <c r="BN299" s="164" t="e">
        <f t="shared" si="833"/>
        <v>#REF!</v>
      </c>
      <c r="BO299" s="164" t="e">
        <f t="shared" si="833"/>
        <v>#REF!</v>
      </c>
      <c r="BP299" s="164" t="e">
        <f t="shared" si="833"/>
        <v>#REF!</v>
      </c>
      <c r="BQ299" s="164" t="e">
        <f t="shared" si="833"/>
        <v>#REF!</v>
      </c>
      <c r="BR299" s="164" t="e">
        <f t="shared" si="833"/>
        <v>#REF!</v>
      </c>
      <c r="BT299" s="121"/>
    </row>
    <row r="300" spans="1:91">
      <c r="A300" s="110"/>
      <c r="B300" s="214" t="s">
        <v>229</v>
      </c>
      <c r="C300" s="214"/>
      <c r="D300" s="146" t="e">
        <f t="shared" ref="D300:U300" si="834">D287+D291+D293+-D298+D292-D294-D295-D299</f>
        <v>#REF!</v>
      </c>
      <c r="E300" s="146" t="e">
        <f t="shared" si="834"/>
        <v>#REF!</v>
      </c>
      <c r="F300" s="146" t="e">
        <f t="shared" si="834"/>
        <v>#REF!</v>
      </c>
      <c r="G300" s="146" t="e">
        <f t="shared" si="834"/>
        <v>#REF!</v>
      </c>
      <c r="H300" s="146" t="e">
        <f t="shared" si="834"/>
        <v>#REF!</v>
      </c>
      <c r="I300" s="146" t="e">
        <f t="shared" si="834"/>
        <v>#REF!</v>
      </c>
      <c r="J300" s="146" t="e">
        <f t="shared" si="834"/>
        <v>#REF!</v>
      </c>
      <c r="K300" s="146" t="e">
        <f t="shared" si="834"/>
        <v>#REF!</v>
      </c>
      <c r="L300" s="146" t="e">
        <f t="shared" si="834"/>
        <v>#REF!</v>
      </c>
      <c r="M300" s="146" t="e">
        <f t="shared" si="834"/>
        <v>#REF!</v>
      </c>
      <c r="N300" s="146" t="e">
        <f t="shared" si="834"/>
        <v>#REF!</v>
      </c>
      <c r="O300" s="146" t="e">
        <f t="shared" si="834"/>
        <v>#REF!</v>
      </c>
      <c r="P300" s="146" t="e">
        <f t="shared" si="834"/>
        <v>#REF!</v>
      </c>
      <c r="Q300" s="146" t="e">
        <f t="shared" si="834"/>
        <v>#REF!</v>
      </c>
      <c r="R300" s="146" t="e">
        <f t="shared" si="834"/>
        <v>#REF!</v>
      </c>
      <c r="S300" s="146" t="e">
        <f t="shared" si="834"/>
        <v>#REF!</v>
      </c>
      <c r="T300" s="146" t="e">
        <f t="shared" si="834"/>
        <v>#REF!</v>
      </c>
      <c r="U300" s="146" t="e">
        <f t="shared" si="834"/>
        <v>#REF!</v>
      </c>
      <c r="V300" s="320" t="e">
        <f t="shared" ref="V300:BD300" si="835">V287+V291+V293+-V298+V292-V294-V295</f>
        <v>#REF!</v>
      </c>
      <c r="W300" s="146" t="e">
        <f t="shared" si="835"/>
        <v>#REF!</v>
      </c>
      <c r="X300" s="146" t="e">
        <f t="shared" si="835"/>
        <v>#REF!</v>
      </c>
      <c r="Y300" s="146" t="e">
        <f t="shared" si="835"/>
        <v>#REF!</v>
      </c>
      <c r="Z300" s="146" t="e">
        <f t="shared" si="835"/>
        <v>#REF!</v>
      </c>
      <c r="AA300" s="146" t="e">
        <f t="shared" si="835"/>
        <v>#REF!</v>
      </c>
      <c r="AB300" s="146" t="e">
        <f t="shared" si="835"/>
        <v>#REF!</v>
      </c>
      <c r="AC300" s="320" t="e">
        <f t="shared" si="835"/>
        <v>#REF!</v>
      </c>
      <c r="AD300" s="146" t="e">
        <f t="shared" si="835"/>
        <v>#REF!</v>
      </c>
      <c r="AE300" s="146" t="e">
        <f t="shared" si="835"/>
        <v>#REF!</v>
      </c>
      <c r="AF300" s="146" t="e">
        <f t="shared" si="835"/>
        <v>#REF!</v>
      </c>
      <c r="AG300" s="146" t="e">
        <f t="shared" si="835"/>
        <v>#REF!</v>
      </c>
      <c r="AH300" s="146" t="e">
        <f t="shared" si="835"/>
        <v>#REF!</v>
      </c>
      <c r="AI300" s="146" t="e">
        <f t="shared" si="835"/>
        <v>#REF!</v>
      </c>
      <c r="AJ300" s="320" t="e">
        <f t="shared" si="835"/>
        <v>#REF!</v>
      </c>
      <c r="AK300" s="146" t="e">
        <f t="shared" si="835"/>
        <v>#REF!</v>
      </c>
      <c r="AL300" s="146" t="e">
        <f t="shared" si="835"/>
        <v>#REF!</v>
      </c>
      <c r="AM300" s="146" t="e">
        <f t="shared" si="835"/>
        <v>#REF!</v>
      </c>
      <c r="AN300" s="146" t="e">
        <f t="shared" si="835"/>
        <v>#REF!</v>
      </c>
      <c r="AO300" s="146" t="e">
        <f t="shared" si="835"/>
        <v>#REF!</v>
      </c>
      <c r="AP300" s="146" t="e">
        <f t="shared" si="835"/>
        <v>#REF!</v>
      </c>
      <c r="AQ300" s="320" t="e">
        <f t="shared" si="835"/>
        <v>#REF!</v>
      </c>
      <c r="AR300" s="146" t="e">
        <f t="shared" si="835"/>
        <v>#REF!</v>
      </c>
      <c r="AS300" s="146" t="e">
        <f t="shared" si="835"/>
        <v>#REF!</v>
      </c>
      <c r="AT300" s="146" t="e">
        <f t="shared" si="835"/>
        <v>#REF!</v>
      </c>
      <c r="AU300" s="146" t="e">
        <f t="shared" si="835"/>
        <v>#REF!</v>
      </c>
      <c r="AV300" s="146" t="e">
        <f t="shared" si="835"/>
        <v>#REF!</v>
      </c>
      <c r="AW300" s="146" t="e">
        <f t="shared" si="835"/>
        <v>#REF!</v>
      </c>
      <c r="AX300" s="320" t="e">
        <f t="shared" si="835"/>
        <v>#REF!</v>
      </c>
      <c r="AY300" s="146" t="e">
        <f t="shared" si="835"/>
        <v>#REF!</v>
      </c>
      <c r="AZ300" s="146" t="e">
        <f t="shared" si="835"/>
        <v>#REF!</v>
      </c>
      <c r="BA300" s="146" t="e">
        <f t="shared" si="835"/>
        <v>#REF!</v>
      </c>
      <c r="BB300" s="146" t="e">
        <f t="shared" si="835"/>
        <v>#REF!</v>
      </c>
      <c r="BC300" s="146" t="e">
        <f t="shared" si="835"/>
        <v>#REF!</v>
      </c>
      <c r="BD300" s="364" t="e">
        <f t="shared" si="835"/>
        <v>#REF!</v>
      </c>
      <c r="BE300" s="320" t="e">
        <f t="shared" ref="BE300:BK300" si="836">BE287+BE291+BE293+-BE298+BE292-BE294-BE295</f>
        <v>#REF!</v>
      </c>
      <c r="BF300" s="146" t="e">
        <f t="shared" si="836"/>
        <v>#REF!</v>
      </c>
      <c r="BG300" s="146" t="e">
        <f t="shared" si="836"/>
        <v>#REF!</v>
      </c>
      <c r="BH300" s="146" t="e">
        <f t="shared" si="836"/>
        <v>#REF!</v>
      </c>
      <c r="BI300" s="146" t="e">
        <f t="shared" si="836"/>
        <v>#REF!</v>
      </c>
      <c r="BJ300" s="146" t="e">
        <f t="shared" si="836"/>
        <v>#REF!</v>
      </c>
      <c r="BK300" s="364" t="e">
        <f t="shared" si="836"/>
        <v>#REF!</v>
      </c>
      <c r="BL300" s="164"/>
      <c r="BM300" s="164"/>
      <c r="BN300" s="164"/>
      <c r="BO300" s="164"/>
      <c r="BP300" s="164"/>
      <c r="BQ300" s="164"/>
      <c r="BR300" s="164"/>
      <c r="BT300" s="121"/>
    </row>
    <row r="301" spans="1:91">
      <c r="A301" s="130"/>
      <c r="B301" s="117"/>
      <c r="C301" s="117"/>
      <c r="D301" s="160"/>
      <c r="E301" s="160"/>
      <c r="F301" s="160"/>
      <c r="G301" s="160"/>
      <c r="H301" s="160"/>
      <c r="I301" s="160"/>
      <c r="J301" s="160"/>
      <c r="K301" s="160"/>
      <c r="L301" s="160"/>
      <c r="M301" s="160"/>
      <c r="N301" s="160"/>
      <c r="O301" s="160"/>
      <c r="P301" s="160"/>
      <c r="Q301" s="160"/>
      <c r="R301" s="160"/>
      <c r="S301" s="160"/>
      <c r="T301" s="160"/>
      <c r="U301" s="160"/>
      <c r="V301" s="338"/>
      <c r="W301" s="160"/>
      <c r="X301" s="160"/>
      <c r="Y301" s="160"/>
      <c r="Z301" s="160"/>
      <c r="AA301" s="160"/>
      <c r="AB301" s="160"/>
      <c r="AC301" s="338"/>
      <c r="AD301" s="160"/>
      <c r="AE301" s="160"/>
      <c r="AF301" s="160"/>
      <c r="AG301" s="160"/>
      <c r="AH301" s="160"/>
      <c r="AI301" s="160"/>
      <c r="AJ301" s="338"/>
      <c r="AK301" s="160"/>
      <c r="AL301" s="160"/>
      <c r="AM301" s="160"/>
      <c r="AN301" s="160"/>
      <c r="AO301" s="160"/>
      <c r="AP301" s="160"/>
      <c r="AQ301" s="338"/>
      <c r="AR301" s="160"/>
      <c r="AS301" s="160"/>
      <c r="AT301" s="160"/>
      <c r="AU301" s="160"/>
      <c r="AV301" s="160"/>
      <c r="AW301" s="160"/>
      <c r="AX301" s="338"/>
      <c r="AY301" s="160"/>
      <c r="AZ301" s="160"/>
      <c r="BA301" s="160"/>
      <c r="BB301" s="160"/>
      <c r="BC301" s="160"/>
      <c r="BD301" s="381"/>
      <c r="BE301" s="338"/>
      <c r="BF301" s="160"/>
      <c r="BG301" s="160"/>
      <c r="BH301" s="160"/>
      <c r="BI301" s="160"/>
      <c r="BJ301" s="160"/>
      <c r="BK301" s="381"/>
      <c r="BL301" s="160"/>
      <c r="BM301" s="160"/>
      <c r="BN301" s="119"/>
      <c r="BO301" s="119"/>
      <c r="BP301" s="160"/>
      <c r="BQ301" s="119"/>
      <c r="BR301" s="160"/>
      <c r="BT301" s="121"/>
    </row>
    <row r="302" spans="1:91">
      <c r="A302" s="105" t="s">
        <v>215</v>
      </c>
      <c r="B302" s="117" t="s">
        <v>148</v>
      </c>
      <c r="C302" s="117"/>
      <c r="D302" s="146" t="e">
        <f>INDEX(#REF!, MATCH($A302,#REF!, 0), MATCH(D$4,#REF!, 0))</f>
        <v>#REF!</v>
      </c>
      <c r="E302" s="146" t="e">
        <f>INDEX(#REF!, MATCH($A302,#REF!, 0), MATCH(E$4,#REF!, 0))</f>
        <v>#REF!</v>
      </c>
      <c r="F302" s="146" t="e">
        <f>INDEX(#REF!, MATCH($A302,#REF!, 0), MATCH(F$4,#REF!, 0))</f>
        <v>#REF!</v>
      </c>
      <c r="G302" s="146" t="e">
        <f>INDEX(#REF!, MATCH($A302,#REF!, 0), MATCH(G$4,#REF!, 0))</f>
        <v>#REF!</v>
      </c>
      <c r="H302" s="146" t="e">
        <f>INDEX(#REF!, MATCH($A302,#REF!, 0), MATCH(H$4,#REF!, 0))</f>
        <v>#REF!</v>
      </c>
      <c r="I302" s="146" t="e">
        <f>INDEX(#REF!, MATCH($A302,#REF!, 0), MATCH(I$4,#REF!, 0))</f>
        <v>#REF!</v>
      </c>
      <c r="J302" s="146" t="e">
        <f>INDEX(#REF!, MATCH($A302,#REF!, 0), MATCH(J$4,#REF!, 0))</f>
        <v>#REF!</v>
      </c>
      <c r="K302" s="146" t="e">
        <f>INDEX(#REF!, MATCH($A302,#REF!, 0), MATCH(K$4,#REF!, 0))</f>
        <v>#REF!</v>
      </c>
      <c r="L302" s="146" t="e">
        <f>INDEX(#REF!, MATCH($A302,#REF!, 0), MATCH(L$4,#REF!, 0))</f>
        <v>#REF!</v>
      </c>
      <c r="M302" s="146" t="e">
        <f>INDEX(#REF!, MATCH($A302,#REF!, 0), MATCH(M$4,#REF!, 0))</f>
        <v>#REF!</v>
      </c>
      <c r="N302" s="146" t="e">
        <f>INDEX(#REF!, MATCH($A302,#REF!, 0), MATCH(N$4,#REF!, 0))</f>
        <v>#REF!</v>
      </c>
      <c r="O302" s="146" t="e">
        <f>INDEX(#REF!, MATCH($A302,#REF!, 0), MATCH(O$4,#REF!, 0))</f>
        <v>#REF!</v>
      </c>
      <c r="P302" s="146" t="e">
        <f>INDEX(#REF!, MATCH($A302,#REF!, 0), MATCH(P$4,#REF!, 0))</f>
        <v>#REF!</v>
      </c>
      <c r="Q302" s="146" t="e">
        <f>INDEX(#REF!, MATCH($A302,#REF!, 0), MATCH(Q$4,#REF!, 0))</f>
        <v>#REF!</v>
      </c>
      <c r="R302" s="146" t="e">
        <f>INDEX(#REF!, MATCH($A302,#REF!, 0), MATCH(R$4,#REF!, 0))</f>
        <v>#REF!</v>
      </c>
      <c r="S302" s="146" t="e">
        <f>INDEX(#REF!, MATCH($A302,#REF!, 0), MATCH(S$4,#REF!, 0))</f>
        <v>#REF!</v>
      </c>
      <c r="T302" s="146" t="e">
        <f>INDEX(#REF!, MATCH($A302,#REF!, 0), MATCH(T$4,#REF!, 0))</f>
        <v>#REF!</v>
      </c>
      <c r="U302" s="146" t="e">
        <f>INDEX(#REF!, MATCH($A302,#REF!, 0), MATCH(U$4,#REF!, 0))</f>
        <v>#REF!</v>
      </c>
      <c r="V302" s="320" t="e">
        <f>INDEX(#REF!, MATCH($A302,#REF!, 0), MATCH(V$4,#REF!, 0))</f>
        <v>#REF!</v>
      </c>
      <c r="W302" s="146" t="e">
        <f>INDEX(#REF!, MATCH($A302,#REF!, 0), MATCH(W$4,#REF!, 0))</f>
        <v>#REF!</v>
      </c>
      <c r="X302" s="146" t="e">
        <f>INDEX(#REF!, MATCH($A302,#REF!, 0), MATCH(X$4,#REF!, 0))</f>
        <v>#REF!</v>
      </c>
      <c r="Y302" s="146" t="e">
        <f>INDEX(#REF!, MATCH($A302,#REF!, 0), MATCH(Y$4,#REF!, 0))</f>
        <v>#REF!</v>
      </c>
      <c r="Z302" s="146" t="e">
        <f>INDEX(#REF!, MATCH($A302,#REF!, 0), MATCH(Z$4,#REF!, 0))</f>
        <v>#REF!</v>
      </c>
      <c r="AA302" s="146" t="e">
        <f>INDEX(#REF!, MATCH($A302,#REF!, 0), MATCH(AA$4,#REF!, 0))</f>
        <v>#REF!</v>
      </c>
      <c r="AB302" s="146" t="e">
        <f>INDEX(#REF!, MATCH($A302,#REF!, 0), MATCH(AB$4,#REF!, 0))</f>
        <v>#REF!</v>
      </c>
      <c r="AC302" s="320" t="e">
        <f>INDEX(#REF!, MATCH($A302,#REF!, 0), MATCH(AC$4,#REF!, 0))</f>
        <v>#REF!</v>
      </c>
      <c r="AD302" s="146" t="e">
        <f>INDEX(#REF!, MATCH($A302,#REF!, 0), MATCH(AD$4,#REF!, 0))</f>
        <v>#REF!</v>
      </c>
      <c r="AE302" s="146" t="e">
        <f>INDEX(#REF!, MATCH($A302,#REF!, 0), MATCH(AE$4,#REF!, 0))</f>
        <v>#REF!</v>
      </c>
      <c r="AF302" s="146" t="e">
        <f>INDEX(#REF!, MATCH($A302,#REF!, 0), MATCH(AF$4,#REF!, 0))</f>
        <v>#REF!</v>
      </c>
      <c r="AG302" s="146" t="e">
        <f>INDEX(#REF!, MATCH($A302,#REF!, 0), MATCH(AG$4,#REF!, 0))</f>
        <v>#REF!</v>
      </c>
      <c r="AH302" s="146" t="e">
        <f>INDEX(#REF!, MATCH($A302,#REF!, 0), MATCH(AH$4,#REF!, 0))</f>
        <v>#REF!</v>
      </c>
      <c r="AI302" s="146" t="e">
        <f>INDEX(#REF!, MATCH($A302,#REF!, 0), MATCH(AI$4,#REF!, 0))</f>
        <v>#REF!</v>
      </c>
      <c r="AJ302" s="320" t="e">
        <f>INDEX(#REF!, MATCH($A302,#REF!, 0), MATCH(AJ$4,#REF!, 0))</f>
        <v>#REF!</v>
      </c>
      <c r="AK302" s="146" t="e">
        <f>INDEX(#REF!, MATCH($A302,#REF!, 0), MATCH(AK$4,#REF!, 0))</f>
        <v>#REF!</v>
      </c>
      <c r="AL302" s="146" t="e">
        <f>INDEX(#REF!, MATCH($A302,#REF!, 0), MATCH(AL$4,#REF!, 0))</f>
        <v>#REF!</v>
      </c>
      <c r="AM302" s="146" t="e">
        <f>INDEX(#REF!, MATCH($A302,#REF!, 0), MATCH(AM$4,#REF!, 0))</f>
        <v>#REF!</v>
      </c>
      <c r="AN302" s="146" t="e">
        <f>INDEX(#REF!, MATCH($A302,#REF!, 0), MATCH(AN$4,#REF!, 0))</f>
        <v>#REF!</v>
      </c>
      <c r="AO302" s="146" t="e">
        <f>INDEX(#REF!, MATCH($A302,#REF!, 0), MATCH(AO$4,#REF!, 0))</f>
        <v>#REF!</v>
      </c>
      <c r="AP302" s="146" t="e">
        <f>INDEX(#REF!, MATCH($A302,#REF!, 0), MATCH(AP$4,#REF!, 0))</f>
        <v>#REF!</v>
      </c>
      <c r="AQ302" s="320" t="e">
        <f>INDEX(#REF!, MATCH($A302,#REF!, 0), MATCH(AQ$4,#REF!, 0))</f>
        <v>#REF!</v>
      </c>
      <c r="AR302" s="146" t="e">
        <f>INDEX(#REF!, MATCH($A302,#REF!, 0), MATCH(AR$4,#REF!, 0))</f>
        <v>#REF!</v>
      </c>
      <c r="AS302" s="146" t="e">
        <f>INDEX(#REF!, MATCH($A302,#REF!, 0), MATCH(AS$4,#REF!, 0))</f>
        <v>#REF!</v>
      </c>
      <c r="AT302" s="146" t="e">
        <f>INDEX(#REF!, MATCH($A302,#REF!, 0), MATCH(AT$4,#REF!, 0))</f>
        <v>#REF!</v>
      </c>
      <c r="AU302" s="146" t="e">
        <f>INDEX(#REF!, MATCH($A302,#REF!, 0), MATCH(AU$4,#REF!, 0))</f>
        <v>#REF!</v>
      </c>
      <c r="AV302" s="146" t="e">
        <f>INDEX(#REF!, MATCH($A302,#REF!, 0), MATCH(AV$4,#REF!, 0))</f>
        <v>#REF!</v>
      </c>
      <c r="AW302" s="146" t="e">
        <f>INDEX(#REF!, MATCH($A302,#REF!, 0), MATCH(AW$4,#REF!, 0))</f>
        <v>#REF!</v>
      </c>
      <c r="AX302" s="320" t="e">
        <f>INDEX(#REF!, MATCH($A302,#REF!, 0), MATCH(AX$4,#REF!, 0))</f>
        <v>#REF!</v>
      </c>
      <c r="AY302" s="146" t="e">
        <f>INDEX(#REF!, MATCH($A302,#REF!, 0), MATCH(AY$4,#REF!, 0))</f>
        <v>#REF!</v>
      </c>
      <c r="AZ302" s="146" t="e">
        <f>INDEX(#REF!, MATCH($A302,#REF!, 0), MATCH(AZ$4,#REF!, 0))</f>
        <v>#REF!</v>
      </c>
      <c r="BA302" s="146" t="e">
        <f>INDEX(#REF!, MATCH($A302,#REF!, 0), MATCH(BA$4,#REF!, 0))</f>
        <v>#REF!</v>
      </c>
      <c r="BB302" s="146" t="e">
        <f>INDEX(#REF!, MATCH($A302,#REF!, 0), MATCH(BB$4,#REF!, 0))</f>
        <v>#REF!</v>
      </c>
      <c r="BC302" s="146" t="e">
        <f>INDEX(#REF!, MATCH($A302,#REF!, 0), MATCH(BC$4,#REF!, 0))</f>
        <v>#REF!</v>
      </c>
      <c r="BD302" s="364" t="e">
        <f>INDEX(#REF!, MATCH($A302,#REF!, 0), MATCH(BD$4,#REF!, 0))</f>
        <v>#REF!</v>
      </c>
      <c r="BE302" s="320" t="e">
        <f>INDEX(#REF!, MATCH($A302,#REF!, 0), MATCH(BE$4,#REF!, 0))</f>
        <v>#REF!</v>
      </c>
      <c r="BF302" s="146" t="e">
        <f>INDEX(#REF!, MATCH($A302,#REF!, 0), MATCH(BF$4,#REF!, 0))</f>
        <v>#REF!</v>
      </c>
      <c r="BG302" s="146" t="e">
        <f>INDEX(#REF!, MATCH($A302,#REF!, 0), MATCH(BG$4,#REF!, 0))</f>
        <v>#REF!</v>
      </c>
      <c r="BH302" s="146" t="e">
        <f>INDEX(#REF!, MATCH($A302,#REF!, 0), MATCH(BH$4,#REF!, 0))</f>
        <v>#REF!</v>
      </c>
      <c r="BI302" s="146" t="e">
        <f>INDEX(#REF!, MATCH($A302,#REF!, 0), MATCH(BI$4,#REF!, 0))</f>
        <v>#REF!</v>
      </c>
      <c r="BJ302" s="146" t="e">
        <f>INDEX(#REF!, MATCH($A302,#REF!, 0), MATCH(BJ$4,#REF!, 0))</f>
        <v>#REF!</v>
      </c>
      <c r="BK302" s="364" t="e">
        <f>INDEX(#REF!, MATCH($A302,#REF!, 0), MATCH(BK$4,#REF!, 0))</f>
        <v>#REF!</v>
      </c>
      <c r="BL302" s="133">
        <v>0</v>
      </c>
      <c r="BM302" s="133">
        <v>0</v>
      </c>
      <c r="BN302" s="133">
        <v>0</v>
      </c>
      <c r="BO302" s="133">
        <v>0</v>
      </c>
      <c r="BP302" s="133">
        <v>0</v>
      </c>
      <c r="BQ302" s="133">
        <v>0</v>
      </c>
      <c r="BR302" s="133">
        <v>0</v>
      </c>
      <c r="BT302" s="121"/>
    </row>
    <row r="303" spans="1:91">
      <c r="A303" s="130"/>
      <c r="B303" s="117" t="s">
        <v>149</v>
      </c>
      <c r="C303" s="117"/>
      <c r="D303" s="150" t="e">
        <f t="shared" ref="D303:P303" si="837">D275+D284+D299+D302</f>
        <v>#REF!</v>
      </c>
      <c r="E303" s="150" t="e">
        <f t="shared" si="837"/>
        <v>#REF!</v>
      </c>
      <c r="F303" s="150" t="e">
        <f t="shared" si="837"/>
        <v>#REF!</v>
      </c>
      <c r="G303" s="150" t="e">
        <f t="shared" si="837"/>
        <v>#REF!</v>
      </c>
      <c r="H303" s="150" t="e">
        <f t="shared" si="837"/>
        <v>#REF!</v>
      </c>
      <c r="I303" s="150" t="e">
        <f t="shared" si="837"/>
        <v>#REF!</v>
      </c>
      <c r="J303" s="150" t="e">
        <f t="shared" si="837"/>
        <v>#REF!</v>
      </c>
      <c r="K303" s="150" t="e">
        <f t="shared" si="837"/>
        <v>#REF!</v>
      </c>
      <c r="L303" s="150" t="e">
        <f t="shared" si="837"/>
        <v>#REF!</v>
      </c>
      <c r="M303" s="150" t="e">
        <f t="shared" si="837"/>
        <v>#REF!</v>
      </c>
      <c r="N303" s="150" t="e">
        <f t="shared" si="837"/>
        <v>#REF!</v>
      </c>
      <c r="O303" s="150" t="e">
        <f t="shared" si="837"/>
        <v>#REF!</v>
      </c>
      <c r="P303" s="150" t="e">
        <f t="shared" si="837"/>
        <v>#REF!</v>
      </c>
      <c r="Q303" s="150" t="e">
        <f t="shared" ref="Q303:AX303" si="838">Q275+Q284+Q299+Q302</f>
        <v>#REF!</v>
      </c>
      <c r="R303" s="150" t="e">
        <f t="shared" si="838"/>
        <v>#REF!</v>
      </c>
      <c r="S303" s="150" t="e">
        <f t="shared" si="838"/>
        <v>#REF!</v>
      </c>
      <c r="T303" s="150" t="e">
        <f t="shared" si="838"/>
        <v>#REF!</v>
      </c>
      <c r="U303" s="150" t="e">
        <f t="shared" si="838"/>
        <v>#REF!</v>
      </c>
      <c r="V303" s="350" t="e">
        <f t="shared" ref="V303:AA303" si="839">V275+V284+V299+V302</f>
        <v>#REF!</v>
      </c>
      <c r="W303" s="150" t="e">
        <f t="shared" si="839"/>
        <v>#REF!</v>
      </c>
      <c r="X303" s="150" t="e">
        <f t="shared" si="839"/>
        <v>#REF!</v>
      </c>
      <c r="Y303" s="150" t="e">
        <f t="shared" si="839"/>
        <v>#REF!</v>
      </c>
      <c r="Z303" s="150" t="e">
        <f t="shared" si="839"/>
        <v>#REF!</v>
      </c>
      <c r="AA303" s="150" t="e">
        <f t="shared" si="839"/>
        <v>#REF!</v>
      </c>
      <c r="AB303" s="150" t="e">
        <f t="shared" si="838"/>
        <v>#REF!</v>
      </c>
      <c r="AC303" s="350" t="e">
        <f t="shared" ref="AC303:AH303" si="840">AC275+AC284+AC299+AC302</f>
        <v>#REF!</v>
      </c>
      <c r="AD303" s="150" t="e">
        <f t="shared" si="840"/>
        <v>#REF!</v>
      </c>
      <c r="AE303" s="150" t="e">
        <f t="shared" si="840"/>
        <v>#REF!</v>
      </c>
      <c r="AF303" s="150" t="e">
        <f t="shared" si="840"/>
        <v>#REF!</v>
      </c>
      <c r="AG303" s="150" t="e">
        <f t="shared" si="840"/>
        <v>#REF!</v>
      </c>
      <c r="AH303" s="150" t="e">
        <f t="shared" si="840"/>
        <v>#REF!</v>
      </c>
      <c r="AI303" s="150" t="e">
        <f t="shared" si="838"/>
        <v>#REF!</v>
      </c>
      <c r="AJ303" s="350" t="e">
        <f t="shared" ref="AJ303:AO303" si="841">AJ275+AJ284+AJ299+AJ302</f>
        <v>#REF!</v>
      </c>
      <c r="AK303" s="150" t="e">
        <f t="shared" si="841"/>
        <v>#REF!</v>
      </c>
      <c r="AL303" s="150" t="e">
        <f t="shared" si="841"/>
        <v>#REF!</v>
      </c>
      <c r="AM303" s="150" t="e">
        <f t="shared" si="841"/>
        <v>#REF!</v>
      </c>
      <c r="AN303" s="150" t="e">
        <f t="shared" si="841"/>
        <v>#REF!</v>
      </c>
      <c r="AO303" s="150" t="e">
        <f t="shared" si="841"/>
        <v>#REF!</v>
      </c>
      <c r="AP303" s="150" t="e">
        <f t="shared" si="838"/>
        <v>#REF!</v>
      </c>
      <c r="AQ303" s="350" t="e">
        <f t="shared" ref="AQ303:AV303" si="842">AQ275+AQ284+AQ299+AQ302</f>
        <v>#REF!</v>
      </c>
      <c r="AR303" s="150" t="e">
        <f t="shared" si="842"/>
        <v>#REF!</v>
      </c>
      <c r="AS303" s="150" t="e">
        <f t="shared" si="842"/>
        <v>#REF!</v>
      </c>
      <c r="AT303" s="150" t="e">
        <f t="shared" si="842"/>
        <v>#REF!</v>
      </c>
      <c r="AU303" s="150" t="e">
        <f t="shared" si="842"/>
        <v>#REF!</v>
      </c>
      <c r="AV303" s="150" t="e">
        <f t="shared" si="842"/>
        <v>#REF!</v>
      </c>
      <c r="AW303" s="150" t="e">
        <f t="shared" si="838"/>
        <v>#REF!</v>
      </c>
      <c r="AX303" s="350" t="e">
        <f t="shared" si="838"/>
        <v>#REF!</v>
      </c>
      <c r="AY303" s="150" t="e">
        <f t="shared" ref="AY303:AZ303" si="843">AY275+AY284+AY299+AY302</f>
        <v>#REF!</v>
      </c>
      <c r="AZ303" s="150" t="e">
        <f t="shared" si="843"/>
        <v>#REF!</v>
      </c>
      <c r="BA303" s="150" t="e">
        <f t="shared" ref="BA303:BC303" si="844">BA275+BA284+BA299+BA302</f>
        <v>#REF!</v>
      </c>
      <c r="BB303" s="150" t="e">
        <f t="shared" si="844"/>
        <v>#REF!</v>
      </c>
      <c r="BC303" s="150" t="e">
        <f t="shared" si="844"/>
        <v>#REF!</v>
      </c>
      <c r="BD303" s="392" t="e">
        <f t="shared" ref="BD303:BJ303" si="845">BD275+BD284+BD299+BD302</f>
        <v>#REF!</v>
      </c>
      <c r="BE303" s="350" t="e">
        <f t="shared" si="845"/>
        <v>#REF!</v>
      </c>
      <c r="BF303" s="150" t="e">
        <f t="shared" si="845"/>
        <v>#REF!</v>
      </c>
      <c r="BG303" s="150" t="e">
        <f t="shared" si="845"/>
        <v>#REF!</v>
      </c>
      <c r="BH303" s="150" t="e">
        <f t="shared" si="845"/>
        <v>#REF!</v>
      </c>
      <c r="BI303" s="150" t="e">
        <f t="shared" si="845"/>
        <v>#REF!</v>
      </c>
      <c r="BJ303" s="150" t="e">
        <f t="shared" si="845"/>
        <v>#REF!</v>
      </c>
      <c r="BK303" s="392" t="e">
        <f t="shared" ref="BK303" si="846">BK275+BK284+BK299+BK302</f>
        <v>#REF!</v>
      </c>
      <c r="BL303" s="157" t="e">
        <f t="shared" ref="BL303:BR303" si="847">BL275+BL284+BL299+BL302</f>
        <v>#REF!</v>
      </c>
      <c r="BM303" s="157" t="e">
        <f t="shared" si="847"/>
        <v>#REF!</v>
      </c>
      <c r="BN303" s="157" t="e">
        <f t="shared" si="847"/>
        <v>#REF!</v>
      </c>
      <c r="BO303" s="157" t="e">
        <f t="shared" si="847"/>
        <v>#REF!</v>
      </c>
      <c r="BP303" s="157" t="e">
        <f t="shared" si="847"/>
        <v>#REF!</v>
      </c>
      <c r="BQ303" s="157" t="e">
        <f t="shared" si="847"/>
        <v>#REF!</v>
      </c>
      <c r="BR303" s="157" t="e">
        <f t="shared" si="847"/>
        <v>#REF!</v>
      </c>
      <c r="BT303" s="121"/>
    </row>
    <row r="304" spans="1:91">
      <c r="A304" s="130"/>
      <c r="B304" s="117"/>
      <c r="C304" s="117"/>
      <c r="D304" s="150"/>
      <c r="E304" s="150"/>
      <c r="F304" s="150"/>
      <c r="G304" s="150"/>
      <c r="H304" s="150"/>
      <c r="I304" s="150"/>
      <c r="J304" s="150"/>
      <c r="K304" s="150"/>
      <c r="L304" s="150"/>
      <c r="M304" s="150"/>
      <c r="N304" s="150"/>
      <c r="O304" s="150"/>
      <c r="P304" s="150"/>
      <c r="Q304" s="150"/>
      <c r="R304" s="150"/>
      <c r="S304" s="150"/>
      <c r="T304" s="150"/>
      <c r="U304" s="150"/>
      <c r="V304" s="350"/>
      <c r="W304" s="150"/>
      <c r="X304" s="150"/>
      <c r="Y304" s="150"/>
      <c r="Z304" s="150"/>
      <c r="AA304" s="150"/>
      <c r="AB304" s="150"/>
      <c r="AC304" s="350"/>
      <c r="AD304" s="150"/>
      <c r="AE304" s="150"/>
      <c r="AF304" s="150"/>
      <c r="AG304" s="150"/>
      <c r="AH304" s="150"/>
      <c r="AI304" s="150"/>
      <c r="AJ304" s="350"/>
      <c r="AK304" s="150"/>
      <c r="AL304" s="150"/>
      <c r="AM304" s="150"/>
      <c r="AN304" s="150"/>
      <c r="AO304" s="150"/>
      <c r="AP304" s="150"/>
      <c r="AQ304" s="350"/>
      <c r="AR304" s="150"/>
      <c r="AS304" s="150"/>
      <c r="AT304" s="150"/>
      <c r="AU304" s="150"/>
      <c r="AV304" s="150"/>
      <c r="AW304" s="150"/>
      <c r="AX304" s="350"/>
      <c r="AY304" s="150"/>
      <c r="AZ304" s="150"/>
      <c r="BA304" s="150"/>
      <c r="BB304" s="150"/>
      <c r="BC304" s="150"/>
      <c r="BD304" s="392"/>
      <c r="BE304" s="350"/>
      <c r="BF304" s="150"/>
      <c r="BG304" s="150"/>
      <c r="BH304" s="150"/>
      <c r="BI304" s="150"/>
      <c r="BJ304" s="150"/>
      <c r="BK304" s="392"/>
      <c r="BL304" s="157"/>
      <c r="BM304" s="157"/>
      <c r="BN304" s="157"/>
      <c r="BO304" s="157"/>
      <c r="BP304" s="157"/>
      <c r="BQ304" s="157"/>
      <c r="BR304" s="157"/>
      <c r="BT304" s="121"/>
    </row>
    <row r="305" spans="1:91">
      <c r="A305" s="130"/>
      <c r="B305" s="117" t="s">
        <v>315</v>
      </c>
      <c r="C305" s="117"/>
      <c r="D305" s="150"/>
      <c r="E305" s="150"/>
      <c r="F305" s="150"/>
      <c r="G305" s="150"/>
      <c r="H305" s="150"/>
      <c r="I305" s="150"/>
      <c r="J305" s="150"/>
      <c r="K305" s="150"/>
      <c r="L305" s="150"/>
      <c r="M305" s="150"/>
      <c r="N305" s="150"/>
      <c r="O305" s="150"/>
      <c r="P305" s="150"/>
      <c r="Q305" s="150"/>
      <c r="R305" s="150"/>
      <c r="S305" s="150"/>
      <c r="T305" s="150"/>
      <c r="U305" s="150"/>
      <c r="V305" s="350"/>
      <c r="W305" s="150"/>
      <c r="X305" s="150"/>
      <c r="Y305" s="150"/>
      <c r="Z305" s="150"/>
      <c r="AA305" s="150"/>
      <c r="AB305" s="150"/>
      <c r="AC305" s="350"/>
      <c r="AD305" s="150"/>
      <c r="AE305" s="150"/>
      <c r="AF305" s="150"/>
      <c r="AG305" s="150"/>
      <c r="AH305" s="150"/>
      <c r="AI305" s="150"/>
      <c r="AJ305" s="350"/>
      <c r="AK305" s="150"/>
      <c r="AL305" s="150"/>
      <c r="AM305" s="150"/>
      <c r="AN305" s="150"/>
      <c r="AO305" s="150"/>
      <c r="AP305" s="150"/>
      <c r="AQ305" s="350"/>
      <c r="AR305" s="150"/>
      <c r="AS305" s="150"/>
      <c r="AT305" s="150"/>
      <c r="AU305" s="150"/>
      <c r="AV305" s="150"/>
      <c r="AW305" s="150"/>
      <c r="AX305" s="350"/>
      <c r="AY305" s="150"/>
      <c r="AZ305" s="150"/>
      <c r="BA305" s="150"/>
      <c r="BB305" s="150"/>
      <c r="BC305" s="150"/>
      <c r="BD305" s="392"/>
      <c r="BE305" s="350"/>
      <c r="BF305" s="150"/>
      <c r="BG305" s="150"/>
      <c r="BH305" s="150"/>
      <c r="BI305" s="150"/>
      <c r="BJ305" s="150"/>
      <c r="BK305" s="392"/>
      <c r="BL305" s="157"/>
      <c r="BM305" s="157"/>
      <c r="BN305" s="157"/>
      <c r="BO305" s="157"/>
      <c r="BP305" s="157"/>
      <c r="BQ305" s="157"/>
      <c r="BR305" s="157"/>
      <c r="BT305" s="121"/>
    </row>
    <row r="306" spans="1:91">
      <c r="A306" s="130"/>
      <c r="B306" s="117" t="s">
        <v>316</v>
      </c>
      <c r="C306" s="117"/>
      <c r="D306" s="150">
        <f t="shared" ref="D306:U306" si="848">C140</f>
        <v>0</v>
      </c>
      <c r="E306" s="150" t="e">
        <f t="shared" si="848"/>
        <v>#REF!</v>
      </c>
      <c r="F306" s="150" t="e">
        <f t="shared" si="848"/>
        <v>#REF!</v>
      </c>
      <c r="G306" s="150" t="e">
        <f t="shared" si="848"/>
        <v>#REF!</v>
      </c>
      <c r="H306" s="150" t="e">
        <f t="shared" si="848"/>
        <v>#REF!</v>
      </c>
      <c r="I306" s="150" t="e">
        <f t="shared" si="848"/>
        <v>#REF!</v>
      </c>
      <c r="J306" s="150" t="e">
        <f t="shared" si="848"/>
        <v>#REF!</v>
      </c>
      <c r="K306" s="150" t="e">
        <f t="shared" si="848"/>
        <v>#REF!</v>
      </c>
      <c r="L306" s="150" t="e">
        <f t="shared" si="848"/>
        <v>#REF!</v>
      </c>
      <c r="M306" s="150" t="e">
        <f t="shared" si="848"/>
        <v>#REF!</v>
      </c>
      <c r="N306" s="150" t="e">
        <f t="shared" si="848"/>
        <v>#REF!</v>
      </c>
      <c r="O306" s="150" t="e">
        <f t="shared" si="848"/>
        <v>#REF!</v>
      </c>
      <c r="P306" s="150" t="e">
        <f t="shared" si="848"/>
        <v>#REF!</v>
      </c>
      <c r="Q306" s="150" t="e">
        <f t="shared" si="848"/>
        <v>#REF!</v>
      </c>
      <c r="R306" s="150" t="e">
        <f t="shared" si="848"/>
        <v>#REF!</v>
      </c>
      <c r="S306" s="150" t="e">
        <f t="shared" si="848"/>
        <v>#REF!</v>
      </c>
      <c r="T306" s="150" t="e">
        <f t="shared" si="848"/>
        <v>#REF!</v>
      </c>
      <c r="U306" s="150" t="e">
        <f t="shared" si="848"/>
        <v>#REF!</v>
      </c>
      <c r="V306" s="350" t="e">
        <f>#REF!</f>
        <v>#REF!</v>
      </c>
      <c r="W306" s="150" t="e">
        <f>#REF!</f>
        <v>#REF!</v>
      </c>
      <c r="X306" s="150" t="e">
        <f>#REF!</f>
        <v>#REF!</v>
      </c>
      <c r="Y306" s="150" t="e">
        <f>#REF!</f>
        <v>#REF!</v>
      </c>
      <c r="Z306" s="150" t="e">
        <f>G140</f>
        <v>#REF!</v>
      </c>
      <c r="AA306" s="150" t="e">
        <f>N140</f>
        <v>#REF!</v>
      </c>
      <c r="AB306" s="150" t="e">
        <f>U140</f>
        <v>#REF!</v>
      </c>
      <c r="AC306" s="350" t="e">
        <f>#REF!</f>
        <v>#REF!</v>
      </c>
      <c r="AD306" s="150" t="e">
        <f>#REF!</f>
        <v>#REF!</v>
      </c>
      <c r="AE306" s="150" t="e">
        <f>#REF!</f>
        <v>#REF!</v>
      </c>
      <c r="AF306" s="150" t="e">
        <f>G140</f>
        <v>#REF!</v>
      </c>
      <c r="AG306" s="150" t="e">
        <f>N140</f>
        <v>#REF!</v>
      </c>
      <c r="AH306" s="150" t="e">
        <f>U140</f>
        <v>#REF!</v>
      </c>
      <c r="AI306" s="150" t="e">
        <f>AB140</f>
        <v>#REF!</v>
      </c>
      <c r="AJ306" s="350" t="e">
        <f>E140</f>
        <v>#REF!</v>
      </c>
      <c r="AK306" s="150" t="e">
        <f>F140</f>
        <v>#REF!</v>
      </c>
      <c r="AL306" s="150" t="e">
        <f>G140</f>
        <v>#REF!</v>
      </c>
      <c r="AM306" s="150" t="e">
        <f>N140</f>
        <v>#REF!</v>
      </c>
      <c r="AN306" s="150" t="e">
        <f>U140</f>
        <v>#REF!</v>
      </c>
      <c r="AO306" s="150" t="e">
        <f>AB140</f>
        <v>#REF!</v>
      </c>
      <c r="AP306" s="150" t="e">
        <f>AI140</f>
        <v>#REF!</v>
      </c>
      <c r="AQ306" s="350" t="e">
        <f>L140</f>
        <v>#REF!</v>
      </c>
      <c r="AR306" s="150" t="e">
        <f>M140</f>
        <v>#REF!</v>
      </c>
      <c r="AS306" s="150" t="e">
        <f>N140</f>
        <v>#REF!</v>
      </c>
      <c r="AT306" s="150" t="e">
        <f>U140</f>
        <v>#REF!</v>
      </c>
      <c r="AU306" s="150" t="e">
        <f>AB140</f>
        <v>#REF!</v>
      </c>
      <c r="AV306" s="150" t="e">
        <f>AI140</f>
        <v>#REF!</v>
      </c>
      <c r="AW306" s="150" t="e">
        <f>AP140</f>
        <v>#REF!</v>
      </c>
      <c r="AX306" s="350" t="e">
        <f>S140</f>
        <v>#REF!</v>
      </c>
      <c r="AY306" s="150" t="e">
        <f>T140</f>
        <v>#REF!</v>
      </c>
      <c r="AZ306" s="150" t="e">
        <f>U140</f>
        <v>#REF!</v>
      </c>
      <c r="BA306" s="150" t="e">
        <f>AB140</f>
        <v>#REF!</v>
      </c>
      <c r="BB306" s="150" t="e">
        <f>AI140</f>
        <v>#REF!</v>
      </c>
      <c r="BC306" s="150" t="e">
        <f>AP140</f>
        <v>#REF!</v>
      </c>
      <c r="BD306" s="392" t="e">
        <f>AW140</f>
        <v>#REF!</v>
      </c>
      <c r="BE306" s="350" t="e">
        <f>Z140</f>
        <v>#REF!</v>
      </c>
      <c r="BF306" s="150" t="e">
        <f>AA140</f>
        <v>#REF!</v>
      </c>
      <c r="BG306" s="150" t="e">
        <f>AB140</f>
        <v>#REF!</v>
      </c>
      <c r="BH306" s="150" t="e">
        <f>AI140</f>
        <v>#REF!</v>
      </c>
      <c r="BI306" s="150" t="e">
        <f>AP140</f>
        <v>#REF!</v>
      </c>
      <c r="BJ306" s="150" t="e">
        <f>AW140</f>
        <v>#REF!</v>
      </c>
      <c r="BK306" s="392" t="e">
        <f>BD140</f>
        <v>#REF!</v>
      </c>
      <c r="BL306" s="150" t="e">
        <f t="shared" ref="BL306:BR306" si="849">BK140</f>
        <v>#REF!</v>
      </c>
      <c r="BM306" s="150" t="e">
        <f t="shared" si="849"/>
        <v>#REF!</v>
      </c>
      <c r="BN306" s="150" t="e">
        <f t="shared" si="849"/>
        <v>#REF!</v>
      </c>
      <c r="BO306" s="150" t="e">
        <f t="shared" si="849"/>
        <v>#REF!</v>
      </c>
      <c r="BP306" s="150" t="e">
        <f t="shared" si="849"/>
        <v>#REF!</v>
      </c>
      <c r="BQ306" s="150" t="e">
        <f t="shared" si="849"/>
        <v>#REF!</v>
      </c>
      <c r="BR306" s="150" t="e">
        <f t="shared" si="849"/>
        <v>#REF!</v>
      </c>
      <c r="BT306" s="121"/>
    </row>
    <row r="307" spans="1:91" ht="14.1">
      <c r="A307" s="130"/>
      <c r="B307" s="220" t="s">
        <v>317</v>
      </c>
      <c r="C307" s="221"/>
      <c r="D307" s="222" t="e">
        <f t="shared" ref="D307:AI307" si="850">D140</f>
        <v>#REF!</v>
      </c>
      <c r="E307" s="222" t="e">
        <f t="shared" si="850"/>
        <v>#REF!</v>
      </c>
      <c r="F307" s="222" t="e">
        <f t="shared" si="850"/>
        <v>#REF!</v>
      </c>
      <c r="G307" s="222" t="e">
        <f t="shared" si="850"/>
        <v>#REF!</v>
      </c>
      <c r="H307" s="222" t="e">
        <f t="shared" si="850"/>
        <v>#REF!</v>
      </c>
      <c r="I307" s="222" t="e">
        <f t="shared" si="850"/>
        <v>#REF!</v>
      </c>
      <c r="J307" s="222" t="e">
        <f t="shared" si="850"/>
        <v>#REF!</v>
      </c>
      <c r="K307" s="222" t="e">
        <f t="shared" si="850"/>
        <v>#REF!</v>
      </c>
      <c r="L307" s="222" t="e">
        <f t="shared" si="850"/>
        <v>#REF!</v>
      </c>
      <c r="M307" s="222" t="e">
        <f t="shared" si="850"/>
        <v>#REF!</v>
      </c>
      <c r="N307" s="222" t="e">
        <f t="shared" si="850"/>
        <v>#REF!</v>
      </c>
      <c r="O307" s="222" t="e">
        <f t="shared" si="850"/>
        <v>#REF!</v>
      </c>
      <c r="P307" s="222" t="e">
        <f t="shared" si="850"/>
        <v>#REF!</v>
      </c>
      <c r="Q307" s="222" t="e">
        <f t="shared" si="850"/>
        <v>#REF!</v>
      </c>
      <c r="R307" s="222" t="e">
        <f t="shared" si="850"/>
        <v>#REF!</v>
      </c>
      <c r="S307" s="222" t="e">
        <f t="shared" si="850"/>
        <v>#REF!</v>
      </c>
      <c r="T307" s="222" t="e">
        <f t="shared" si="850"/>
        <v>#REF!</v>
      </c>
      <c r="U307" s="222" t="e">
        <f t="shared" si="850"/>
        <v>#REF!</v>
      </c>
      <c r="V307" s="351" t="e">
        <f t="shared" si="850"/>
        <v>#REF!</v>
      </c>
      <c r="W307" s="222" t="e">
        <f t="shared" si="850"/>
        <v>#REF!</v>
      </c>
      <c r="X307" s="222" t="e">
        <f t="shared" si="850"/>
        <v>#REF!</v>
      </c>
      <c r="Y307" s="222" t="e">
        <f t="shared" si="850"/>
        <v>#REF!</v>
      </c>
      <c r="Z307" s="222" t="e">
        <f t="shared" si="850"/>
        <v>#REF!</v>
      </c>
      <c r="AA307" s="222" t="e">
        <f t="shared" si="850"/>
        <v>#REF!</v>
      </c>
      <c r="AB307" s="222" t="e">
        <f t="shared" si="850"/>
        <v>#REF!</v>
      </c>
      <c r="AC307" s="351" t="e">
        <f t="shared" si="850"/>
        <v>#REF!</v>
      </c>
      <c r="AD307" s="222" t="e">
        <f t="shared" si="850"/>
        <v>#REF!</v>
      </c>
      <c r="AE307" s="222" t="e">
        <f t="shared" si="850"/>
        <v>#REF!</v>
      </c>
      <c r="AF307" s="222" t="e">
        <f t="shared" si="850"/>
        <v>#REF!</v>
      </c>
      <c r="AG307" s="222" t="e">
        <f t="shared" si="850"/>
        <v>#REF!</v>
      </c>
      <c r="AH307" s="222" t="e">
        <f t="shared" si="850"/>
        <v>#REF!</v>
      </c>
      <c r="AI307" s="222" t="e">
        <f t="shared" si="850"/>
        <v>#REF!</v>
      </c>
      <c r="AJ307" s="351" t="e">
        <f t="shared" ref="AJ307:BD307" si="851">AJ140</f>
        <v>#REF!</v>
      </c>
      <c r="AK307" s="222" t="e">
        <f t="shared" si="851"/>
        <v>#REF!</v>
      </c>
      <c r="AL307" s="222" t="e">
        <f t="shared" si="851"/>
        <v>#REF!</v>
      </c>
      <c r="AM307" s="222" t="e">
        <f t="shared" si="851"/>
        <v>#REF!</v>
      </c>
      <c r="AN307" s="222" t="e">
        <f t="shared" si="851"/>
        <v>#REF!</v>
      </c>
      <c r="AO307" s="222" t="e">
        <f t="shared" si="851"/>
        <v>#REF!</v>
      </c>
      <c r="AP307" s="222" t="e">
        <f t="shared" si="851"/>
        <v>#REF!</v>
      </c>
      <c r="AQ307" s="351" t="e">
        <f t="shared" si="851"/>
        <v>#REF!</v>
      </c>
      <c r="AR307" s="222" t="e">
        <f t="shared" si="851"/>
        <v>#REF!</v>
      </c>
      <c r="AS307" s="222" t="e">
        <f t="shared" si="851"/>
        <v>#REF!</v>
      </c>
      <c r="AT307" s="222" t="e">
        <f t="shared" si="851"/>
        <v>#REF!</v>
      </c>
      <c r="AU307" s="222" t="e">
        <f t="shared" si="851"/>
        <v>#REF!</v>
      </c>
      <c r="AV307" s="222" t="e">
        <f t="shared" si="851"/>
        <v>#REF!</v>
      </c>
      <c r="AW307" s="222" t="e">
        <f t="shared" si="851"/>
        <v>#REF!</v>
      </c>
      <c r="AX307" s="351" t="e">
        <f t="shared" si="851"/>
        <v>#REF!</v>
      </c>
      <c r="AY307" s="222" t="e">
        <f t="shared" si="851"/>
        <v>#REF!</v>
      </c>
      <c r="AZ307" s="222" t="e">
        <f t="shared" si="851"/>
        <v>#REF!</v>
      </c>
      <c r="BA307" s="222" t="e">
        <f t="shared" si="851"/>
        <v>#REF!</v>
      </c>
      <c r="BB307" s="222" t="e">
        <f t="shared" si="851"/>
        <v>#REF!</v>
      </c>
      <c r="BC307" s="222" t="e">
        <f t="shared" si="851"/>
        <v>#REF!</v>
      </c>
      <c r="BD307" s="393" t="e">
        <f t="shared" si="851"/>
        <v>#REF!</v>
      </c>
      <c r="BE307" s="351" t="e">
        <f t="shared" ref="BE307:BK307" si="852">BE140</f>
        <v>#REF!</v>
      </c>
      <c r="BF307" s="222" t="e">
        <f t="shared" si="852"/>
        <v>#REF!</v>
      </c>
      <c r="BG307" s="222" t="e">
        <f t="shared" si="852"/>
        <v>#REF!</v>
      </c>
      <c r="BH307" s="222" t="e">
        <f t="shared" si="852"/>
        <v>#REF!</v>
      </c>
      <c r="BI307" s="222" t="e">
        <f t="shared" si="852"/>
        <v>#REF!</v>
      </c>
      <c r="BJ307" s="222" t="e">
        <f t="shared" si="852"/>
        <v>#REF!</v>
      </c>
      <c r="BK307" s="393" t="e">
        <f t="shared" si="852"/>
        <v>#REF!</v>
      </c>
      <c r="BL307" s="222" t="e">
        <f t="shared" ref="BL307:BR307" si="853">BL312+BL308</f>
        <v>#REF!</v>
      </c>
      <c r="BM307" s="222" t="e">
        <f t="shared" si="853"/>
        <v>#REF!</v>
      </c>
      <c r="BN307" s="222" t="e">
        <f t="shared" si="853"/>
        <v>#REF!</v>
      </c>
      <c r="BO307" s="222" t="e">
        <f t="shared" si="853"/>
        <v>#REF!</v>
      </c>
      <c r="BP307" s="222" t="e">
        <f t="shared" si="853"/>
        <v>#REF!</v>
      </c>
      <c r="BQ307" s="222" t="e">
        <f t="shared" si="853"/>
        <v>#REF!</v>
      </c>
      <c r="BR307" s="222" t="e">
        <f t="shared" si="853"/>
        <v>#REF!</v>
      </c>
      <c r="BT307" s="121"/>
    </row>
    <row r="308" spans="1:91">
      <c r="A308" s="130"/>
      <c r="B308" s="117" t="s">
        <v>319</v>
      </c>
      <c r="C308" s="117"/>
      <c r="D308" s="150" t="e">
        <f t="shared" ref="D308:P308" si="854">D307-D312</f>
        <v>#REF!</v>
      </c>
      <c r="E308" s="150" t="e">
        <f t="shared" si="854"/>
        <v>#REF!</v>
      </c>
      <c r="F308" s="150" t="e">
        <f t="shared" si="854"/>
        <v>#REF!</v>
      </c>
      <c r="G308" s="150" t="e">
        <f t="shared" si="854"/>
        <v>#REF!</v>
      </c>
      <c r="H308" s="150" t="e">
        <f t="shared" si="854"/>
        <v>#REF!</v>
      </c>
      <c r="I308" s="150" t="e">
        <f t="shared" si="854"/>
        <v>#REF!</v>
      </c>
      <c r="J308" s="150" t="e">
        <f t="shared" si="854"/>
        <v>#REF!</v>
      </c>
      <c r="K308" s="150" t="e">
        <f t="shared" si="854"/>
        <v>#REF!</v>
      </c>
      <c r="L308" s="150" t="e">
        <f t="shared" si="854"/>
        <v>#REF!</v>
      </c>
      <c r="M308" s="150" t="e">
        <f t="shared" si="854"/>
        <v>#REF!</v>
      </c>
      <c r="N308" s="150" t="e">
        <f t="shared" si="854"/>
        <v>#REF!</v>
      </c>
      <c r="O308" s="150" t="e">
        <f t="shared" si="854"/>
        <v>#REF!</v>
      </c>
      <c r="P308" s="150" t="e">
        <f t="shared" si="854"/>
        <v>#REF!</v>
      </c>
      <c r="Q308" s="150" t="e">
        <f t="shared" ref="Q308:AP308" si="855">Q307-Q312</f>
        <v>#REF!</v>
      </c>
      <c r="R308" s="150" t="e">
        <f t="shared" si="855"/>
        <v>#REF!</v>
      </c>
      <c r="S308" s="150" t="e">
        <f t="shared" si="855"/>
        <v>#REF!</v>
      </c>
      <c r="T308" s="150" t="e">
        <f t="shared" si="855"/>
        <v>#REF!</v>
      </c>
      <c r="U308" s="150" t="e">
        <f t="shared" si="855"/>
        <v>#REF!</v>
      </c>
      <c r="V308" s="350" t="e">
        <f t="shared" ref="V308:AA308" si="856">V307-V312</f>
        <v>#REF!</v>
      </c>
      <c r="W308" s="150" t="e">
        <f t="shared" si="856"/>
        <v>#REF!</v>
      </c>
      <c r="X308" s="150" t="e">
        <f t="shared" si="856"/>
        <v>#REF!</v>
      </c>
      <c r="Y308" s="150" t="e">
        <f t="shared" si="856"/>
        <v>#REF!</v>
      </c>
      <c r="Z308" s="150" t="e">
        <f t="shared" si="856"/>
        <v>#REF!</v>
      </c>
      <c r="AA308" s="150" t="e">
        <f t="shared" si="856"/>
        <v>#REF!</v>
      </c>
      <c r="AB308" s="150" t="e">
        <f t="shared" si="855"/>
        <v>#REF!</v>
      </c>
      <c r="AC308" s="350" t="e">
        <f t="shared" ref="AC308:AH308" si="857">AC307-AC312</f>
        <v>#REF!</v>
      </c>
      <c r="AD308" s="150" t="e">
        <f t="shared" si="857"/>
        <v>#REF!</v>
      </c>
      <c r="AE308" s="150" t="e">
        <f t="shared" si="857"/>
        <v>#REF!</v>
      </c>
      <c r="AF308" s="150" t="e">
        <f t="shared" si="857"/>
        <v>#REF!</v>
      </c>
      <c r="AG308" s="150" t="e">
        <f t="shared" si="857"/>
        <v>#REF!</v>
      </c>
      <c r="AH308" s="150" t="e">
        <f t="shared" si="857"/>
        <v>#REF!</v>
      </c>
      <c r="AI308" s="150" t="e">
        <f t="shared" si="855"/>
        <v>#REF!</v>
      </c>
      <c r="AJ308" s="350" t="e">
        <f t="shared" ref="AJ308:AO308" si="858">AJ307-AJ312</f>
        <v>#REF!</v>
      </c>
      <c r="AK308" s="150" t="e">
        <f t="shared" si="858"/>
        <v>#REF!</v>
      </c>
      <c r="AL308" s="150" t="e">
        <f t="shared" si="858"/>
        <v>#REF!</v>
      </c>
      <c r="AM308" s="150" t="e">
        <f t="shared" si="858"/>
        <v>#REF!</v>
      </c>
      <c r="AN308" s="150" t="e">
        <f t="shared" si="858"/>
        <v>#REF!</v>
      </c>
      <c r="AO308" s="150" t="e">
        <f t="shared" si="858"/>
        <v>#REF!</v>
      </c>
      <c r="AP308" s="150" t="e">
        <f t="shared" si="855"/>
        <v>#REF!</v>
      </c>
      <c r="AQ308" s="350" t="e">
        <f t="shared" ref="AQ308:BC308" si="859">AQ307-AQ312</f>
        <v>#REF!</v>
      </c>
      <c r="AR308" s="150" t="e">
        <f t="shared" si="859"/>
        <v>#REF!</v>
      </c>
      <c r="AS308" s="150" t="e">
        <f t="shared" si="859"/>
        <v>#REF!</v>
      </c>
      <c r="AT308" s="150" t="e">
        <f t="shared" si="859"/>
        <v>#REF!</v>
      </c>
      <c r="AU308" s="150" t="e">
        <f t="shared" si="859"/>
        <v>#REF!</v>
      </c>
      <c r="AV308" s="150" t="e">
        <f t="shared" si="859"/>
        <v>#REF!</v>
      </c>
      <c r="AW308" s="150" t="e">
        <f t="shared" si="859"/>
        <v>#REF!</v>
      </c>
      <c r="AX308" s="350" t="e">
        <f t="shared" si="859"/>
        <v>#REF!</v>
      </c>
      <c r="AY308" s="150" t="e">
        <f t="shared" si="859"/>
        <v>#REF!</v>
      </c>
      <c r="AZ308" s="150" t="e">
        <f t="shared" si="859"/>
        <v>#REF!</v>
      </c>
      <c r="BA308" s="150" t="e">
        <f t="shared" si="859"/>
        <v>#REF!</v>
      </c>
      <c r="BB308" s="150" t="e">
        <f t="shared" si="859"/>
        <v>#REF!</v>
      </c>
      <c r="BC308" s="150" t="e">
        <f t="shared" si="859"/>
        <v>#REF!</v>
      </c>
      <c r="BD308" s="392" t="e">
        <f>BD307-BD312</f>
        <v>#REF!</v>
      </c>
      <c r="BE308" s="350" t="e">
        <f t="shared" ref="BE308:BJ308" si="860">BE307-BE312</f>
        <v>#REF!</v>
      </c>
      <c r="BF308" s="150" t="e">
        <f t="shared" si="860"/>
        <v>#REF!</v>
      </c>
      <c r="BG308" s="150" t="e">
        <f t="shared" si="860"/>
        <v>#REF!</v>
      </c>
      <c r="BH308" s="150" t="e">
        <f t="shared" si="860"/>
        <v>#REF!</v>
      </c>
      <c r="BI308" s="150" t="e">
        <f t="shared" si="860"/>
        <v>#REF!</v>
      </c>
      <c r="BJ308" s="150" t="e">
        <f t="shared" si="860"/>
        <v>#REF!</v>
      </c>
      <c r="BK308" s="392" t="e">
        <f>BK307-BK312</f>
        <v>#REF!</v>
      </c>
      <c r="BL308" s="112" t="e">
        <f>BK308</f>
        <v>#REF!</v>
      </c>
      <c r="BM308" s="112" t="e">
        <f t="shared" ref="BM308:BR308" si="861">BL308</f>
        <v>#REF!</v>
      </c>
      <c r="BN308" s="112" t="e">
        <f t="shared" si="861"/>
        <v>#REF!</v>
      </c>
      <c r="BO308" s="112" t="e">
        <f t="shared" si="861"/>
        <v>#REF!</v>
      </c>
      <c r="BP308" s="112" t="e">
        <f t="shared" si="861"/>
        <v>#REF!</v>
      </c>
      <c r="BQ308" s="112" t="e">
        <f t="shared" si="861"/>
        <v>#REF!</v>
      </c>
      <c r="BR308" s="112" t="e">
        <f t="shared" si="861"/>
        <v>#REF!</v>
      </c>
      <c r="BT308" s="121"/>
    </row>
    <row r="309" spans="1:91">
      <c r="A309" s="130"/>
      <c r="B309" s="117"/>
      <c r="C309" s="117"/>
      <c r="D309" s="150"/>
      <c r="E309" s="150"/>
      <c r="F309" s="150"/>
      <c r="G309" s="150"/>
      <c r="H309" s="150"/>
      <c r="I309" s="150"/>
      <c r="J309" s="150"/>
      <c r="K309" s="150"/>
      <c r="L309" s="150"/>
      <c r="M309" s="150"/>
      <c r="N309" s="150"/>
      <c r="O309" s="150"/>
      <c r="P309" s="150"/>
      <c r="Q309" s="150"/>
      <c r="R309" s="150"/>
      <c r="S309" s="150"/>
      <c r="T309" s="150"/>
      <c r="U309" s="150"/>
      <c r="V309" s="350"/>
      <c r="W309" s="150"/>
      <c r="X309" s="150"/>
      <c r="Y309" s="150"/>
      <c r="Z309" s="150"/>
      <c r="AA309" s="150"/>
      <c r="AB309" s="150"/>
      <c r="AC309" s="350"/>
      <c r="AD309" s="150"/>
      <c r="AE309" s="150"/>
      <c r="AF309" s="150"/>
      <c r="AG309" s="150"/>
      <c r="AH309" s="150"/>
      <c r="AI309" s="150"/>
      <c r="AJ309" s="350"/>
      <c r="AK309" s="150"/>
      <c r="AL309" s="150"/>
      <c r="AM309" s="150"/>
      <c r="AN309" s="150"/>
      <c r="AO309" s="150"/>
      <c r="AP309" s="150"/>
      <c r="AQ309" s="350"/>
      <c r="AR309" s="150"/>
      <c r="AS309" s="150"/>
      <c r="AT309" s="150"/>
      <c r="AU309" s="150"/>
      <c r="AV309" s="150"/>
      <c r="AW309" s="150"/>
      <c r="AX309" s="350"/>
      <c r="AY309" s="150"/>
      <c r="AZ309" s="150"/>
      <c r="BA309" s="150"/>
      <c r="BB309" s="150"/>
      <c r="BC309" s="150"/>
      <c r="BD309" s="392"/>
      <c r="BE309" s="350"/>
      <c r="BF309" s="150"/>
      <c r="BG309" s="150"/>
      <c r="BH309" s="150"/>
      <c r="BI309" s="150"/>
      <c r="BJ309" s="150"/>
      <c r="BK309" s="392"/>
      <c r="BL309" s="157"/>
      <c r="BM309" s="157"/>
      <c r="BN309" s="157"/>
      <c r="BO309" s="157"/>
      <c r="BP309" s="157"/>
      <c r="BQ309" s="157"/>
      <c r="BR309" s="157"/>
      <c r="BT309" s="121"/>
    </row>
    <row r="310" spans="1:91">
      <c r="A310" s="130"/>
      <c r="B310" s="117" t="s">
        <v>318</v>
      </c>
      <c r="C310" s="117"/>
      <c r="D310" s="150"/>
      <c r="E310" s="150"/>
      <c r="F310" s="150"/>
      <c r="G310" s="150"/>
      <c r="H310" s="150"/>
      <c r="I310" s="150"/>
      <c r="J310" s="150"/>
      <c r="K310" s="150"/>
      <c r="L310" s="150"/>
      <c r="M310" s="150"/>
      <c r="N310" s="150"/>
      <c r="O310" s="150"/>
      <c r="P310" s="150"/>
      <c r="Q310" s="150"/>
      <c r="R310" s="150"/>
      <c r="S310" s="150"/>
      <c r="T310" s="150"/>
      <c r="U310" s="150"/>
      <c r="V310" s="350"/>
      <c r="W310" s="150"/>
      <c r="X310" s="150"/>
      <c r="Y310" s="150"/>
      <c r="Z310" s="150"/>
      <c r="AA310" s="150"/>
      <c r="AB310" s="150"/>
      <c r="AC310" s="350"/>
      <c r="AD310" s="150"/>
      <c r="AE310" s="150"/>
      <c r="AF310" s="150"/>
      <c r="AG310" s="150"/>
      <c r="AH310" s="150"/>
      <c r="AI310" s="150"/>
      <c r="AJ310" s="350"/>
      <c r="AK310" s="150"/>
      <c r="AL310" s="150"/>
      <c r="AM310" s="150"/>
      <c r="AN310" s="150"/>
      <c r="AO310" s="150"/>
      <c r="AP310" s="150"/>
      <c r="AQ310" s="350"/>
      <c r="AR310" s="150"/>
      <c r="AS310" s="150"/>
      <c r="AT310" s="150"/>
      <c r="AU310" s="150"/>
      <c r="AV310" s="150"/>
      <c r="AW310" s="150"/>
      <c r="AX310" s="350"/>
      <c r="AY310" s="150"/>
      <c r="AZ310" s="150"/>
      <c r="BA310" s="150"/>
      <c r="BB310" s="150"/>
      <c r="BC310" s="150"/>
      <c r="BD310" s="392"/>
      <c r="BE310" s="350"/>
      <c r="BF310" s="150"/>
      <c r="BG310" s="150"/>
      <c r="BH310" s="150"/>
      <c r="BI310" s="150"/>
      <c r="BJ310" s="150"/>
      <c r="BK310" s="392"/>
      <c r="BL310" s="157"/>
      <c r="BM310" s="157"/>
      <c r="BN310" s="157"/>
      <c r="BO310" s="157"/>
      <c r="BP310" s="157"/>
      <c r="BQ310" s="157"/>
      <c r="BR310" s="157"/>
      <c r="BT310" s="121"/>
    </row>
    <row r="311" spans="1:91">
      <c r="A311" s="111" t="s">
        <v>216</v>
      </c>
      <c r="B311" s="117" t="s">
        <v>316</v>
      </c>
      <c r="C311" s="117"/>
      <c r="D311" s="146" t="e">
        <f>INDEX(#REF!, MATCH($A311,#REF!, 0), MATCH(D$4,#REF!, 0))</f>
        <v>#REF!</v>
      </c>
      <c r="E311" s="146" t="e">
        <f>INDEX(#REF!, MATCH($A311,#REF!, 0), MATCH(E$4,#REF!, 0))</f>
        <v>#REF!</v>
      </c>
      <c r="F311" s="146" t="e">
        <f>INDEX(#REF!, MATCH($A311,#REF!, 0), MATCH(F$4,#REF!, 0))</f>
        <v>#REF!</v>
      </c>
      <c r="G311" s="146" t="e">
        <f>INDEX(#REF!, MATCH($A311,#REF!, 0), MATCH(G$4,#REF!, 0))</f>
        <v>#REF!</v>
      </c>
      <c r="H311" s="146" t="e">
        <f>INDEX(#REF!, MATCH($A311,#REF!, 0), MATCH(H$4,#REF!, 0))</f>
        <v>#REF!</v>
      </c>
      <c r="I311" s="146" t="e">
        <f>INDEX(#REF!, MATCH($A311,#REF!, 0), MATCH(I$4,#REF!, 0))</f>
        <v>#REF!</v>
      </c>
      <c r="J311" s="146" t="e">
        <f>INDEX(#REF!, MATCH($A311,#REF!, 0), MATCH(J$4,#REF!, 0))</f>
        <v>#REF!</v>
      </c>
      <c r="K311" s="146" t="e">
        <f>INDEX(#REF!, MATCH($A311,#REF!, 0), MATCH(K$4,#REF!, 0))</f>
        <v>#REF!</v>
      </c>
      <c r="L311" s="146" t="e">
        <f>INDEX(#REF!, MATCH($A311,#REF!, 0), MATCH(L$4,#REF!, 0))</f>
        <v>#REF!</v>
      </c>
      <c r="M311" s="146" t="e">
        <f>INDEX(#REF!, MATCH($A311,#REF!, 0), MATCH(M$4,#REF!, 0))</f>
        <v>#REF!</v>
      </c>
      <c r="N311" s="146" t="e">
        <f>INDEX(#REF!, MATCH($A311,#REF!, 0), MATCH(N$4,#REF!, 0))</f>
        <v>#REF!</v>
      </c>
      <c r="O311" s="146" t="e">
        <f>INDEX(#REF!, MATCH($A311,#REF!, 0), MATCH(O$4,#REF!, 0))</f>
        <v>#REF!</v>
      </c>
      <c r="P311" s="146" t="e">
        <f>INDEX(#REF!, MATCH($A311,#REF!, 0), MATCH(P$4,#REF!, 0))</f>
        <v>#REF!</v>
      </c>
      <c r="Q311" s="146" t="e">
        <f>INDEX(#REF!, MATCH($A311,#REF!, 0), MATCH(Q$4,#REF!, 0))</f>
        <v>#REF!</v>
      </c>
      <c r="R311" s="146" t="e">
        <f>INDEX(#REF!, MATCH($A311,#REF!, 0), MATCH(R$4,#REF!, 0))</f>
        <v>#REF!</v>
      </c>
      <c r="S311" s="146" t="e">
        <f>INDEX(#REF!, MATCH($A311,#REF!, 0), MATCH(S$4,#REF!, 0))</f>
        <v>#REF!</v>
      </c>
      <c r="T311" s="146" t="e">
        <f>INDEX(#REF!, MATCH($A311,#REF!, 0), MATCH(T$4,#REF!, 0))</f>
        <v>#REF!</v>
      </c>
      <c r="U311" s="146" t="e">
        <f>INDEX(#REF!, MATCH($A311,#REF!, 0), MATCH(U$4,#REF!, 0))</f>
        <v>#REF!</v>
      </c>
      <c r="V311" s="320" t="e">
        <f>#REF!</f>
        <v>#REF!</v>
      </c>
      <c r="W311" s="146" t="e">
        <f>#REF!</f>
        <v>#REF!</v>
      </c>
      <c r="X311" s="146" t="e">
        <f>#REF!</f>
        <v>#REF!</v>
      </c>
      <c r="Y311" s="146" t="e">
        <f>#REF!</f>
        <v>#REF!</v>
      </c>
      <c r="Z311" s="146" t="e">
        <f>G312</f>
        <v>#REF!</v>
      </c>
      <c r="AA311" s="146" t="e">
        <f>N312</f>
        <v>#REF!</v>
      </c>
      <c r="AB311" s="146" t="e">
        <f>U312</f>
        <v>#REF!</v>
      </c>
      <c r="AC311" s="320" t="e">
        <f>#REF!</f>
        <v>#REF!</v>
      </c>
      <c r="AD311" s="146" t="e">
        <f>#REF!</f>
        <v>#REF!</v>
      </c>
      <c r="AE311" s="146" t="e">
        <f>#REF!</f>
        <v>#REF!</v>
      </c>
      <c r="AF311" s="146" t="e">
        <f>G312</f>
        <v>#REF!</v>
      </c>
      <c r="AG311" s="146" t="e">
        <f>N312</f>
        <v>#REF!</v>
      </c>
      <c r="AH311" s="146" t="e">
        <f>U312</f>
        <v>#REF!</v>
      </c>
      <c r="AI311" s="146" t="e">
        <f>AB312</f>
        <v>#REF!</v>
      </c>
      <c r="AJ311" s="320" t="e">
        <f>E312</f>
        <v>#REF!</v>
      </c>
      <c r="AK311" s="146" t="e">
        <f>F312</f>
        <v>#REF!</v>
      </c>
      <c r="AL311" s="146" t="e">
        <f>G312</f>
        <v>#REF!</v>
      </c>
      <c r="AM311" s="146" t="e">
        <f>N312</f>
        <v>#REF!</v>
      </c>
      <c r="AN311" s="146" t="e">
        <f>U312</f>
        <v>#REF!</v>
      </c>
      <c r="AO311" s="146" t="e">
        <f>AB312</f>
        <v>#REF!</v>
      </c>
      <c r="AP311" s="146" t="e">
        <f>AI312</f>
        <v>#REF!</v>
      </c>
      <c r="AQ311" s="320" t="e">
        <f>L312</f>
        <v>#REF!</v>
      </c>
      <c r="AR311" s="146" t="e">
        <f>M312</f>
        <v>#REF!</v>
      </c>
      <c r="AS311" s="146" t="e">
        <f>N312</f>
        <v>#REF!</v>
      </c>
      <c r="AT311" s="146" t="e">
        <f>U312</f>
        <v>#REF!</v>
      </c>
      <c r="AU311" s="146" t="e">
        <f>AB312</f>
        <v>#REF!</v>
      </c>
      <c r="AV311" s="146" t="e">
        <f>AI312</f>
        <v>#REF!</v>
      </c>
      <c r="AW311" s="146" t="e">
        <f>AP312</f>
        <v>#REF!</v>
      </c>
      <c r="AX311" s="320" t="e">
        <f>S312</f>
        <v>#REF!</v>
      </c>
      <c r="AY311" s="146" t="e">
        <f>T312</f>
        <v>#REF!</v>
      </c>
      <c r="AZ311" s="146" t="e">
        <f>U312</f>
        <v>#REF!</v>
      </c>
      <c r="BA311" s="146" t="e">
        <f>AB312</f>
        <v>#REF!</v>
      </c>
      <c r="BB311" s="146" t="e">
        <f>AI312</f>
        <v>#REF!</v>
      </c>
      <c r="BC311" s="146" t="e">
        <f>AP312</f>
        <v>#REF!</v>
      </c>
      <c r="BD311" s="364" t="e">
        <f>AW312</f>
        <v>#REF!</v>
      </c>
      <c r="BE311" s="320" t="e">
        <f>Z312</f>
        <v>#REF!</v>
      </c>
      <c r="BF311" s="146" t="e">
        <f>AA312</f>
        <v>#REF!</v>
      </c>
      <c r="BG311" s="146" t="e">
        <f>AB312</f>
        <v>#REF!</v>
      </c>
      <c r="BH311" s="146" t="e">
        <f>AI312</f>
        <v>#REF!</v>
      </c>
      <c r="BI311" s="146" t="e">
        <f>AP312</f>
        <v>#REF!</v>
      </c>
      <c r="BJ311" s="146" t="e">
        <f>AW312</f>
        <v>#REF!</v>
      </c>
      <c r="BK311" s="364" t="e">
        <f>BD312</f>
        <v>#REF!</v>
      </c>
      <c r="BL311" s="146" t="e">
        <f>BK312</f>
        <v>#REF!</v>
      </c>
      <c r="BM311" s="146" t="e">
        <f t="shared" ref="BM311:BR311" si="862">BL312</f>
        <v>#REF!</v>
      </c>
      <c r="BN311" s="146" t="e">
        <f t="shared" si="862"/>
        <v>#REF!</v>
      </c>
      <c r="BO311" s="146" t="e">
        <f t="shared" si="862"/>
        <v>#REF!</v>
      </c>
      <c r="BP311" s="146" t="e">
        <f t="shared" si="862"/>
        <v>#REF!</v>
      </c>
      <c r="BQ311" s="146" t="e">
        <f t="shared" si="862"/>
        <v>#REF!</v>
      </c>
      <c r="BR311" s="146" t="e">
        <f t="shared" si="862"/>
        <v>#REF!</v>
      </c>
      <c r="BT311" s="121"/>
    </row>
    <row r="312" spans="1:91">
      <c r="A312" s="111" t="s">
        <v>217</v>
      </c>
      <c r="B312" s="117" t="s">
        <v>317</v>
      </c>
      <c r="C312" s="117"/>
      <c r="D312" s="146" t="e">
        <f>INDEX(#REF!, MATCH($A312,#REF!, 0), MATCH(D$4,#REF!, 0))</f>
        <v>#REF!</v>
      </c>
      <c r="E312" s="146" t="e">
        <f>INDEX(#REF!, MATCH($A312,#REF!, 0), MATCH(E$4,#REF!, 0))</f>
        <v>#REF!</v>
      </c>
      <c r="F312" s="146" t="e">
        <f>INDEX(#REF!, MATCH($A312,#REF!, 0), MATCH(F$4,#REF!, 0))</f>
        <v>#REF!</v>
      </c>
      <c r="G312" s="146" t="e">
        <f>INDEX(#REF!, MATCH($A312,#REF!, 0), MATCH(G$4,#REF!, 0))</f>
        <v>#REF!</v>
      </c>
      <c r="H312" s="146" t="e">
        <f>INDEX(#REF!, MATCH($A312,#REF!, 0), MATCH(H$4,#REF!, 0))</f>
        <v>#REF!</v>
      </c>
      <c r="I312" s="146" t="e">
        <f>INDEX(#REF!, MATCH($A312,#REF!, 0), MATCH(I$4,#REF!, 0))</f>
        <v>#REF!</v>
      </c>
      <c r="J312" s="146" t="e">
        <f>INDEX(#REF!, MATCH($A312,#REF!, 0), MATCH(J$4,#REF!, 0))</f>
        <v>#REF!</v>
      </c>
      <c r="K312" s="146" t="e">
        <f>INDEX(#REF!, MATCH($A312,#REF!, 0), MATCH(K$4,#REF!, 0))</f>
        <v>#REF!</v>
      </c>
      <c r="L312" s="146" t="e">
        <f>INDEX(#REF!, MATCH($A312,#REF!, 0), MATCH(L$4,#REF!, 0))</f>
        <v>#REF!</v>
      </c>
      <c r="M312" s="146" t="e">
        <f>INDEX(#REF!, MATCH($A312,#REF!, 0), MATCH(M$4,#REF!, 0))</f>
        <v>#REF!</v>
      </c>
      <c r="N312" s="146" t="e">
        <f>INDEX(#REF!, MATCH($A312,#REF!, 0), MATCH(N$4,#REF!, 0))</f>
        <v>#REF!</v>
      </c>
      <c r="O312" s="146" t="e">
        <f>INDEX(#REF!, MATCH($A312,#REF!, 0), MATCH(O$4,#REF!, 0))</f>
        <v>#REF!</v>
      </c>
      <c r="P312" s="146" t="e">
        <f>INDEX(#REF!, MATCH($A312,#REF!, 0), MATCH(P$4,#REF!, 0))</f>
        <v>#REF!</v>
      </c>
      <c r="Q312" s="146" t="e">
        <f>INDEX(#REF!, MATCH($A312,#REF!, 0), MATCH(Q$4,#REF!, 0))</f>
        <v>#REF!</v>
      </c>
      <c r="R312" s="146" t="e">
        <f>INDEX(#REF!, MATCH($A312,#REF!, 0), MATCH(R$4,#REF!, 0))</f>
        <v>#REF!</v>
      </c>
      <c r="S312" s="146" t="e">
        <f>INDEX(#REF!, MATCH($A312,#REF!, 0), MATCH(S$4,#REF!, 0))</f>
        <v>#REF!</v>
      </c>
      <c r="T312" s="146" t="e">
        <f>INDEX(#REF!, MATCH($A312,#REF!, 0), MATCH(T$4,#REF!, 0))</f>
        <v>#REF!</v>
      </c>
      <c r="U312" s="146" t="e">
        <f>INDEX(#REF!, MATCH($A312,#REF!, 0), MATCH(U$4,#REF!, 0))</f>
        <v>#REF!</v>
      </c>
      <c r="V312" s="320" t="e">
        <f>INDEX(#REF!, MATCH($A312,#REF!, 0), MATCH(V$4,#REF!, 0))</f>
        <v>#REF!</v>
      </c>
      <c r="W312" s="146" t="e">
        <f>INDEX(#REF!, MATCH($A312,#REF!, 0), MATCH(W$4,#REF!, 0))</f>
        <v>#REF!</v>
      </c>
      <c r="X312" s="146" t="e">
        <f>INDEX(#REF!, MATCH($A312,#REF!, 0), MATCH(X$4,#REF!, 0))</f>
        <v>#REF!</v>
      </c>
      <c r="Y312" s="146" t="e">
        <f>INDEX(#REF!, MATCH($A312,#REF!, 0), MATCH(Y$4,#REF!, 0))</f>
        <v>#REF!</v>
      </c>
      <c r="Z312" s="146" t="e">
        <f>INDEX(#REF!, MATCH($A312,#REF!, 0), MATCH(Z$4,#REF!, 0))</f>
        <v>#REF!</v>
      </c>
      <c r="AA312" s="146" t="e">
        <f>INDEX(#REF!, MATCH($A312,#REF!, 0), MATCH(AA$4,#REF!, 0))</f>
        <v>#REF!</v>
      </c>
      <c r="AB312" s="146" t="e">
        <f>INDEX(#REF!, MATCH($A312,#REF!, 0), MATCH(AB$4,#REF!, 0))</f>
        <v>#REF!</v>
      </c>
      <c r="AC312" s="320" t="e">
        <f>INDEX(#REF!, MATCH($A312,#REF!, 0), MATCH(AC$4,#REF!, 0))</f>
        <v>#REF!</v>
      </c>
      <c r="AD312" s="146" t="e">
        <f>INDEX(#REF!, MATCH($A312,#REF!, 0), MATCH(AD$4,#REF!, 0))</f>
        <v>#REF!</v>
      </c>
      <c r="AE312" s="146" t="e">
        <f>INDEX(#REF!, MATCH($A312,#REF!, 0), MATCH(AE$4,#REF!, 0))</f>
        <v>#REF!</v>
      </c>
      <c r="AF312" s="146" t="e">
        <f>INDEX(#REF!, MATCH($A312,#REF!, 0), MATCH(AF$4,#REF!, 0))</f>
        <v>#REF!</v>
      </c>
      <c r="AG312" s="146" t="e">
        <f>INDEX(#REF!, MATCH($A312,#REF!, 0), MATCH(AG$4,#REF!, 0))</f>
        <v>#REF!</v>
      </c>
      <c r="AH312" s="146" t="e">
        <f>INDEX(#REF!, MATCH($A312,#REF!, 0), MATCH(AH$4,#REF!, 0))</f>
        <v>#REF!</v>
      </c>
      <c r="AI312" s="146" t="e">
        <f>INDEX(#REF!, MATCH($A312,#REF!, 0), MATCH(AI$4,#REF!, 0))</f>
        <v>#REF!</v>
      </c>
      <c r="AJ312" s="320" t="e">
        <f>INDEX(#REF!, MATCH($A312,#REF!, 0), MATCH(AJ$4,#REF!, 0))</f>
        <v>#REF!</v>
      </c>
      <c r="AK312" s="146" t="e">
        <f>INDEX(#REF!, MATCH($A312,#REF!, 0), MATCH(AK$4,#REF!, 0))</f>
        <v>#REF!</v>
      </c>
      <c r="AL312" s="146" t="e">
        <f>INDEX(#REF!, MATCH($A312,#REF!, 0), MATCH(AL$4,#REF!, 0))</f>
        <v>#REF!</v>
      </c>
      <c r="AM312" s="146" t="e">
        <f>INDEX(#REF!, MATCH($A312,#REF!, 0), MATCH(AM$4,#REF!, 0))</f>
        <v>#REF!</v>
      </c>
      <c r="AN312" s="146" t="e">
        <f>INDEX(#REF!, MATCH($A312,#REF!, 0), MATCH(AN$4,#REF!, 0))</f>
        <v>#REF!</v>
      </c>
      <c r="AO312" s="146" t="e">
        <f>INDEX(#REF!, MATCH($A312,#REF!, 0), MATCH(AO$4,#REF!, 0))</f>
        <v>#REF!</v>
      </c>
      <c r="AP312" s="146" t="e">
        <f>INDEX(#REF!, MATCH($A312,#REF!, 0), MATCH(AP$4,#REF!, 0))</f>
        <v>#REF!</v>
      </c>
      <c r="AQ312" s="320" t="e">
        <f>INDEX(#REF!, MATCH($A312,#REF!, 0), MATCH(AQ$4,#REF!, 0))</f>
        <v>#REF!</v>
      </c>
      <c r="AR312" s="146" t="e">
        <f>INDEX(#REF!, MATCH($A312,#REF!, 0), MATCH(AR$4,#REF!, 0))</f>
        <v>#REF!</v>
      </c>
      <c r="AS312" s="146" t="e">
        <f>INDEX(#REF!, MATCH($A312,#REF!, 0), MATCH(AS$4,#REF!, 0))</f>
        <v>#REF!</v>
      </c>
      <c r="AT312" s="146" t="e">
        <f>INDEX(#REF!, MATCH($A312,#REF!, 0), MATCH(AT$4,#REF!, 0))</f>
        <v>#REF!</v>
      </c>
      <c r="AU312" s="146" t="e">
        <f>INDEX(#REF!, MATCH($A312,#REF!, 0), MATCH(AU$4,#REF!, 0))</f>
        <v>#REF!</v>
      </c>
      <c r="AV312" s="146" t="e">
        <f>INDEX(#REF!, MATCH($A312,#REF!, 0), MATCH(AV$4,#REF!, 0))</f>
        <v>#REF!</v>
      </c>
      <c r="AW312" s="146" t="e">
        <f>INDEX(#REF!, MATCH($A312,#REF!, 0), MATCH(AW$4,#REF!, 0))</f>
        <v>#REF!</v>
      </c>
      <c r="AX312" s="320" t="e">
        <f>INDEX(#REF!, MATCH($A312,#REF!, 0), MATCH(AX$4,#REF!, 0))</f>
        <v>#REF!</v>
      </c>
      <c r="AY312" s="146" t="e">
        <f>INDEX(#REF!, MATCH($A312,#REF!, 0), MATCH(AY$4,#REF!, 0))</f>
        <v>#REF!</v>
      </c>
      <c r="AZ312" s="146" t="e">
        <f>INDEX(#REF!, MATCH($A312,#REF!, 0), MATCH(AZ$4,#REF!, 0))</f>
        <v>#REF!</v>
      </c>
      <c r="BA312" s="146" t="e">
        <f>INDEX(#REF!, MATCH($A312,#REF!, 0), MATCH(BA$4,#REF!, 0))</f>
        <v>#REF!</v>
      </c>
      <c r="BB312" s="146" t="e">
        <f>INDEX(#REF!, MATCH($A312,#REF!, 0), MATCH(BB$4,#REF!, 0))</f>
        <v>#REF!</v>
      </c>
      <c r="BC312" s="146" t="e">
        <f>INDEX(#REF!, MATCH($A312,#REF!, 0), MATCH(BC$4,#REF!, 0))</f>
        <v>#REF!</v>
      </c>
      <c r="BD312" s="364" t="e">
        <f>INDEX(#REF!, MATCH($A312,#REF!, 0), MATCH(BD$4,#REF!, 0))</f>
        <v>#REF!</v>
      </c>
      <c r="BE312" s="320" t="e">
        <f>INDEX(#REF!, MATCH($A312,#REF!, 0), MATCH(BE$4,#REF!, 0))</f>
        <v>#REF!</v>
      </c>
      <c r="BF312" s="146" t="e">
        <f>INDEX(#REF!, MATCH($A312,#REF!, 0), MATCH(BF$4,#REF!, 0))</f>
        <v>#REF!</v>
      </c>
      <c r="BG312" s="146" t="e">
        <f>INDEX(#REF!, MATCH($A312,#REF!, 0), MATCH(BG$4,#REF!, 0))</f>
        <v>#REF!</v>
      </c>
      <c r="BH312" s="146" t="e">
        <f>INDEX(#REF!, MATCH($A312,#REF!, 0), MATCH(BH$4,#REF!, 0))</f>
        <v>#REF!</v>
      </c>
      <c r="BI312" s="146" t="e">
        <f>INDEX(#REF!, MATCH($A312,#REF!, 0), MATCH(BI$4,#REF!, 0))</f>
        <v>#REF!</v>
      </c>
      <c r="BJ312" s="146" t="e">
        <f>INDEX(#REF!, MATCH($A312,#REF!, 0), MATCH(BJ$4,#REF!, 0))</f>
        <v>#REF!</v>
      </c>
      <c r="BK312" s="364" t="e">
        <f>INDEX(#REF!, MATCH($A312,#REF!, 0), MATCH(BK$4,#REF!, 0))</f>
        <v>#REF!</v>
      </c>
      <c r="BL312" s="157" t="e">
        <f>BK312+BL303</f>
        <v>#REF!</v>
      </c>
      <c r="BM312" s="157" t="e">
        <f t="shared" ref="BM312:BR312" si="863">BL312+BM303</f>
        <v>#REF!</v>
      </c>
      <c r="BN312" s="157" t="e">
        <f t="shared" si="863"/>
        <v>#REF!</v>
      </c>
      <c r="BO312" s="157" t="e">
        <f t="shared" si="863"/>
        <v>#REF!</v>
      </c>
      <c r="BP312" s="157" t="e">
        <f t="shared" si="863"/>
        <v>#REF!</v>
      </c>
      <c r="BQ312" s="157" t="e">
        <f t="shared" si="863"/>
        <v>#REF!</v>
      </c>
      <c r="BR312" s="157" t="e">
        <f t="shared" si="863"/>
        <v>#REF!</v>
      </c>
      <c r="BT312" s="121"/>
    </row>
    <row r="313" spans="1:91">
      <c r="A313" s="130"/>
      <c r="B313" s="117" t="s">
        <v>323</v>
      </c>
      <c r="C313" s="117"/>
      <c r="D313" s="150"/>
      <c r="E313" s="150"/>
      <c r="F313" s="150"/>
      <c r="G313" s="150"/>
      <c r="H313" s="150"/>
      <c r="I313" s="150"/>
      <c r="J313" s="150"/>
      <c r="K313" s="150"/>
      <c r="L313" s="150"/>
      <c r="M313" s="150"/>
      <c r="N313" s="150"/>
      <c r="O313" s="150"/>
      <c r="P313" s="150"/>
      <c r="Q313" s="150"/>
      <c r="R313" s="150"/>
      <c r="S313" s="150"/>
      <c r="T313" s="150"/>
      <c r="U313" s="150"/>
      <c r="V313" s="350" t="e">
        <f t="shared" ref="V313:AA313" si="864">V312-V311</f>
        <v>#REF!</v>
      </c>
      <c r="W313" s="150" t="e">
        <f t="shared" si="864"/>
        <v>#REF!</v>
      </c>
      <c r="X313" s="150" t="e">
        <f t="shared" si="864"/>
        <v>#REF!</v>
      </c>
      <c r="Y313" s="150" t="e">
        <f t="shared" si="864"/>
        <v>#REF!</v>
      </c>
      <c r="Z313" s="150" t="e">
        <f t="shared" si="864"/>
        <v>#REF!</v>
      </c>
      <c r="AA313" s="150" t="e">
        <f t="shared" si="864"/>
        <v>#REF!</v>
      </c>
      <c r="AB313" s="150" t="e">
        <f>AB312-AB311</f>
        <v>#REF!</v>
      </c>
      <c r="AC313" s="350" t="e">
        <f t="shared" ref="AC313:AH313" si="865">AC312-AC311</f>
        <v>#REF!</v>
      </c>
      <c r="AD313" s="150" t="e">
        <f t="shared" si="865"/>
        <v>#REF!</v>
      </c>
      <c r="AE313" s="150" t="e">
        <f t="shared" si="865"/>
        <v>#REF!</v>
      </c>
      <c r="AF313" s="150" t="e">
        <f t="shared" si="865"/>
        <v>#REF!</v>
      </c>
      <c r="AG313" s="150" t="e">
        <f t="shared" si="865"/>
        <v>#REF!</v>
      </c>
      <c r="AH313" s="150" t="e">
        <f t="shared" si="865"/>
        <v>#REF!</v>
      </c>
      <c r="AI313" s="150" t="e">
        <f>AI312-AI311</f>
        <v>#REF!</v>
      </c>
      <c r="AJ313" s="350" t="e">
        <f t="shared" ref="AJ313:AO313" si="866">AJ312-AJ311</f>
        <v>#REF!</v>
      </c>
      <c r="AK313" s="150" t="e">
        <f t="shared" si="866"/>
        <v>#REF!</v>
      </c>
      <c r="AL313" s="150" t="e">
        <f t="shared" si="866"/>
        <v>#REF!</v>
      </c>
      <c r="AM313" s="150" t="e">
        <f t="shared" si="866"/>
        <v>#REF!</v>
      </c>
      <c r="AN313" s="150" t="e">
        <f t="shared" si="866"/>
        <v>#REF!</v>
      </c>
      <c r="AO313" s="150" t="e">
        <f t="shared" si="866"/>
        <v>#REF!</v>
      </c>
      <c r="AP313" s="150" t="e">
        <f>AP312-AP311</f>
        <v>#REF!</v>
      </c>
      <c r="AQ313" s="350" t="e">
        <f t="shared" ref="AQ313:AV313" si="867">AQ312-AQ311</f>
        <v>#REF!</v>
      </c>
      <c r="AR313" s="150" t="e">
        <f t="shared" si="867"/>
        <v>#REF!</v>
      </c>
      <c r="AS313" s="150" t="e">
        <f t="shared" si="867"/>
        <v>#REF!</v>
      </c>
      <c r="AT313" s="150" t="e">
        <f t="shared" si="867"/>
        <v>#REF!</v>
      </c>
      <c r="AU313" s="150" t="e">
        <f t="shared" si="867"/>
        <v>#REF!</v>
      </c>
      <c r="AV313" s="150" t="e">
        <f t="shared" si="867"/>
        <v>#REF!</v>
      </c>
      <c r="AW313" s="150" t="e">
        <f t="shared" ref="AW313:BR313" si="868">AW312-AW311</f>
        <v>#REF!</v>
      </c>
      <c r="AX313" s="350" t="e">
        <f t="shared" si="868"/>
        <v>#REF!</v>
      </c>
      <c r="AY313" s="150" t="e">
        <f t="shared" ref="AY313:AZ313" si="869">AY312-AY311</f>
        <v>#REF!</v>
      </c>
      <c r="AZ313" s="150" t="e">
        <f t="shared" si="869"/>
        <v>#REF!</v>
      </c>
      <c r="BA313" s="150" t="e">
        <f t="shared" ref="BA313:BC313" si="870">BA312-BA311</f>
        <v>#REF!</v>
      </c>
      <c r="BB313" s="150" t="e">
        <f t="shared" si="870"/>
        <v>#REF!</v>
      </c>
      <c r="BC313" s="150" t="e">
        <f t="shared" si="870"/>
        <v>#REF!</v>
      </c>
      <c r="BD313" s="392" t="e">
        <f t="shared" ref="BD313:BJ313" si="871">BD312-BD311</f>
        <v>#REF!</v>
      </c>
      <c r="BE313" s="350" t="e">
        <f t="shared" si="871"/>
        <v>#REF!</v>
      </c>
      <c r="BF313" s="150" t="e">
        <f t="shared" si="871"/>
        <v>#REF!</v>
      </c>
      <c r="BG313" s="150" t="e">
        <f t="shared" si="871"/>
        <v>#REF!</v>
      </c>
      <c r="BH313" s="150" t="e">
        <f t="shared" si="871"/>
        <v>#REF!</v>
      </c>
      <c r="BI313" s="150" t="e">
        <f t="shared" si="871"/>
        <v>#REF!</v>
      </c>
      <c r="BJ313" s="150" t="e">
        <f t="shared" si="871"/>
        <v>#REF!</v>
      </c>
      <c r="BK313" s="392" t="e">
        <f t="shared" ref="BK313" si="872">BK312-BK311</f>
        <v>#REF!</v>
      </c>
      <c r="BL313" s="150" t="e">
        <f t="shared" si="868"/>
        <v>#REF!</v>
      </c>
      <c r="BM313" s="150" t="e">
        <f t="shared" si="868"/>
        <v>#REF!</v>
      </c>
      <c r="BN313" s="150" t="e">
        <f t="shared" si="868"/>
        <v>#REF!</v>
      </c>
      <c r="BO313" s="150" t="e">
        <f t="shared" si="868"/>
        <v>#REF!</v>
      </c>
      <c r="BP313" s="150" t="e">
        <f t="shared" si="868"/>
        <v>#REF!</v>
      </c>
      <c r="BQ313" s="150" t="e">
        <f t="shared" si="868"/>
        <v>#REF!</v>
      </c>
      <c r="BR313" s="150" t="e">
        <f t="shared" si="868"/>
        <v>#REF!</v>
      </c>
      <c r="BT313" s="121"/>
    </row>
    <row r="314" spans="1:91" s="250" customFormat="1" ht="12.6" thickBot="1">
      <c r="A314" s="268"/>
      <c r="B314" s="246"/>
      <c r="C314" s="246"/>
      <c r="D314" s="247"/>
      <c r="E314" s="247"/>
      <c r="F314" s="247"/>
      <c r="G314" s="247"/>
      <c r="H314" s="247"/>
      <c r="I314" s="247"/>
      <c r="J314" s="247"/>
      <c r="K314" s="247"/>
      <c r="L314" s="247"/>
      <c r="M314" s="247"/>
      <c r="N314" s="247"/>
      <c r="O314" s="247"/>
      <c r="P314" s="247"/>
      <c r="Q314" s="247"/>
      <c r="R314" s="247"/>
      <c r="S314" s="247"/>
      <c r="T314" s="274"/>
      <c r="U314" s="274"/>
      <c r="V314" s="352"/>
      <c r="W314" s="274"/>
      <c r="X314" s="274"/>
      <c r="Y314" s="274"/>
      <c r="Z314" s="274"/>
      <c r="AA314" s="274"/>
      <c r="AB314" s="274"/>
      <c r="AC314" s="352"/>
      <c r="AD314" s="274"/>
      <c r="AE314" s="274"/>
      <c r="AF314" s="274"/>
      <c r="AG314" s="274"/>
      <c r="AH314" s="274"/>
      <c r="AI314" s="274"/>
      <c r="AJ314" s="352"/>
      <c r="AK314" s="274"/>
      <c r="AL314" s="274"/>
      <c r="AM314" s="274"/>
      <c r="AN314" s="274"/>
      <c r="AO314" s="274"/>
      <c r="AP314" s="274"/>
      <c r="AQ314" s="352"/>
      <c r="AR314" s="274"/>
      <c r="AS314" s="274"/>
      <c r="AT314" s="274"/>
      <c r="AU314" s="274"/>
      <c r="AV314" s="274"/>
      <c r="AW314" s="274"/>
      <c r="AX314" s="352"/>
      <c r="AY314" s="274"/>
      <c r="AZ314" s="274"/>
      <c r="BA314" s="274"/>
      <c r="BB314" s="274"/>
      <c r="BC314" s="274"/>
      <c r="BD314" s="394"/>
      <c r="BE314" s="352"/>
      <c r="BF314" s="274"/>
      <c r="BG314" s="274"/>
      <c r="BH314" s="274"/>
      <c r="BI314" s="274"/>
      <c r="BJ314" s="274"/>
      <c r="BK314" s="394"/>
      <c r="BL314" s="274"/>
      <c r="BM314" s="274"/>
      <c r="BN314" s="248"/>
      <c r="BO314" s="248"/>
      <c r="BP314" s="274"/>
      <c r="BQ314" s="248"/>
      <c r="BR314" s="274"/>
      <c r="BS314" s="248"/>
      <c r="BT314" s="249"/>
      <c r="BU314" s="248"/>
      <c r="BV314" s="248"/>
      <c r="BW314" s="248"/>
      <c r="BX314" s="248"/>
      <c r="BY314" s="248"/>
      <c r="BZ314" s="248"/>
      <c r="CA314" s="248"/>
      <c r="CB314" s="248"/>
      <c r="CC314" s="248"/>
      <c r="CD314" s="248"/>
      <c r="CE314" s="248"/>
      <c r="CF314" s="248"/>
      <c r="CG314" s="248"/>
      <c r="CH314" s="248"/>
      <c r="CI314" s="248"/>
      <c r="CJ314" s="248"/>
      <c r="CK314" s="248"/>
      <c r="CL314" s="248"/>
      <c r="CM314" s="248"/>
    </row>
    <row r="315" spans="1:91" s="119" customFormat="1">
      <c r="A315" s="177"/>
      <c r="B315" s="154" t="s">
        <v>324</v>
      </c>
      <c r="C315" s="190"/>
      <c r="D315" s="191" t="e">
        <f t="shared" ref="D315:U315" si="873">D130-D131-D132</f>
        <v>#REF!</v>
      </c>
      <c r="E315" s="191" t="e">
        <f t="shared" si="873"/>
        <v>#REF!</v>
      </c>
      <c r="F315" s="191" t="e">
        <f t="shared" si="873"/>
        <v>#REF!</v>
      </c>
      <c r="G315" s="191" t="e">
        <f t="shared" si="873"/>
        <v>#REF!</v>
      </c>
      <c r="H315" s="191" t="e">
        <f t="shared" si="873"/>
        <v>#REF!</v>
      </c>
      <c r="I315" s="191" t="e">
        <f t="shared" si="873"/>
        <v>#REF!</v>
      </c>
      <c r="J315" s="191" t="e">
        <f t="shared" si="873"/>
        <v>#REF!</v>
      </c>
      <c r="K315" s="191" t="e">
        <f t="shared" si="873"/>
        <v>#REF!</v>
      </c>
      <c r="L315" s="191" t="e">
        <f t="shared" si="873"/>
        <v>#REF!</v>
      </c>
      <c r="M315" s="191" t="e">
        <f t="shared" si="873"/>
        <v>#REF!</v>
      </c>
      <c r="N315" s="191" t="e">
        <f t="shared" si="873"/>
        <v>#REF!</v>
      </c>
      <c r="O315" s="191" t="e">
        <f t="shared" si="873"/>
        <v>#REF!</v>
      </c>
      <c r="P315" s="191" t="e">
        <f t="shared" si="873"/>
        <v>#REF!</v>
      </c>
      <c r="Q315" s="191" t="e">
        <f t="shared" si="873"/>
        <v>#REF!</v>
      </c>
      <c r="R315" s="191" t="e">
        <f t="shared" si="873"/>
        <v>#REF!</v>
      </c>
      <c r="S315" s="191" t="e">
        <f t="shared" si="873"/>
        <v>#REF!</v>
      </c>
      <c r="T315" s="191" t="e">
        <f t="shared" si="873"/>
        <v>#REF!</v>
      </c>
      <c r="U315" s="191" t="e">
        <f t="shared" si="873"/>
        <v>#REF!</v>
      </c>
      <c r="V315" s="342"/>
      <c r="W315" s="191"/>
      <c r="X315" s="191"/>
      <c r="Y315" s="191"/>
      <c r="Z315" s="191"/>
      <c r="AA315" s="191"/>
      <c r="AB315" s="191" t="e">
        <f>AB130-AB131-AB132</f>
        <v>#REF!</v>
      </c>
      <c r="AC315" s="342"/>
      <c r="AD315" s="191"/>
      <c r="AE315" s="191"/>
      <c r="AF315" s="191"/>
      <c r="AG315" s="191"/>
      <c r="AH315" s="191"/>
      <c r="AI315" s="191" t="e">
        <f>AI130-AI131-AI132</f>
        <v>#REF!</v>
      </c>
      <c r="AJ315" s="342"/>
      <c r="AK315" s="191"/>
      <c r="AL315" s="191"/>
      <c r="AM315" s="191"/>
      <c r="AN315" s="191"/>
      <c r="AO315" s="191"/>
      <c r="AP315" s="191" t="e">
        <f>AP130-AP131-AP132</f>
        <v>#REF!</v>
      </c>
      <c r="AQ315" s="342"/>
      <c r="AR315" s="191"/>
      <c r="AS315" s="191"/>
      <c r="AT315" s="191"/>
      <c r="AU315" s="191"/>
      <c r="AV315" s="191"/>
      <c r="AW315" s="191" t="e">
        <f>AW130-AW131-AW132</f>
        <v>#REF!</v>
      </c>
      <c r="AX315" s="342"/>
      <c r="AY315" s="191"/>
      <c r="AZ315" s="191"/>
      <c r="BA315" s="191"/>
      <c r="BB315" s="191"/>
      <c r="BC315" s="191"/>
      <c r="BD315" s="385" t="e">
        <f>BD130-BD131-BD132</f>
        <v>#REF!</v>
      </c>
      <c r="BE315" s="342"/>
      <c r="BF315" s="191"/>
      <c r="BG315" s="191"/>
      <c r="BH315" s="191"/>
      <c r="BI315" s="191"/>
      <c r="BJ315" s="191"/>
      <c r="BK315" s="385" t="e">
        <f>BK130-BK131-BK132</f>
        <v>#REF!</v>
      </c>
      <c r="BL315" s="191" t="e">
        <f t="shared" ref="BL315:BR315" si="874">BL130-BL131-BL132</f>
        <v>#REF!</v>
      </c>
      <c r="BM315" s="191" t="e">
        <f t="shared" si="874"/>
        <v>#REF!</v>
      </c>
      <c r="BN315" s="191" t="e">
        <f t="shared" si="874"/>
        <v>#REF!</v>
      </c>
      <c r="BO315" s="191" t="e">
        <f t="shared" si="874"/>
        <v>#REF!</v>
      </c>
      <c r="BP315" s="191" t="e">
        <f t="shared" si="874"/>
        <v>#REF!</v>
      </c>
      <c r="BQ315" s="191" t="e">
        <f t="shared" si="874"/>
        <v>#REF!</v>
      </c>
      <c r="BR315" s="191" t="e">
        <f t="shared" si="874"/>
        <v>#REF!</v>
      </c>
      <c r="BT315" s="121"/>
    </row>
    <row r="316" spans="1:91" s="119" customFormat="1">
      <c r="A316" s="130"/>
      <c r="B316" s="117"/>
      <c r="C316" s="117"/>
      <c r="U316" s="295" t="s">
        <v>325</v>
      </c>
      <c r="V316" s="353"/>
      <c r="W316" s="296"/>
      <c r="X316" s="296"/>
      <c r="Y316" s="296"/>
      <c r="Z316" s="296"/>
      <c r="AA316" s="296"/>
      <c r="AB316" s="296"/>
      <c r="AC316" s="353"/>
      <c r="AD316" s="296"/>
      <c r="AE316" s="296"/>
      <c r="AF316" s="296"/>
      <c r="AG316" s="296"/>
      <c r="AH316" s="296"/>
      <c r="AI316" s="296"/>
      <c r="AJ316" s="353"/>
      <c r="AK316" s="296"/>
      <c r="AL316" s="296"/>
      <c r="AM316" s="296"/>
      <c r="AN316" s="296"/>
      <c r="AO316" s="296"/>
      <c r="AP316" s="296"/>
      <c r="AQ316" s="353"/>
      <c r="AR316" s="296"/>
      <c r="AS316" s="296"/>
      <c r="AT316" s="296"/>
      <c r="AU316" s="296"/>
      <c r="AV316" s="296"/>
      <c r="AW316" s="296"/>
      <c r="AX316" s="353"/>
      <c r="AY316" s="296"/>
      <c r="AZ316" s="296"/>
      <c r="BA316" s="296"/>
      <c r="BB316" s="296"/>
      <c r="BC316" s="296"/>
      <c r="BD316" s="395"/>
      <c r="BE316" s="353"/>
      <c r="BF316" s="296"/>
      <c r="BG316" s="296"/>
      <c r="BH316" s="296"/>
      <c r="BI316" s="296"/>
      <c r="BJ316" s="296"/>
      <c r="BK316" s="395"/>
      <c r="BP316" s="1"/>
      <c r="BQ316" s="1"/>
      <c r="BR316" s="1"/>
      <c r="BT316" s="121"/>
    </row>
    <row r="317" spans="1:91" s="248" customFormat="1" ht="12.6" thickBot="1">
      <c r="A317" s="268"/>
      <c r="B317" s="246"/>
      <c r="C317" s="246"/>
      <c r="V317" s="354"/>
      <c r="AC317" s="354"/>
      <c r="AJ317" s="354"/>
      <c r="AQ317" s="354"/>
      <c r="AX317" s="354"/>
      <c r="BD317" s="273"/>
      <c r="BE317" s="354"/>
      <c r="BK317" s="273"/>
      <c r="BT317" s="249"/>
    </row>
    <row r="318" spans="1:91" s="119" customFormat="1" ht="14.1">
      <c r="A318" s="130"/>
      <c r="B318" s="147" t="s">
        <v>412</v>
      </c>
      <c r="C318" s="117"/>
      <c r="V318" s="234"/>
      <c r="AC318" s="234"/>
      <c r="AJ318" s="234"/>
      <c r="AQ318" s="234"/>
      <c r="AX318" s="234"/>
      <c r="BD318" s="120"/>
      <c r="BE318" s="234"/>
      <c r="BK318" s="120"/>
      <c r="BT318" s="121"/>
    </row>
    <row r="319" spans="1:91" s="119" customFormat="1" ht="14.1">
      <c r="A319" s="130"/>
      <c r="B319" s="147"/>
      <c r="C319" s="117"/>
      <c r="V319" s="234"/>
      <c r="AC319" s="234"/>
      <c r="AJ319" s="234"/>
      <c r="AQ319" s="234"/>
      <c r="AX319" s="234"/>
      <c r="BD319" s="120"/>
      <c r="BE319" s="234"/>
      <c r="BK319" s="120"/>
      <c r="BT319" s="121"/>
    </row>
    <row r="320" spans="1:91" s="119" customFormat="1" ht="14.1">
      <c r="A320" s="130"/>
      <c r="B320" s="279" t="s">
        <v>413</v>
      </c>
      <c r="C320" s="117"/>
      <c r="V320" s="234"/>
      <c r="AC320" s="234"/>
      <c r="AJ320" s="234"/>
      <c r="AQ320" s="234"/>
      <c r="AX320" s="234"/>
      <c r="BD320" s="120"/>
      <c r="BE320" s="234"/>
      <c r="BK320" s="120"/>
      <c r="BT320" s="121"/>
    </row>
    <row r="321" spans="1:72" s="119" customFormat="1" ht="14.1">
      <c r="A321" s="130"/>
      <c r="B321" s="147" t="s">
        <v>326</v>
      </c>
      <c r="C321" s="117"/>
      <c r="D321" s="93" t="e">
        <f t="shared" ref="D321:U321" si="875">D31</f>
        <v>#REF!</v>
      </c>
      <c r="E321" s="93" t="e">
        <f t="shared" si="875"/>
        <v>#REF!</v>
      </c>
      <c r="F321" s="93" t="e">
        <f t="shared" si="875"/>
        <v>#REF!</v>
      </c>
      <c r="G321" s="93" t="e">
        <f t="shared" si="875"/>
        <v>#REF!</v>
      </c>
      <c r="H321" s="93" t="e">
        <f t="shared" si="875"/>
        <v>#REF!</v>
      </c>
      <c r="I321" s="93" t="e">
        <f t="shared" si="875"/>
        <v>#REF!</v>
      </c>
      <c r="J321" s="93" t="e">
        <f t="shared" si="875"/>
        <v>#REF!</v>
      </c>
      <c r="K321" s="93" t="e">
        <f t="shared" si="875"/>
        <v>#REF!</v>
      </c>
      <c r="L321" s="93" t="e">
        <f t="shared" si="875"/>
        <v>#REF!</v>
      </c>
      <c r="M321" s="93" t="e">
        <f t="shared" si="875"/>
        <v>#REF!</v>
      </c>
      <c r="N321" s="93" t="e">
        <f t="shared" si="875"/>
        <v>#REF!</v>
      </c>
      <c r="O321" s="93" t="e">
        <f t="shared" si="875"/>
        <v>#REF!</v>
      </c>
      <c r="P321" s="93" t="e">
        <f t="shared" si="875"/>
        <v>#REF!</v>
      </c>
      <c r="Q321" s="93" t="e">
        <f t="shared" si="875"/>
        <v>#REF!</v>
      </c>
      <c r="R321" s="93" t="e">
        <f t="shared" si="875"/>
        <v>#REF!</v>
      </c>
      <c r="S321" s="93" t="e">
        <f t="shared" si="875"/>
        <v>#REF!</v>
      </c>
      <c r="T321" s="93" t="e">
        <f t="shared" si="875"/>
        <v>#REF!</v>
      </c>
      <c r="U321" s="93" t="e">
        <f t="shared" si="875"/>
        <v>#REF!</v>
      </c>
      <c r="V321" s="141"/>
      <c r="W321" s="93"/>
      <c r="X321" s="93"/>
      <c r="Y321" s="93"/>
      <c r="Z321" s="93"/>
      <c r="AA321" s="93"/>
      <c r="AB321" s="93" t="e">
        <f>AB31</f>
        <v>#REF!</v>
      </c>
      <c r="AC321" s="141"/>
      <c r="AD321" s="93"/>
      <c r="AE321" s="93"/>
      <c r="AF321" s="93"/>
      <c r="AG321" s="93"/>
      <c r="AH321" s="93"/>
      <c r="AI321" s="93" t="e">
        <f>AI31</f>
        <v>#REF!</v>
      </c>
      <c r="AJ321" s="141"/>
      <c r="AK321" s="93"/>
      <c r="AL321" s="93"/>
      <c r="AM321" s="93"/>
      <c r="AN321" s="93"/>
      <c r="AO321" s="93"/>
      <c r="AP321" s="93" t="e">
        <f>AP31</f>
        <v>#REF!</v>
      </c>
      <c r="AQ321" s="141"/>
      <c r="AR321" s="93"/>
      <c r="AS321" s="93"/>
      <c r="AT321" s="93"/>
      <c r="AU321" s="93"/>
      <c r="AV321" s="93"/>
      <c r="AW321" s="93" t="e">
        <f>AW31</f>
        <v>#REF!</v>
      </c>
      <c r="AX321" s="141"/>
      <c r="AY321" s="93"/>
      <c r="AZ321" s="93"/>
      <c r="BA321" s="93"/>
      <c r="BB321" s="93"/>
      <c r="BC321" s="93"/>
      <c r="BD321" s="139" t="e">
        <f>BD31</f>
        <v>#REF!</v>
      </c>
      <c r="BE321" s="141"/>
      <c r="BF321" s="93"/>
      <c r="BG321" s="93"/>
      <c r="BH321" s="93"/>
      <c r="BI321" s="93"/>
      <c r="BJ321" s="93"/>
      <c r="BK321" s="139" t="e">
        <f>BK31</f>
        <v>#REF!</v>
      </c>
      <c r="BL321" s="93" t="e">
        <f t="shared" ref="BL321:BR321" si="876">BL31</f>
        <v>#REF!</v>
      </c>
      <c r="BM321" s="93" t="e">
        <f t="shared" si="876"/>
        <v>#REF!</v>
      </c>
      <c r="BN321" s="93" t="e">
        <f t="shared" si="876"/>
        <v>#REF!</v>
      </c>
      <c r="BO321" s="93" t="e">
        <f t="shared" si="876"/>
        <v>#REF!</v>
      </c>
      <c r="BP321" s="93" t="e">
        <f t="shared" si="876"/>
        <v>#REF!</v>
      </c>
      <c r="BQ321" s="93" t="e">
        <f t="shared" si="876"/>
        <v>#REF!</v>
      </c>
      <c r="BR321" s="93" t="e">
        <f t="shared" si="876"/>
        <v>#REF!</v>
      </c>
      <c r="BT321" s="121"/>
    </row>
    <row r="322" spans="1:72" s="119" customFormat="1" ht="14.1">
      <c r="A322" s="130"/>
      <c r="B322" s="147" t="s">
        <v>347</v>
      </c>
      <c r="C322" s="117"/>
      <c r="D322" s="93" t="e">
        <f t="shared" ref="D322:U322" si="877">D27</f>
        <v>#REF!</v>
      </c>
      <c r="E322" s="93" t="e">
        <f t="shared" si="877"/>
        <v>#REF!</v>
      </c>
      <c r="F322" s="93" t="e">
        <f t="shared" si="877"/>
        <v>#REF!</v>
      </c>
      <c r="G322" s="93" t="e">
        <f t="shared" si="877"/>
        <v>#REF!</v>
      </c>
      <c r="H322" s="93" t="e">
        <f t="shared" si="877"/>
        <v>#REF!</v>
      </c>
      <c r="I322" s="93" t="e">
        <f t="shared" si="877"/>
        <v>#REF!</v>
      </c>
      <c r="J322" s="93" t="e">
        <f t="shared" si="877"/>
        <v>#REF!</v>
      </c>
      <c r="K322" s="93" t="e">
        <f t="shared" si="877"/>
        <v>#REF!</v>
      </c>
      <c r="L322" s="93" t="e">
        <f t="shared" si="877"/>
        <v>#REF!</v>
      </c>
      <c r="M322" s="93" t="e">
        <f t="shared" si="877"/>
        <v>#REF!</v>
      </c>
      <c r="N322" s="93" t="e">
        <f t="shared" si="877"/>
        <v>#REF!</v>
      </c>
      <c r="O322" s="93" t="e">
        <f t="shared" si="877"/>
        <v>#REF!</v>
      </c>
      <c r="P322" s="93" t="e">
        <f t="shared" si="877"/>
        <v>#REF!</v>
      </c>
      <c r="Q322" s="93" t="e">
        <f t="shared" si="877"/>
        <v>#REF!</v>
      </c>
      <c r="R322" s="93" t="e">
        <f t="shared" si="877"/>
        <v>#REF!</v>
      </c>
      <c r="S322" s="93" t="e">
        <f t="shared" si="877"/>
        <v>#REF!</v>
      </c>
      <c r="T322" s="93" t="e">
        <f t="shared" si="877"/>
        <v>#REF!</v>
      </c>
      <c r="U322" s="93" t="e">
        <f t="shared" si="877"/>
        <v>#REF!</v>
      </c>
      <c r="V322" s="141"/>
      <c r="W322" s="93"/>
      <c r="X322" s="93"/>
      <c r="Y322" s="93"/>
      <c r="Z322" s="93"/>
      <c r="AA322" s="93"/>
      <c r="AB322" s="93" t="e">
        <f>AB27</f>
        <v>#REF!</v>
      </c>
      <c r="AC322" s="141"/>
      <c r="AD322" s="93"/>
      <c r="AE322" s="93"/>
      <c r="AF322" s="93"/>
      <c r="AG322" s="93"/>
      <c r="AH322" s="93"/>
      <c r="AI322" s="93" t="e">
        <f>AI27</f>
        <v>#REF!</v>
      </c>
      <c r="AJ322" s="141"/>
      <c r="AK322" s="93"/>
      <c r="AL322" s="93"/>
      <c r="AM322" s="93"/>
      <c r="AN322" s="93"/>
      <c r="AO322" s="93"/>
      <c r="AP322" s="93" t="e">
        <f>AP27</f>
        <v>#REF!</v>
      </c>
      <c r="AQ322" s="141"/>
      <c r="AR322" s="93"/>
      <c r="AS322" s="93"/>
      <c r="AT322" s="93"/>
      <c r="AU322" s="93"/>
      <c r="AV322" s="93"/>
      <c r="AW322" s="93" t="e">
        <f>AW27</f>
        <v>#REF!</v>
      </c>
      <c r="AX322" s="141"/>
      <c r="AY322" s="93"/>
      <c r="AZ322" s="93"/>
      <c r="BA322" s="93"/>
      <c r="BB322" s="93"/>
      <c r="BC322" s="93"/>
      <c r="BD322" s="139" t="e">
        <f>BD27</f>
        <v>#REF!</v>
      </c>
      <c r="BE322" s="141"/>
      <c r="BF322" s="93"/>
      <c r="BG322" s="93"/>
      <c r="BH322" s="93"/>
      <c r="BI322" s="93"/>
      <c r="BJ322" s="93"/>
      <c r="BK322" s="139" t="e">
        <f>BK27</f>
        <v>#REF!</v>
      </c>
      <c r="BL322" s="93" t="e">
        <f t="shared" ref="BL322:BR322" si="878">BL27</f>
        <v>#REF!</v>
      </c>
      <c r="BM322" s="93" t="e">
        <f t="shared" si="878"/>
        <v>#REF!</v>
      </c>
      <c r="BN322" s="93" t="e">
        <f t="shared" si="878"/>
        <v>#REF!</v>
      </c>
      <c r="BO322" s="93" t="e">
        <f t="shared" si="878"/>
        <v>#REF!</v>
      </c>
      <c r="BP322" s="93" t="e">
        <f t="shared" si="878"/>
        <v>#REF!</v>
      </c>
      <c r="BQ322" s="93" t="e">
        <f t="shared" si="878"/>
        <v>#REF!</v>
      </c>
      <c r="BR322" s="93" t="e">
        <f t="shared" si="878"/>
        <v>#REF!</v>
      </c>
      <c r="BT322" s="121"/>
    </row>
    <row r="323" spans="1:72" s="119" customFormat="1" ht="14.1">
      <c r="A323" s="130"/>
      <c r="B323" s="147" t="s">
        <v>327</v>
      </c>
      <c r="C323" s="117"/>
      <c r="D323" s="93" t="e">
        <f t="shared" ref="D323:U323" si="879">D321*(1-D56)</f>
        <v>#REF!</v>
      </c>
      <c r="E323" s="93" t="e">
        <f t="shared" si="879"/>
        <v>#REF!</v>
      </c>
      <c r="F323" s="93" t="e">
        <f t="shared" si="879"/>
        <v>#REF!</v>
      </c>
      <c r="G323" s="93" t="e">
        <f t="shared" si="879"/>
        <v>#REF!</v>
      </c>
      <c r="H323" s="93" t="e">
        <f t="shared" si="879"/>
        <v>#REF!</v>
      </c>
      <c r="I323" s="93" t="e">
        <f t="shared" si="879"/>
        <v>#REF!</v>
      </c>
      <c r="J323" s="93" t="e">
        <f t="shared" si="879"/>
        <v>#REF!</v>
      </c>
      <c r="K323" s="93" t="e">
        <f t="shared" si="879"/>
        <v>#REF!</v>
      </c>
      <c r="L323" s="93" t="e">
        <f t="shared" si="879"/>
        <v>#REF!</v>
      </c>
      <c r="M323" s="93" t="e">
        <f t="shared" si="879"/>
        <v>#REF!</v>
      </c>
      <c r="N323" s="93" t="e">
        <f t="shared" si="879"/>
        <v>#REF!</v>
      </c>
      <c r="O323" s="93" t="e">
        <f t="shared" si="879"/>
        <v>#REF!</v>
      </c>
      <c r="P323" s="93" t="e">
        <f t="shared" si="879"/>
        <v>#REF!</v>
      </c>
      <c r="Q323" s="93" t="e">
        <f t="shared" si="879"/>
        <v>#REF!</v>
      </c>
      <c r="R323" s="93" t="e">
        <f t="shared" si="879"/>
        <v>#REF!</v>
      </c>
      <c r="S323" s="93" t="e">
        <f t="shared" si="879"/>
        <v>#REF!</v>
      </c>
      <c r="T323" s="93" t="e">
        <f t="shared" si="879"/>
        <v>#REF!</v>
      </c>
      <c r="U323" s="93" t="e">
        <f t="shared" si="879"/>
        <v>#REF!</v>
      </c>
      <c r="V323" s="141"/>
      <c r="W323" s="93"/>
      <c r="X323" s="93"/>
      <c r="Y323" s="93"/>
      <c r="Z323" s="93"/>
      <c r="AA323" s="93"/>
      <c r="AB323" s="93" t="e">
        <f>AB321*(1-AB56)</f>
        <v>#REF!</v>
      </c>
      <c r="AC323" s="141"/>
      <c r="AD323" s="93"/>
      <c r="AE323" s="93"/>
      <c r="AF323" s="93"/>
      <c r="AG323" s="93"/>
      <c r="AH323" s="93"/>
      <c r="AI323" s="93" t="e">
        <f>AI321*(1-AI56)</f>
        <v>#REF!</v>
      </c>
      <c r="AJ323" s="141"/>
      <c r="AK323" s="93"/>
      <c r="AL323" s="93"/>
      <c r="AM323" s="93"/>
      <c r="AN323" s="93"/>
      <c r="AO323" s="93"/>
      <c r="AP323" s="93" t="e">
        <f>AP321*(1-AP56)</f>
        <v>#REF!</v>
      </c>
      <c r="AQ323" s="141"/>
      <c r="AR323" s="93"/>
      <c r="AS323" s="93"/>
      <c r="AT323" s="93"/>
      <c r="AU323" s="93"/>
      <c r="AV323" s="93"/>
      <c r="AW323" s="93" t="e">
        <f>AW321*(1-AW56)</f>
        <v>#REF!</v>
      </c>
      <c r="AX323" s="141"/>
      <c r="AY323" s="93"/>
      <c r="AZ323" s="93"/>
      <c r="BA323" s="93"/>
      <c r="BB323" s="93"/>
      <c r="BC323" s="93"/>
      <c r="BD323" s="139" t="e">
        <f>BD321*(1-BD56)</f>
        <v>#REF!</v>
      </c>
      <c r="BE323" s="141"/>
      <c r="BF323" s="93"/>
      <c r="BG323" s="93"/>
      <c r="BH323" s="93"/>
      <c r="BI323" s="93"/>
      <c r="BJ323" s="93"/>
      <c r="BK323" s="139" t="e">
        <f>BK321*(1-BK56)</f>
        <v>#REF!</v>
      </c>
      <c r="BL323" s="93" t="e">
        <f t="shared" ref="BL323:BR323" si="880">BL321*(1-BL56)</f>
        <v>#REF!</v>
      </c>
      <c r="BM323" s="93" t="e">
        <f t="shared" si="880"/>
        <v>#REF!</v>
      </c>
      <c r="BN323" s="93" t="e">
        <f t="shared" si="880"/>
        <v>#REF!</v>
      </c>
      <c r="BO323" s="93" t="e">
        <f t="shared" si="880"/>
        <v>#REF!</v>
      </c>
      <c r="BP323" s="93" t="e">
        <f t="shared" si="880"/>
        <v>#REF!</v>
      </c>
      <c r="BQ323" s="93" t="e">
        <f t="shared" si="880"/>
        <v>#REF!</v>
      </c>
      <c r="BR323" s="93" t="e">
        <f t="shared" si="880"/>
        <v>#REF!</v>
      </c>
      <c r="BT323" s="121"/>
    </row>
    <row r="324" spans="1:72" s="119" customFormat="1" ht="14.1">
      <c r="A324" s="130"/>
      <c r="B324" s="147" t="s">
        <v>382</v>
      </c>
      <c r="C324" s="117"/>
      <c r="D324" s="93" t="e">
        <f t="shared" ref="D324:U324" si="881">D59</f>
        <v>#REF!</v>
      </c>
      <c r="E324" s="93" t="e">
        <f t="shared" si="881"/>
        <v>#REF!</v>
      </c>
      <c r="F324" s="93" t="e">
        <f t="shared" si="881"/>
        <v>#REF!</v>
      </c>
      <c r="G324" s="93" t="e">
        <f t="shared" si="881"/>
        <v>#REF!</v>
      </c>
      <c r="H324" s="93" t="e">
        <f t="shared" si="881"/>
        <v>#REF!</v>
      </c>
      <c r="I324" s="93" t="e">
        <f t="shared" si="881"/>
        <v>#REF!</v>
      </c>
      <c r="J324" s="93" t="e">
        <f t="shared" si="881"/>
        <v>#REF!</v>
      </c>
      <c r="K324" s="93" t="e">
        <f t="shared" si="881"/>
        <v>#REF!</v>
      </c>
      <c r="L324" s="93" t="e">
        <f t="shared" si="881"/>
        <v>#REF!</v>
      </c>
      <c r="M324" s="93" t="e">
        <f t="shared" si="881"/>
        <v>#REF!</v>
      </c>
      <c r="N324" s="93" t="e">
        <f t="shared" si="881"/>
        <v>#REF!</v>
      </c>
      <c r="O324" s="93" t="e">
        <f t="shared" si="881"/>
        <v>#REF!</v>
      </c>
      <c r="P324" s="93" t="e">
        <f t="shared" si="881"/>
        <v>#REF!</v>
      </c>
      <c r="Q324" s="93" t="e">
        <f t="shared" si="881"/>
        <v>#REF!</v>
      </c>
      <c r="R324" s="93" t="e">
        <f t="shared" si="881"/>
        <v>#REF!</v>
      </c>
      <c r="S324" s="93" t="e">
        <f t="shared" si="881"/>
        <v>#REF!</v>
      </c>
      <c r="T324" s="93" t="e">
        <f t="shared" si="881"/>
        <v>#REF!</v>
      </c>
      <c r="U324" s="93" t="e">
        <f t="shared" si="881"/>
        <v>#REF!</v>
      </c>
      <c r="V324" s="141"/>
      <c r="W324" s="93"/>
      <c r="X324" s="93"/>
      <c r="Y324" s="93"/>
      <c r="Z324" s="93"/>
      <c r="AA324" s="93"/>
      <c r="AB324" s="93" t="e">
        <f>AB59</f>
        <v>#REF!</v>
      </c>
      <c r="AC324" s="141"/>
      <c r="AD324" s="93"/>
      <c r="AE324" s="93"/>
      <c r="AF324" s="93"/>
      <c r="AG324" s="93"/>
      <c r="AH324" s="93"/>
      <c r="AI324" s="93" t="e">
        <f>AI59</f>
        <v>#REF!</v>
      </c>
      <c r="AJ324" s="141"/>
      <c r="AK324" s="93"/>
      <c r="AL324" s="93"/>
      <c r="AM324" s="93"/>
      <c r="AN324" s="93"/>
      <c r="AO324" s="93"/>
      <c r="AP324" s="93" t="e">
        <f>AP59</f>
        <v>#REF!</v>
      </c>
      <c r="AQ324" s="141"/>
      <c r="AR324" s="93"/>
      <c r="AS324" s="93"/>
      <c r="AT324" s="93"/>
      <c r="AU324" s="93"/>
      <c r="AV324" s="93"/>
      <c r="AW324" s="93" t="e">
        <f>AW59</f>
        <v>#REF!</v>
      </c>
      <c r="AX324" s="141"/>
      <c r="AY324" s="93"/>
      <c r="AZ324" s="93"/>
      <c r="BA324" s="93"/>
      <c r="BB324" s="93"/>
      <c r="BC324" s="93"/>
      <c r="BD324" s="139" t="e">
        <f>BD59</f>
        <v>#REF!</v>
      </c>
      <c r="BE324" s="141"/>
      <c r="BF324" s="93"/>
      <c r="BG324" s="93"/>
      <c r="BH324" s="93"/>
      <c r="BI324" s="93"/>
      <c r="BJ324" s="93"/>
      <c r="BK324" s="139" t="e">
        <f>BK59</f>
        <v>#REF!</v>
      </c>
      <c r="BL324" s="93" t="e">
        <f t="shared" ref="BL324:BR324" si="882">BL59</f>
        <v>#REF!</v>
      </c>
      <c r="BM324" s="93" t="e">
        <f t="shared" si="882"/>
        <v>#REF!</v>
      </c>
      <c r="BN324" s="93" t="e">
        <f t="shared" si="882"/>
        <v>#REF!</v>
      </c>
      <c r="BO324" s="93" t="e">
        <f t="shared" si="882"/>
        <v>#REF!</v>
      </c>
      <c r="BP324" s="93" t="e">
        <f t="shared" si="882"/>
        <v>#REF!</v>
      </c>
      <c r="BQ324" s="93" t="e">
        <f t="shared" si="882"/>
        <v>#REF!</v>
      </c>
      <c r="BR324" s="93" t="e">
        <f t="shared" si="882"/>
        <v>#REF!</v>
      </c>
      <c r="BT324" s="121"/>
    </row>
    <row r="325" spans="1:72" s="119" customFormat="1" ht="14.1">
      <c r="A325" s="130"/>
      <c r="B325" s="147"/>
      <c r="C325" s="117"/>
      <c r="V325" s="234"/>
      <c r="AC325" s="234"/>
      <c r="AJ325" s="234"/>
      <c r="AQ325" s="234"/>
      <c r="AX325" s="234"/>
      <c r="BD325" s="120"/>
      <c r="BE325" s="234"/>
      <c r="BK325" s="120"/>
      <c r="BT325" s="121"/>
    </row>
    <row r="326" spans="1:72" s="119" customFormat="1" ht="14.1">
      <c r="A326" s="130"/>
      <c r="B326" s="147" t="s">
        <v>355</v>
      </c>
      <c r="C326" s="117"/>
      <c r="D326" s="280" t="e">
        <f t="shared" ref="D326:U326" si="883">1-D7/D5</f>
        <v>#REF!</v>
      </c>
      <c r="E326" s="280" t="e">
        <f t="shared" si="883"/>
        <v>#REF!</v>
      </c>
      <c r="F326" s="280" t="e">
        <f t="shared" si="883"/>
        <v>#REF!</v>
      </c>
      <c r="G326" s="280" t="e">
        <f t="shared" si="883"/>
        <v>#REF!</v>
      </c>
      <c r="H326" s="280" t="e">
        <f t="shared" si="883"/>
        <v>#REF!</v>
      </c>
      <c r="I326" s="280" t="e">
        <f t="shared" si="883"/>
        <v>#REF!</v>
      </c>
      <c r="J326" s="280" t="e">
        <f t="shared" si="883"/>
        <v>#REF!</v>
      </c>
      <c r="K326" s="280" t="e">
        <f t="shared" si="883"/>
        <v>#REF!</v>
      </c>
      <c r="L326" s="280" t="e">
        <f t="shared" si="883"/>
        <v>#REF!</v>
      </c>
      <c r="M326" s="280" t="e">
        <f t="shared" si="883"/>
        <v>#REF!</v>
      </c>
      <c r="N326" s="280" t="e">
        <f t="shared" si="883"/>
        <v>#REF!</v>
      </c>
      <c r="O326" s="280" t="e">
        <f t="shared" si="883"/>
        <v>#REF!</v>
      </c>
      <c r="P326" s="280" t="e">
        <f t="shared" si="883"/>
        <v>#REF!</v>
      </c>
      <c r="Q326" s="280" t="e">
        <f t="shared" si="883"/>
        <v>#REF!</v>
      </c>
      <c r="R326" s="280" t="e">
        <f t="shared" si="883"/>
        <v>#REF!</v>
      </c>
      <c r="S326" s="280" t="e">
        <f t="shared" si="883"/>
        <v>#REF!</v>
      </c>
      <c r="T326" s="280" t="e">
        <f t="shared" si="883"/>
        <v>#REF!</v>
      </c>
      <c r="U326" s="280" t="e">
        <f t="shared" si="883"/>
        <v>#REF!</v>
      </c>
      <c r="V326" s="355"/>
      <c r="W326" s="280"/>
      <c r="X326" s="280"/>
      <c r="Y326" s="280"/>
      <c r="Z326" s="280"/>
      <c r="AA326" s="280"/>
      <c r="AB326" s="280" t="e">
        <f>1-AB7/AB5</f>
        <v>#REF!</v>
      </c>
      <c r="AC326" s="355"/>
      <c r="AD326" s="280"/>
      <c r="AE326" s="280"/>
      <c r="AF326" s="280"/>
      <c r="AG326" s="280"/>
      <c r="AH326" s="280"/>
      <c r="AI326" s="280" t="e">
        <f>1-AI7/AI5</f>
        <v>#REF!</v>
      </c>
      <c r="AJ326" s="355"/>
      <c r="AK326" s="280"/>
      <c r="AL326" s="280"/>
      <c r="AM326" s="280"/>
      <c r="AN326" s="280"/>
      <c r="AO326" s="280"/>
      <c r="AP326" s="280" t="e">
        <f>1-AP7/AP5</f>
        <v>#REF!</v>
      </c>
      <c r="AQ326" s="355"/>
      <c r="AR326" s="280"/>
      <c r="AS326" s="280"/>
      <c r="AT326" s="280"/>
      <c r="AU326" s="280"/>
      <c r="AV326" s="280"/>
      <c r="AW326" s="280" t="e">
        <f>1-AW7/AW5</f>
        <v>#REF!</v>
      </c>
      <c r="AX326" s="355"/>
      <c r="AY326" s="280"/>
      <c r="AZ326" s="280"/>
      <c r="BA326" s="280"/>
      <c r="BB326" s="280"/>
      <c r="BC326" s="280"/>
      <c r="BD326" s="396" t="e">
        <f>1-BD7/BD5</f>
        <v>#REF!</v>
      </c>
      <c r="BE326" s="355"/>
      <c r="BF326" s="280"/>
      <c r="BG326" s="280"/>
      <c r="BH326" s="280"/>
      <c r="BI326" s="280"/>
      <c r="BJ326" s="280"/>
      <c r="BK326" s="396" t="e">
        <f>1-BK7/BK5</f>
        <v>#REF!</v>
      </c>
      <c r="BL326" s="280" t="e">
        <f t="shared" ref="BL326:BR326" si="884">1-BL7/BL5</f>
        <v>#REF!</v>
      </c>
      <c r="BM326" s="280" t="e">
        <f t="shared" si="884"/>
        <v>#REF!</v>
      </c>
      <c r="BN326" s="280" t="e">
        <f t="shared" si="884"/>
        <v>#REF!</v>
      </c>
      <c r="BO326" s="280" t="e">
        <f t="shared" si="884"/>
        <v>#REF!</v>
      </c>
      <c r="BP326" s="280" t="e">
        <f t="shared" si="884"/>
        <v>#REF!</v>
      </c>
      <c r="BQ326" s="280" t="e">
        <f t="shared" si="884"/>
        <v>#REF!</v>
      </c>
      <c r="BR326" s="280" t="e">
        <f t="shared" si="884"/>
        <v>#REF!</v>
      </c>
      <c r="BT326" s="121"/>
    </row>
    <row r="327" spans="1:72" s="119" customFormat="1" ht="14.1">
      <c r="A327" s="130"/>
      <c r="B327" s="147" t="s">
        <v>357</v>
      </c>
      <c r="C327" s="117"/>
      <c r="D327" s="280" t="e">
        <f t="shared" ref="D327:T327" si="885">D321/$U$5</f>
        <v>#REF!</v>
      </c>
      <c r="E327" s="280" t="e">
        <f t="shared" si="885"/>
        <v>#REF!</v>
      </c>
      <c r="F327" s="280" t="e">
        <f t="shared" si="885"/>
        <v>#REF!</v>
      </c>
      <c r="G327" s="280" t="e">
        <f t="shared" si="885"/>
        <v>#REF!</v>
      </c>
      <c r="H327" s="280" t="e">
        <f t="shared" si="885"/>
        <v>#REF!</v>
      </c>
      <c r="I327" s="280" t="e">
        <f t="shared" si="885"/>
        <v>#REF!</v>
      </c>
      <c r="J327" s="280" t="e">
        <f t="shared" si="885"/>
        <v>#REF!</v>
      </c>
      <c r="K327" s="280" t="e">
        <f t="shared" si="885"/>
        <v>#REF!</v>
      </c>
      <c r="L327" s="280" t="e">
        <f t="shared" si="885"/>
        <v>#REF!</v>
      </c>
      <c r="M327" s="280" t="e">
        <f t="shared" si="885"/>
        <v>#REF!</v>
      </c>
      <c r="N327" s="280" t="e">
        <f t="shared" si="885"/>
        <v>#REF!</v>
      </c>
      <c r="O327" s="280" t="e">
        <f t="shared" si="885"/>
        <v>#REF!</v>
      </c>
      <c r="P327" s="280" t="e">
        <f t="shared" si="885"/>
        <v>#REF!</v>
      </c>
      <c r="Q327" s="280" t="e">
        <f t="shared" si="885"/>
        <v>#REF!</v>
      </c>
      <c r="R327" s="280" t="e">
        <f t="shared" si="885"/>
        <v>#REF!</v>
      </c>
      <c r="S327" s="280" t="e">
        <f t="shared" si="885"/>
        <v>#REF!</v>
      </c>
      <c r="T327" s="280" t="e">
        <f t="shared" si="885"/>
        <v>#REF!</v>
      </c>
      <c r="U327" s="280" t="e">
        <f>U321/$U$5</f>
        <v>#REF!</v>
      </c>
      <c r="V327" s="355"/>
      <c r="W327" s="280"/>
      <c r="X327" s="280"/>
      <c r="Y327" s="280"/>
      <c r="Z327" s="280"/>
      <c r="AA327" s="280"/>
      <c r="AB327" s="280" t="e">
        <f t="shared" ref="AB327:BR327" si="886">AB321/$U$5</f>
        <v>#REF!</v>
      </c>
      <c r="AC327" s="355"/>
      <c r="AD327" s="280"/>
      <c r="AE327" s="280"/>
      <c r="AF327" s="280"/>
      <c r="AG327" s="280"/>
      <c r="AH327" s="280"/>
      <c r="AI327" s="280" t="e">
        <f t="shared" si="886"/>
        <v>#REF!</v>
      </c>
      <c r="AJ327" s="355"/>
      <c r="AK327" s="280"/>
      <c r="AL327" s="280"/>
      <c r="AM327" s="280"/>
      <c r="AN327" s="280"/>
      <c r="AO327" s="280"/>
      <c r="AP327" s="280" t="e">
        <f t="shared" si="886"/>
        <v>#REF!</v>
      </c>
      <c r="AQ327" s="355"/>
      <c r="AR327" s="280"/>
      <c r="AS327" s="280"/>
      <c r="AT327" s="280"/>
      <c r="AU327" s="280"/>
      <c r="AV327" s="280"/>
      <c r="AW327" s="280" t="e">
        <f t="shared" si="886"/>
        <v>#REF!</v>
      </c>
      <c r="AX327" s="355"/>
      <c r="AY327" s="280"/>
      <c r="AZ327" s="280"/>
      <c r="BA327" s="280"/>
      <c r="BB327" s="280"/>
      <c r="BC327" s="280"/>
      <c r="BD327" s="396" t="e">
        <f t="shared" ref="BD327" si="887">BD321/$U$5</f>
        <v>#REF!</v>
      </c>
      <c r="BE327" s="355"/>
      <c r="BF327" s="280"/>
      <c r="BG327" s="280"/>
      <c r="BH327" s="280"/>
      <c r="BI327" s="280"/>
      <c r="BJ327" s="280"/>
      <c r="BK327" s="396" t="e">
        <f t="shared" ref="BK327:BK328" si="888">BK321/$U$5</f>
        <v>#REF!</v>
      </c>
      <c r="BL327" s="280" t="e">
        <f t="shared" si="886"/>
        <v>#REF!</v>
      </c>
      <c r="BM327" s="280" t="e">
        <f t="shared" si="886"/>
        <v>#REF!</v>
      </c>
      <c r="BN327" s="280" t="e">
        <f t="shared" si="886"/>
        <v>#REF!</v>
      </c>
      <c r="BO327" s="280" t="e">
        <f t="shared" si="886"/>
        <v>#REF!</v>
      </c>
      <c r="BP327" s="280" t="e">
        <f t="shared" si="886"/>
        <v>#REF!</v>
      </c>
      <c r="BQ327" s="280" t="e">
        <f t="shared" si="886"/>
        <v>#REF!</v>
      </c>
      <c r="BR327" s="280" t="e">
        <f t="shared" si="886"/>
        <v>#REF!</v>
      </c>
      <c r="BT327" s="121"/>
    </row>
    <row r="328" spans="1:72" s="119" customFormat="1" ht="14.1">
      <c r="A328" s="130"/>
      <c r="B328" s="147" t="s">
        <v>358</v>
      </c>
      <c r="C328" s="117"/>
      <c r="D328" s="280" t="e">
        <f t="shared" ref="D328:T328" si="889">D322/$U$5</f>
        <v>#REF!</v>
      </c>
      <c r="E328" s="280" t="e">
        <f t="shared" si="889"/>
        <v>#REF!</v>
      </c>
      <c r="F328" s="280" t="e">
        <f t="shared" si="889"/>
        <v>#REF!</v>
      </c>
      <c r="G328" s="280" t="e">
        <f t="shared" si="889"/>
        <v>#REF!</v>
      </c>
      <c r="H328" s="280" t="e">
        <f t="shared" si="889"/>
        <v>#REF!</v>
      </c>
      <c r="I328" s="280" t="e">
        <f t="shared" si="889"/>
        <v>#REF!</v>
      </c>
      <c r="J328" s="280" t="e">
        <f t="shared" si="889"/>
        <v>#REF!</v>
      </c>
      <c r="K328" s="280" t="e">
        <f t="shared" si="889"/>
        <v>#REF!</v>
      </c>
      <c r="L328" s="280" t="e">
        <f t="shared" si="889"/>
        <v>#REF!</v>
      </c>
      <c r="M328" s="280" t="e">
        <f t="shared" si="889"/>
        <v>#REF!</v>
      </c>
      <c r="N328" s="280" t="e">
        <f t="shared" si="889"/>
        <v>#REF!</v>
      </c>
      <c r="O328" s="280" t="e">
        <f t="shared" si="889"/>
        <v>#REF!</v>
      </c>
      <c r="P328" s="280" t="e">
        <f t="shared" si="889"/>
        <v>#REF!</v>
      </c>
      <c r="Q328" s="280" t="e">
        <f t="shared" si="889"/>
        <v>#REF!</v>
      </c>
      <c r="R328" s="280" t="e">
        <f t="shared" si="889"/>
        <v>#REF!</v>
      </c>
      <c r="S328" s="280" t="e">
        <f t="shared" si="889"/>
        <v>#REF!</v>
      </c>
      <c r="T328" s="280" t="e">
        <f t="shared" si="889"/>
        <v>#REF!</v>
      </c>
      <c r="U328" s="280" t="e">
        <f>U322/$U$5</f>
        <v>#REF!</v>
      </c>
      <c r="V328" s="355"/>
      <c r="W328" s="280"/>
      <c r="X328" s="280"/>
      <c r="Y328" s="280"/>
      <c r="Z328" s="280"/>
      <c r="AA328" s="280"/>
      <c r="AB328" s="280" t="e">
        <f t="shared" ref="AB328:BR328" si="890">AB322/$U$5</f>
        <v>#REF!</v>
      </c>
      <c r="AC328" s="355"/>
      <c r="AD328" s="280"/>
      <c r="AE328" s="280"/>
      <c r="AF328" s="280"/>
      <c r="AG328" s="280"/>
      <c r="AH328" s="280"/>
      <c r="AI328" s="280" t="e">
        <f t="shared" si="890"/>
        <v>#REF!</v>
      </c>
      <c r="AJ328" s="355"/>
      <c r="AK328" s="280"/>
      <c r="AL328" s="280"/>
      <c r="AM328" s="280"/>
      <c r="AN328" s="280"/>
      <c r="AO328" s="280"/>
      <c r="AP328" s="280" t="e">
        <f t="shared" si="890"/>
        <v>#REF!</v>
      </c>
      <c r="AQ328" s="355"/>
      <c r="AR328" s="280"/>
      <c r="AS328" s="280"/>
      <c r="AT328" s="280"/>
      <c r="AU328" s="280"/>
      <c r="AV328" s="280"/>
      <c r="AW328" s="280" t="e">
        <f t="shared" si="890"/>
        <v>#REF!</v>
      </c>
      <c r="AX328" s="355"/>
      <c r="AY328" s="280"/>
      <c r="AZ328" s="280"/>
      <c r="BA328" s="280"/>
      <c r="BB328" s="280"/>
      <c r="BC328" s="280"/>
      <c r="BD328" s="396" t="e">
        <f t="shared" ref="BD328" si="891">BD322/$U$5</f>
        <v>#REF!</v>
      </c>
      <c r="BE328" s="355"/>
      <c r="BF328" s="280"/>
      <c r="BG328" s="280"/>
      <c r="BH328" s="280"/>
      <c r="BI328" s="280"/>
      <c r="BJ328" s="280"/>
      <c r="BK328" s="396" t="e">
        <f t="shared" si="888"/>
        <v>#REF!</v>
      </c>
      <c r="BL328" s="280" t="e">
        <f t="shared" si="890"/>
        <v>#REF!</v>
      </c>
      <c r="BM328" s="280" t="e">
        <f t="shared" si="890"/>
        <v>#REF!</v>
      </c>
      <c r="BN328" s="280" t="e">
        <f t="shared" si="890"/>
        <v>#REF!</v>
      </c>
      <c r="BO328" s="280" t="e">
        <f t="shared" si="890"/>
        <v>#REF!</v>
      </c>
      <c r="BP328" s="280" t="e">
        <f t="shared" si="890"/>
        <v>#REF!</v>
      </c>
      <c r="BQ328" s="280" t="e">
        <f t="shared" si="890"/>
        <v>#REF!</v>
      </c>
      <c r="BR328" s="280" t="e">
        <f t="shared" si="890"/>
        <v>#REF!</v>
      </c>
      <c r="BT328" s="121"/>
    </row>
    <row r="329" spans="1:72" s="119" customFormat="1" ht="14.1">
      <c r="A329" s="130"/>
      <c r="B329" s="147" t="s">
        <v>356</v>
      </c>
      <c r="C329" s="117"/>
      <c r="D329" s="280" t="e">
        <f t="shared" ref="D329:T329" si="892">D324/$U$5</f>
        <v>#REF!</v>
      </c>
      <c r="E329" s="280" t="e">
        <f t="shared" si="892"/>
        <v>#REF!</v>
      </c>
      <c r="F329" s="280" t="e">
        <f t="shared" si="892"/>
        <v>#REF!</v>
      </c>
      <c r="G329" s="280" t="e">
        <f t="shared" si="892"/>
        <v>#REF!</v>
      </c>
      <c r="H329" s="280" t="e">
        <f t="shared" si="892"/>
        <v>#REF!</v>
      </c>
      <c r="I329" s="280" t="e">
        <f t="shared" si="892"/>
        <v>#REF!</v>
      </c>
      <c r="J329" s="280" t="e">
        <f t="shared" si="892"/>
        <v>#REF!</v>
      </c>
      <c r="K329" s="280" t="e">
        <f t="shared" si="892"/>
        <v>#REF!</v>
      </c>
      <c r="L329" s="280" t="e">
        <f t="shared" si="892"/>
        <v>#REF!</v>
      </c>
      <c r="M329" s="280" t="e">
        <f t="shared" si="892"/>
        <v>#REF!</v>
      </c>
      <c r="N329" s="280" t="e">
        <f t="shared" si="892"/>
        <v>#REF!</v>
      </c>
      <c r="O329" s="280" t="e">
        <f t="shared" si="892"/>
        <v>#REF!</v>
      </c>
      <c r="P329" s="280" t="e">
        <f t="shared" si="892"/>
        <v>#REF!</v>
      </c>
      <c r="Q329" s="280" t="e">
        <f t="shared" si="892"/>
        <v>#REF!</v>
      </c>
      <c r="R329" s="280" t="e">
        <f t="shared" si="892"/>
        <v>#REF!</v>
      </c>
      <c r="S329" s="280" t="e">
        <f t="shared" si="892"/>
        <v>#REF!</v>
      </c>
      <c r="T329" s="280" t="e">
        <f t="shared" si="892"/>
        <v>#REF!</v>
      </c>
      <c r="U329" s="280" t="e">
        <f>U324/$U$5</f>
        <v>#REF!</v>
      </c>
      <c r="V329" s="355"/>
      <c r="W329" s="280"/>
      <c r="X329" s="280"/>
      <c r="Y329" s="280"/>
      <c r="Z329" s="280"/>
      <c r="AA329" s="280"/>
      <c r="AB329" s="280" t="e">
        <f>AB324/AB5</f>
        <v>#REF!</v>
      </c>
      <c r="AC329" s="355"/>
      <c r="AD329" s="280"/>
      <c r="AE329" s="280"/>
      <c r="AF329" s="280"/>
      <c r="AG329" s="280"/>
      <c r="AH329" s="280"/>
      <c r="AI329" s="280" t="e">
        <f>AI324/AI5</f>
        <v>#REF!</v>
      </c>
      <c r="AJ329" s="355"/>
      <c r="AK329" s="280"/>
      <c r="AL329" s="280"/>
      <c r="AM329" s="280"/>
      <c r="AN329" s="280"/>
      <c r="AO329" s="280"/>
      <c r="AP329" s="280" t="e">
        <f>AP324/AP5</f>
        <v>#REF!</v>
      </c>
      <c r="AQ329" s="355"/>
      <c r="AR329" s="280"/>
      <c r="AS329" s="280"/>
      <c r="AT329" s="280"/>
      <c r="AU329" s="280"/>
      <c r="AV329" s="280"/>
      <c r="AW329" s="280" t="e">
        <f>AW324/AW5</f>
        <v>#REF!</v>
      </c>
      <c r="AX329" s="355"/>
      <c r="AY329" s="280"/>
      <c r="AZ329" s="280"/>
      <c r="BA329" s="280"/>
      <c r="BB329" s="280"/>
      <c r="BC329" s="280"/>
      <c r="BD329" s="396" t="e">
        <f>BD324/BD5</f>
        <v>#REF!</v>
      </c>
      <c r="BE329" s="355"/>
      <c r="BF329" s="280"/>
      <c r="BG329" s="280"/>
      <c r="BH329" s="280"/>
      <c r="BI329" s="280"/>
      <c r="BJ329" s="280"/>
      <c r="BK329" s="396" t="e">
        <f>BK324/BK5</f>
        <v>#REF!</v>
      </c>
      <c r="BL329" s="280" t="e">
        <f t="shared" ref="BL329:BR329" si="893">BL324/BL5</f>
        <v>#REF!</v>
      </c>
      <c r="BM329" s="280" t="e">
        <f t="shared" si="893"/>
        <v>#REF!</v>
      </c>
      <c r="BN329" s="280" t="e">
        <f t="shared" si="893"/>
        <v>#REF!</v>
      </c>
      <c r="BO329" s="280" t="e">
        <f t="shared" si="893"/>
        <v>#REF!</v>
      </c>
      <c r="BP329" s="280" t="e">
        <f t="shared" si="893"/>
        <v>#REF!</v>
      </c>
      <c r="BQ329" s="280" t="e">
        <f t="shared" si="893"/>
        <v>#REF!</v>
      </c>
      <c r="BR329" s="280" t="e">
        <f t="shared" si="893"/>
        <v>#REF!</v>
      </c>
      <c r="BT329" s="121"/>
    </row>
    <row r="330" spans="1:72" s="119" customFormat="1" ht="14.1">
      <c r="A330" s="130"/>
      <c r="B330" s="147"/>
      <c r="C330" s="117"/>
      <c r="V330" s="234"/>
      <c r="AC330" s="234"/>
      <c r="AJ330" s="234"/>
      <c r="AQ330" s="234"/>
      <c r="AX330" s="234"/>
      <c r="BD330" s="120"/>
      <c r="BE330" s="234"/>
      <c r="BK330" s="120"/>
      <c r="BT330" s="121"/>
    </row>
    <row r="331" spans="1:72" s="119" customFormat="1" ht="14.1">
      <c r="A331" s="130"/>
      <c r="B331" s="279" t="s">
        <v>414</v>
      </c>
      <c r="C331" s="117"/>
      <c r="V331" s="234"/>
      <c r="AC331" s="234"/>
      <c r="AJ331" s="234"/>
      <c r="AQ331" s="234"/>
      <c r="AX331" s="234"/>
      <c r="BD331" s="120"/>
      <c r="BE331" s="234"/>
      <c r="BK331" s="120"/>
      <c r="BT331" s="121"/>
    </row>
    <row r="332" spans="1:72" s="277" customFormat="1" ht="14.1">
      <c r="A332" s="130"/>
      <c r="B332" s="147" t="s">
        <v>466</v>
      </c>
      <c r="C332" s="276"/>
      <c r="D332" s="93">
        <f ca="1">[69]!s_val_mv_ard($B$3,IF($U$1&gt;D3,D3,$U$1),1000000)</f>
        <v>0</v>
      </c>
      <c r="E332" s="93">
        <f ca="1">[69]!s_val_mv_ard($B$3,IF($U$1&gt;E3,E3,$U$1),1000000)</f>
        <v>0</v>
      </c>
      <c r="F332" s="93">
        <f ca="1">[69]!s_val_mv_ard($B$3,IF($U$1&gt;F3,F3,$U$1),1000000)</f>
        <v>0</v>
      </c>
      <c r="G332" s="93">
        <f ca="1">[69]!s_val_mv_ard($B$3,IF($U$1&gt;G3,G3,$U$1),1000000)</f>
        <v>0</v>
      </c>
      <c r="H332" s="93">
        <f ca="1">[69]!s_val_mv_ard($B$3,IF($U$1&gt;H3,H3,$U$1),1000000)</f>
        <v>0</v>
      </c>
      <c r="I332" s="93">
        <f ca="1">[69]!s_val_mv_ard($B$3,IF($U$1&gt;I3,I3,$U$1),1000000)</f>
        <v>0</v>
      </c>
      <c r="J332" s="93">
        <f ca="1">[69]!s_val_mv_ard($B$3,IF($U$1&gt;J3,J3,$U$1),1000000)</f>
        <v>0</v>
      </c>
      <c r="K332" s="93">
        <f ca="1">[69]!s_val_mv_ard($B$3,IF($U$1&gt;K3,K3,$U$1),1000000)</f>
        <v>0</v>
      </c>
      <c r="L332" s="93">
        <f ca="1">[69]!s_val_mv_ard($B$3,IF($U$1&gt;L3,L3,$U$1),1000000)</f>
        <v>0</v>
      </c>
      <c r="M332" s="93">
        <f ca="1">[69]!s_val_mv_ard($B$3,IF($U$1&gt;M3,M3,$U$1),1000000)</f>
        <v>0</v>
      </c>
      <c r="N332" s="93">
        <f ca="1">[69]!s_val_mv_ard($B$3,IF($U$1&gt;N3,N3,$U$1),1000000)</f>
        <v>0</v>
      </c>
      <c r="O332" s="93">
        <f ca="1">[69]!s_val_mv_ard($B$3,IF($U$1&gt;O3,O3,$U$1),1000000)</f>
        <v>0</v>
      </c>
      <c r="P332" s="93">
        <f ca="1">[69]!s_val_mv_ard($B$3,IF($U$1&gt;P3,P3,$U$1),1000000)</f>
        <v>0</v>
      </c>
      <c r="Q332" s="93">
        <f ca="1">[69]!s_val_mv_ard($B$3,IF($U$1&gt;Q3,Q3,$U$1),1000000)</f>
        <v>0</v>
      </c>
      <c r="R332" s="93">
        <f ca="1">[69]!s_val_mv_ard($B$3,IF($U$1&gt;R3,R3,$U$1),1000000)</f>
        <v>0</v>
      </c>
      <c r="S332" s="93">
        <f ca="1">[69]!s_val_mv_ard($B$3,IF($U$1&gt;S3,S3,$U$1),1000000)</f>
        <v>0</v>
      </c>
      <c r="T332" s="93">
        <f ca="1">[69]!s_val_mv_ard($B$3,IF($U$1&gt;T3,T3,$U$1),1000000)</f>
        <v>0</v>
      </c>
      <c r="U332" s="93">
        <f ca="1">[69]!s_val_mv_ard($B$3,IF($U$1&gt;U3,U3,$U$1),1000000)</f>
        <v>0</v>
      </c>
      <c r="V332" s="141"/>
      <c r="W332" s="93"/>
      <c r="X332" s="93"/>
      <c r="Y332" s="93"/>
      <c r="Z332" s="93"/>
      <c r="AA332" s="93"/>
      <c r="AB332" s="93">
        <f ca="1">[69]!s_val_mv_ard($B$3,IF($U$1&gt;AB3,AB3,$U$1),1000000)</f>
        <v>0</v>
      </c>
      <c r="AC332" s="141"/>
      <c r="AD332" s="93"/>
      <c r="AE332" s="93"/>
      <c r="AF332" s="93"/>
      <c r="AG332" s="93"/>
      <c r="AH332" s="93"/>
      <c r="AI332" s="93">
        <f ca="1">[69]!s_val_mv_ard($B$3,IF($U$1&gt;AI3,AI3,$U$1),1000000)</f>
        <v>0</v>
      </c>
      <c r="AJ332" s="141"/>
      <c r="AK332" s="93"/>
      <c r="AL332" s="93"/>
      <c r="AM332" s="93"/>
      <c r="AN332" s="93"/>
      <c r="AO332" s="93"/>
      <c r="AP332" s="93">
        <f ca="1">[69]!s_val_mv_ard($B$3,IF($U$1&gt;AP3,AP3,$U$1),1000000)</f>
        <v>0</v>
      </c>
      <c r="AQ332" s="141"/>
      <c r="AR332" s="93"/>
      <c r="AS332" s="93"/>
      <c r="AT332" s="93"/>
      <c r="AU332" s="93"/>
      <c r="AV332" s="93"/>
      <c r="AW332" s="93">
        <f ca="1">[69]!s_val_mv_ard($B$3,IF($U$1&gt;AW3,AW3,$U$1),1000000)</f>
        <v>0</v>
      </c>
      <c r="AX332" s="141"/>
      <c r="AY332" s="93"/>
      <c r="AZ332" s="93"/>
      <c r="BA332" s="93"/>
      <c r="BB332" s="93"/>
      <c r="BC332" s="93"/>
      <c r="BD332" s="139">
        <f ca="1">[69]!s_val_mv_ard($B$3,IF($U$1&gt;BD3,BD3,$U$1),1000000)</f>
        <v>0</v>
      </c>
      <c r="BE332" s="141"/>
      <c r="BF332" s="93"/>
      <c r="BG332" s="93"/>
      <c r="BH332" s="93"/>
      <c r="BI332" s="93"/>
      <c r="BJ332" s="93"/>
      <c r="BK332" s="139">
        <f ca="1">[69]!s_val_mv_ard($B$3,IF($U$1&gt;BK3,BK3,$U$1),1000000)</f>
        <v>0</v>
      </c>
      <c r="BL332" s="93">
        <f ca="1" xml:space="preserve"> IF([69]!s_val_mv_ard($B$3,IF($U$1&gt;BL3,BL3,$U$1),1000000)=0,[69]!s_val_mv_ard($B$3,IF($U$1&gt;BL3,BL3,$U$1-1),1000000), [69]!s_val_mv_ard($B$3,IF($U$1&gt;BL3,BL3,$U$1),1000000))</f>
        <v>0</v>
      </c>
      <c r="BM332" s="93">
        <f ca="1" xml:space="preserve"> IF([69]!s_val_mv_ard($B$3,IF($U$1&gt;BM3,BM3,$U$1),1000000)=0,[69]!s_val_mv_ard($B$3,IF($U$1&gt;BM3,BM3,$U$1-1),1000000), [69]!s_val_mv_ard($B$3,IF($U$1&gt;BM3,BM3,$U$1),1000000))</f>
        <v>0</v>
      </c>
      <c r="BN332" s="93">
        <f ca="1" xml:space="preserve"> IF([69]!s_val_mv_ard($B$3,IF($U$1&gt;BN3,BN3,$U$1),1000000)=0,[69]!s_val_mv_ard($B$3,IF($U$1&gt;BN3,BN3,$U$1-1),1000000), [69]!s_val_mv_ard($B$3,IF($U$1&gt;BN3,BN3,$U$1),1000000))</f>
        <v>0</v>
      </c>
      <c r="BO332" s="93">
        <f ca="1" xml:space="preserve"> IF([69]!s_val_mv_ard($B$3,IF($U$1&gt;BO3,BO3,$U$1),1000000)=0,[69]!s_val_mv_ard($B$3,IF($U$1&gt;BO3,BO3,$U$1-1),1000000), [69]!s_val_mv_ard($B$3,IF($U$1&gt;BO3,BO3,$U$1),1000000))</f>
        <v>0</v>
      </c>
      <c r="BP332" s="93">
        <f ca="1" xml:space="preserve"> IF([69]!s_val_mv_ard($B$3,IF($U$1&gt;BP3,BP3,$U$1),1000000)=0,[69]!s_val_mv_ard($B$3,IF($U$1&gt;BP3,BP3,$U$1-1),1000000), [69]!s_val_mv_ard($B$3,IF($U$1&gt;BP3,BP3,$U$1),1000000))</f>
        <v>0</v>
      </c>
      <c r="BQ332" s="93">
        <f ca="1" xml:space="preserve"> IF([69]!s_val_mv_ard($B$3,IF($U$1&gt;BQ3,BQ3,$U$1),1000000)=0,[69]!s_val_mv_ard($B$3,IF($U$1&gt;BQ3,BQ3,$U$1-1),1000000), [69]!s_val_mv_ard($B$3,IF($U$1&gt;BQ3,BQ3,$U$1),1000000))</f>
        <v>0</v>
      </c>
      <c r="BR332" s="93">
        <f ca="1" xml:space="preserve"> IF([69]!s_val_mv_ard($B$3,IF($U$1&gt;BR3,BR3,$U$1),1000000)=0,[69]!s_val_mv_ard($B$3,IF($U$1&gt;BR3,BR3,$U$1-1),1000000), [69]!s_val_mv_ard($B$3,IF($U$1&gt;BR3,BR3,$U$1),1000000))</f>
        <v>0</v>
      </c>
      <c r="BS332" s="93"/>
    </row>
    <row r="333" spans="1:72" s="119" customFormat="1" ht="14.1">
      <c r="A333" s="130"/>
      <c r="B333" s="147" t="s">
        <v>348</v>
      </c>
      <c r="C333" s="117"/>
      <c r="D333" s="93">
        <f t="shared" ref="D333:U333" ca="1" si="894">IF(D332=0,0,D332+D193+D213-D140)</f>
        <v>0</v>
      </c>
      <c r="E333" s="93">
        <f t="shared" ca="1" si="894"/>
        <v>0</v>
      </c>
      <c r="F333" s="93">
        <f t="shared" ca="1" si="894"/>
        <v>0</v>
      </c>
      <c r="G333" s="93">
        <f t="shared" ca="1" si="894"/>
        <v>0</v>
      </c>
      <c r="H333" s="93">
        <f t="shared" ca="1" si="894"/>
        <v>0</v>
      </c>
      <c r="I333" s="93">
        <f t="shared" ca="1" si="894"/>
        <v>0</v>
      </c>
      <c r="J333" s="93">
        <f t="shared" ca="1" si="894"/>
        <v>0</v>
      </c>
      <c r="K333" s="93">
        <f t="shared" ca="1" si="894"/>
        <v>0</v>
      </c>
      <c r="L333" s="93">
        <f t="shared" ca="1" si="894"/>
        <v>0</v>
      </c>
      <c r="M333" s="93">
        <f t="shared" ca="1" si="894"/>
        <v>0</v>
      </c>
      <c r="N333" s="93">
        <f t="shared" ca="1" si="894"/>
        <v>0</v>
      </c>
      <c r="O333" s="93">
        <f t="shared" ca="1" si="894"/>
        <v>0</v>
      </c>
      <c r="P333" s="93">
        <f t="shared" ca="1" si="894"/>
        <v>0</v>
      </c>
      <c r="Q333" s="93">
        <f t="shared" ca="1" si="894"/>
        <v>0</v>
      </c>
      <c r="R333" s="93">
        <f t="shared" ca="1" si="894"/>
        <v>0</v>
      </c>
      <c r="S333" s="93">
        <f t="shared" ca="1" si="894"/>
        <v>0</v>
      </c>
      <c r="T333" s="93">
        <f t="shared" ca="1" si="894"/>
        <v>0</v>
      </c>
      <c r="U333" s="93">
        <f t="shared" ca="1" si="894"/>
        <v>0</v>
      </c>
      <c r="V333" s="141"/>
      <c r="W333" s="93"/>
      <c r="X333" s="93"/>
      <c r="Y333" s="93"/>
      <c r="Z333" s="93"/>
      <c r="AA333" s="93"/>
      <c r="AB333" s="93">
        <f ca="1">IF(AB332=0,0,AB332+AB193+AB213-AB140)</f>
        <v>0</v>
      </c>
      <c r="AC333" s="141"/>
      <c r="AD333" s="93"/>
      <c r="AE333" s="93"/>
      <c r="AF333" s="93"/>
      <c r="AG333" s="93"/>
      <c r="AH333" s="93"/>
      <c r="AI333" s="93">
        <f ca="1">IF(AI332=0,0,AI332+AI193+AI213-AI140)</f>
        <v>0</v>
      </c>
      <c r="AJ333" s="141"/>
      <c r="AK333" s="93"/>
      <c r="AL333" s="93"/>
      <c r="AM333" s="93"/>
      <c r="AN333" s="93"/>
      <c r="AO333" s="93"/>
      <c r="AP333" s="93">
        <f ca="1">IF(AP332=0,0,AP332+AP193+AP213-AP140)</f>
        <v>0</v>
      </c>
      <c r="AQ333" s="141"/>
      <c r="AR333" s="93"/>
      <c r="AS333" s="93"/>
      <c r="AT333" s="93"/>
      <c r="AU333" s="93"/>
      <c r="AV333" s="93"/>
      <c r="AW333" s="93">
        <f ca="1">IF(AW332=0,0,AW332+AW193+AW213-AW140)</f>
        <v>0</v>
      </c>
      <c r="AX333" s="141"/>
      <c r="AY333" s="93"/>
      <c r="AZ333" s="93"/>
      <c r="BA333" s="93"/>
      <c r="BB333" s="93"/>
      <c r="BC333" s="93"/>
      <c r="BD333" s="139">
        <f ca="1">IF(BD332=0,0,BD332+BD193+BD213-BD140)</f>
        <v>0</v>
      </c>
      <c r="BE333" s="141"/>
      <c r="BF333" s="93"/>
      <c r="BG333" s="93"/>
      <c r="BH333" s="93"/>
      <c r="BI333" s="93"/>
      <c r="BJ333" s="93"/>
      <c r="BK333" s="139">
        <f ca="1">IF(BK332=0,0,BK332+BK193+BK213-BK140)</f>
        <v>0</v>
      </c>
      <c r="BL333" s="93">
        <f t="shared" ref="BL333:BR333" ca="1" si="895">IF(BL332=0,0,BL332+BL193+BL213-BL140)</f>
        <v>0</v>
      </c>
      <c r="BM333" s="93">
        <f t="shared" ca="1" si="895"/>
        <v>0</v>
      </c>
      <c r="BN333" s="93">
        <f t="shared" ca="1" si="895"/>
        <v>0</v>
      </c>
      <c r="BO333" s="93">
        <f t="shared" ca="1" si="895"/>
        <v>0</v>
      </c>
      <c r="BP333" s="93">
        <f t="shared" ca="1" si="895"/>
        <v>0</v>
      </c>
      <c r="BQ333" s="93">
        <f t="shared" ca="1" si="895"/>
        <v>0</v>
      </c>
      <c r="BR333" s="93">
        <f t="shared" ca="1" si="895"/>
        <v>0</v>
      </c>
      <c r="BT333" s="121"/>
    </row>
    <row r="334" spans="1:72" s="119" customFormat="1" ht="14.1">
      <c r="A334" s="130"/>
      <c r="B334" s="147" t="s">
        <v>349</v>
      </c>
      <c r="C334" s="117"/>
      <c r="D334" s="93" t="e">
        <f t="shared" ref="D334:U334" si="896">D130-D140-D141+D195+D199</f>
        <v>#REF!</v>
      </c>
      <c r="E334" s="93" t="e">
        <f t="shared" si="896"/>
        <v>#REF!</v>
      </c>
      <c r="F334" s="93" t="e">
        <f t="shared" si="896"/>
        <v>#REF!</v>
      </c>
      <c r="G334" s="93" t="e">
        <f t="shared" si="896"/>
        <v>#REF!</v>
      </c>
      <c r="H334" s="93" t="e">
        <f t="shared" si="896"/>
        <v>#REF!</v>
      </c>
      <c r="I334" s="93" t="e">
        <f t="shared" si="896"/>
        <v>#REF!</v>
      </c>
      <c r="J334" s="93" t="e">
        <f t="shared" si="896"/>
        <v>#REF!</v>
      </c>
      <c r="K334" s="93" t="e">
        <f t="shared" si="896"/>
        <v>#REF!</v>
      </c>
      <c r="L334" s="93" t="e">
        <f t="shared" si="896"/>
        <v>#REF!</v>
      </c>
      <c r="M334" s="93" t="e">
        <f t="shared" si="896"/>
        <v>#REF!</v>
      </c>
      <c r="N334" s="93" t="e">
        <f t="shared" si="896"/>
        <v>#REF!</v>
      </c>
      <c r="O334" s="93" t="e">
        <f t="shared" si="896"/>
        <v>#REF!</v>
      </c>
      <c r="P334" s="93" t="e">
        <f t="shared" si="896"/>
        <v>#REF!</v>
      </c>
      <c r="Q334" s="93" t="e">
        <f t="shared" si="896"/>
        <v>#REF!</v>
      </c>
      <c r="R334" s="93" t="e">
        <f t="shared" si="896"/>
        <v>#REF!</v>
      </c>
      <c r="S334" s="93" t="e">
        <f t="shared" si="896"/>
        <v>#REF!</v>
      </c>
      <c r="T334" s="93" t="e">
        <f t="shared" si="896"/>
        <v>#REF!</v>
      </c>
      <c r="U334" s="93" t="e">
        <f t="shared" si="896"/>
        <v>#REF!</v>
      </c>
      <c r="V334" s="141"/>
      <c r="W334" s="93"/>
      <c r="X334" s="93"/>
      <c r="Y334" s="93"/>
      <c r="Z334" s="93"/>
      <c r="AA334" s="93"/>
      <c r="AB334" s="93" t="e">
        <f>AB130-AB140-AB141+AB195+AB199</f>
        <v>#REF!</v>
      </c>
      <c r="AC334" s="141"/>
      <c r="AD334" s="93"/>
      <c r="AE334" s="93"/>
      <c r="AF334" s="93"/>
      <c r="AG334" s="93"/>
      <c r="AH334" s="93"/>
      <c r="AI334" s="93" t="e">
        <f>AI130-AI140-AI141+AI195+AI199</f>
        <v>#REF!</v>
      </c>
      <c r="AJ334" s="141"/>
      <c r="AK334" s="93"/>
      <c r="AL334" s="93"/>
      <c r="AM334" s="93"/>
      <c r="AN334" s="93"/>
      <c r="AO334" s="93"/>
      <c r="AP334" s="93" t="e">
        <f>AP130-AP140-AP141+AP195+AP199</f>
        <v>#REF!</v>
      </c>
      <c r="AQ334" s="141"/>
      <c r="AR334" s="93"/>
      <c r="AS334" s="93"/>
      <c r="AT334" s="93"/>
      <c r="AU334" s="93"/>
      <c r="AV334" s="93"/>
      <c r="AW334" s="93" t="e">
        <f>AW130-AW140-AW141+AW195+AW199</f>
        <v>#REF!</v>
      </c>
      <c r="AX334" s="141"/>
      <c r="AY334" s="93"/>
      <c r="AZ334" s="93"/>
      <c r="BA334" s="93"/>
      <c r="BB334" s="93"/>
      <c r="BC334" s="93"/>
      <c r="BD334" s="139" t="e">
        <f>BD130-BD140-BD141+BD195+BD199</f>
        <v>#REF!</v>
      </c>
      <c r="BE334" s="141"/>
      <c r="BF334" s="93"/>
      <c r="BG334" s="93"/>
      <c r="BH334" s="93"/>
      <c r="BI334" s="93"/>
      <c r="BJ334" s="93"/>
      <c r="BK334" s="139" t="e">
        <f>BK130-BK140-BK141+BK195+BK199</f>
        <v>#REF!</v>
      </c>
      <c r="BL334" s="93" t="e">
        <f t="shared" ref="BL334:BR334" si="897">BL130-BL140-BL141+BL195+BL199</f>
        <v>#REF!</v>
      </c>
      <c r="BM334" s="93" t="e">
        <f t="shared" si="897"/>
        <v>#REF!</v>
      </c>
      <c r="BN334" s="93" t="e">
        <f t="shared" si="897"/>
        <v>#REF!</v>
      </c>
      <c r="BO334" s="93" t="e">
        <f t="shared" si="897"/>
        <v>#REF!</v>
      </c>
      <c r="BP334" s="93" t="e">
        <f t="shared" si="897"/>
        <v>#REF!</v>
      </c>
      <c r="BQ334" s="93" t="e">
        <f t="shared" si="897"/>
        <v>#REF!</v>
      </c>
      <c r="BR334" s="93" t="e">
        <f t="shared" si="897"/>
        <v>#REF!</v>
      </c>
      <c r="BT334" s="121"/>
    </row>
    <row r="335" spans="1:72" s="119" customFormat="1" ht="14.1">
      <c r="A335" s="130"/>
      <c r="B335" s="147" t="s">
        <v>354</v>
      </c>
      <c r="C335" s="117"/>
      <c r="D335" s="93" t="e">
        <f t="shared" ref="D335:U335" si="898">D246</f>
        <v>#REF!</v>
      </c>
      <c r="E335" s="93" t="e">
        <f t="shared" si="898"/>
        <v>#REF!</v>
      </c>
      <c r="F335" s="93" t="e">
        <f t="shared" si="898"/>
        <v>#REF!</v>
      </c>
      <c r="G335" s="93" t="e">
        <f t="shared" si="898"/>
        <v>#REF!</v>
      </c>
      <c r="H335" s="93" t="e">
        <f t="shared" si="898"/>
        <v>#REF!</v>
      </c>
      <c r="I335" s="93" t="e">
        <f t="shared" si="898"/>
        <v>#REF!</v>
      </c>
      <c r="J335" s="93" t="e">
        <f t="shared" si="898"/>
        <v>#REF!</v>
      </c>
      <c r="K335" s="93" t="e">
        <f t="shared" si="898"/>
        <v>#REF!</v>
      </c>
      <c r="L335" s="93" t="e">
        <f t="shared" si="898"/>
        <v>#REF!</v>
      </c>
      <c r="M335" s="93" t="e">
        <f t="shared" si="898"/>
        <v>#REF!</v>
      </c>
      <c r="N335" s="93" t="e">
        <f t="shared" si="898"/>
        <v>#REF!</v>
      </c>
      <c r="O335" s="93" t="e">
        <f t="shared" si="898"/>
        <v>#REF!</v>
      </c>
      <c r="P335" s="93" t="e">
        <f t="shared" si="898"/>
        <v>#REF!</v>
      </c>
      <c r="Q335" s="93" t="e">
        <f t="shared" si="898"/>
        <v>#REF!</v>
      </c>
      <c r="R335" s="93" t="e">
        <f t="shared" si="898"/>
        <v>#REF!</v>
      </c>
      <c r="S335" s="93" t="e">
        <f t="shared" si="898"/>
        <v>#REF!</v>
      </c>
      <c r="T335" s="93" t="e">
        <f t="shared" si="898"/>
        <v>#REF!</v>
      </c>
      <c r="U335" s="93" t="e">
        <f t="shared" si="898"/>
        <v>#REF!</v>
      </c>
      <c r="V335" s="141"/>
      <c r="W335" s="93"/>
      <c r="X335" s="93"/>
      <c r="Y335" s="93"/>
      <c r="Z335" s="93"/>
      <c r="AA335" s="93"/>
      <c r="AB335" s="93" t="e">
        <f>AB246</f>
        <v>#REF!</v>
      </c>
      <c r="AC335" s="141"/>
      <c r="AD335" s="93"/>
      <c r="AE335" s="93"/>
      <c r="AF335" s="93"/>
      <c r="AG335" s="93"/>
      <c r="AH335" s="93"/>
      <c r="AI335" s="93" t="e">
        <f>AI246</f>
        <v>#REF!</v>
      </c>
      <c r="AJ335" s="141"/>
      <c r="AK335" s="93"/>
      <c r="AL335" s="93"/>
      <c r="AM335" s="93"/>
      <c r="AN335" s="93"/>
      <c r="AO335" s="93"/>
      <c r="AP335" s="93" t="e">
        <f>AP246</f>
        <v>#REF!</v>
      </c>
      <c r="AQ335" s="141"/>
      <c r="AR335" s="93"/>
      <c r="AS335" s="93"/>
      <c r="AT335" s="93"/>
      <c r="AU335" s="93"/>
      <c r="AV335" s="93"/>
      <c r="AW335" s="93" t="e">
        <f>AW246</f>
        <v>#REF!</v>
      </c>
      <c r="AX335" s="141"/>
      <c r="AY335" s="93"/>
      <c r="AZ335" s="93"/>
      <c r="BA335" s="93"/>
      <c r="BB335" s="93"/>
      <c r="BC335" s="93"/>
      <c r="BD335" s="139" t="e">
        <f>BD246</f>
        <v>#REF!</v>
      </c>
      <c r="BE335" s="141"/>
      <c r="BF335" s="93"/>
      <c r="BG335" s="93"/>
      <c r="BH335" s="93"/>
      <c r="BI335" s="93"/>
      <c r="BJ335" s="93"/>
      <c r="BK335" s="139" t="e">
        <f>BK246</f>
        <v>#REF!</v>
      </c>
      <c r="BL335" s="93" t="e">
        <f t="shared" ref="BL335:BR335" si="899">BL246</f>
        <v>#REF!</v>
      </c>
      <c r="BM335" s="93" t="e">
        <f t="shared" si="899"/>
        <v>#REF!</v>
      </c>
      <c r="BN335" s="93" t="e">
        <f t="shared" si="899"/>
        <v>#REF!</v>
      </c>
      <c r="BO335" s="93" t="e">
        <f t="shared" si="899"/>
        <v>#REF!</v>
      </c>
      <c r="BP335" s="93" t="e">
        <f t="shared" si="899"/>
        <v>#REF!</v>
      </c>
      <c r="BQ335" s="93" t="e">
        <f t="shared" si="899"/>
        <v>#REF!</v>
      </c>
      <c r="BR335" s="93" t="e">
        <f t="shared" si="899"/>
        <v>#REF!</v>
      </c>
      <c r="BT335" s="121"/>
    </row>
    <row r="336" spans="1:72" s="119" customFormat="1" ht="14.1">
      <c r="A336" s="130"/>
      <c r="B336" s="147"/>
      <c r="C336" s="117"/>
      <c r="V336" s="234"/>
      <c r="AC336" s="234"/>
      <c r="AJ336" s="234"/>
      <c r="AQ336" s="234"/>
      <c r="AX336" s="234"/>
      <c r="BD336" s="120"/>
      <c r="BE336" s="234"/>
      <c r="BK336" s="120"/>
      <c r="BT336" s="121"/>
    </row>
    <row r="337" spans="1:72" s="119" customFormat="1" ht="14.1">
      <c r="A337" s="130"/>
      <c r="B337" s="279" t="s">
        <v>415</v>
      </c>
      <c r="C337" s="117"/>
      <c r="V337" s="234"/>
      <c r="AC337" s="234"/>
      <c r="AJ337" s="234"/>
      <c r="AQ337" s="234"/>
      <c r="AX337" s="234"/>
      <c r="BD337" s="120"/>
      <c r="BE337" s="234"/>
      <c r="BK337" s="120"/>
      <c r="BT337" s="121"/>
    </row>
    <row r="338" spans="1:72" s="119" customFormat="1" ht="14.1">
      <c r="A338" s="130"/>
      <c r="B338" s="147" t="s">
        <v>344</v>
      </c>
      <c r="C338" s="117"/>
      <c r="D338" s="278" t="e">
        <f t="shared" ref="D338:U338" si="900">D324/(D130+C130)*2</f>
        <v>#REF!</v>
      </c>
      <c r="E338" s="278" t="e">
        <f t="shared" si="900"/>
        <v>#REF!</v>
      </c>
      <c r="F338" s="278" t="e">
        <f t="shared" si="900"/>
        <v>#REF!</v>
      </c>
      <c r="G338" s="278" t="e">
        <f t="shared" si="900"/>
        <v>#REF!</v>
      </c>
      <c r="H338" s="278" t="e">
        <f t="shared" si="900"/>
        <v>#REF!</v>
      </c>
      <c r="I338" s="278" t="e">
        <f t="shared" si="900"/>
        <v>#REF!</v>
      </c>
      <c r="J338" s="278" t="e">
        <f t="shared" si="900"/>
        <v>#REF!</v>
      </c>
      <c r="K338" s="278" t="e">
        <f t="shared" si="900"/>
        <v>#REF!</v>
      </c>
      <c r="L338" s="278" t="e">
        <f t="shared" si="900"/>
        <v>#REF!</v>
      </c>
      <c r="M338" s="278" t="e">
        <f t="shared" si="900"/>
        <v>#REF!</v>
      </c>
      <c r="N338" s="278" t="e">
        <f t="shared" si="900"/>
        <v>#REF!</v>
      </c>
      <c r="O338" s="278" t="e">
        <f t="shared" si="900"/>
        <v>#REF!</v>
      </c>
      <c r="P338" s="278" t="e">
        <f t="shared" si="900"/>
        <v>#REF!</v>
      </c>
      <c r="Q338" s="278" t="e">
        <f t="shared" si="900"/>
        <v>#REF!</v>
      </c>
      <c r="R338" s="278" t="e">
        <f t="shared" si="900"/>
        <v>#REF!</v>
      </c>
      <c r="S338" s="278" t="e">
        <f t="shared" si="900"/>
        <v>#REF!</v>
      </c>
      <c r="T338" s="278" t="e">
        <f t="shared" si="900"/>
        <v>#REF!</v>
      </c>
      <c r="U338" s="278" t="e">
        <f t="shared" si="900"/>
        <v>#REF!</v>
      </c>
      <c r="V338" s="356"/>
      <c r="W338" s="278"/>
      <c r="X338" s="278"/>
      <c r="Y338" s="278"/>
      <c r="Z338" s="278"/>
      <c r="AA338" s="278"/>
      <c r="AB338" s="278" t="e">
        <f>AB324/(AB130+U130)*2</f>
        <v>#REF!</v>
      </c>
      <c r="AC338" s="356"/>
      <c r="AD338" s="278"/>
      <c r="AE338" s="278"/>
      <c r="AF338" s="278"/>
      <c r="AG338" s="278"/>
      <c r="AH338" s="278"/>
      <c r="AI338" s="278" t="e">
        <f>AI324/(AI130+AB130)*2</f>
        <v>#REF!</v>
      </c>
      <c r="AJ338" s="356"/>
      <c r="AK338" s="278"/>
      <c r="AL338" s="278"/>
      <c r="AM338" s="278"/>
      <c r="AN338" s="278"/>
      <c r="AO338" s="278"/>
      <c r="AP338" s="278" t="e">
        <f>AP324/(AP130+AI130)*2</f>
        <v>#REF!</v>
      </c>
      <c r="AQ338" s="356"/>
      <c r="AR338" s="278"/>
      <c r="AS338" s="278"/>
      <c r="AT338" s="278"/>
      <c r="AU338" s="278"/>
      <c r="AV338" s="278"/>
      <c r="AW338" s="278" t="e">
        <f>AW324/(AW130+AP130)*2</f>
        <v>#REF!</v>
      </c>
      <c r="AX338" s="356"/>
      <c r="AY338" s="278"/>
      <c r="AZ338" s="278"/>
      <c r="BA338" s="278"/>
      <c r="BB338" s="278"/>
      <c r="BC338" s="278"/>
      <c r="BD338" s="397" t="e">
        <f>BD324/(BD130+AW130)*2</f>
        <v>#REF!</v>
      </c>
      <c r="BE338" s="356"/>
      <c r="BF338" s="278"/>
      <c r="BG338" s="278"/>
      <c r="BH338" s="278"/>
      <c r="BI338" s="278"/>
      <c r="BJ338" s="278"/>
      <c r="BK338" s="397" t="e">
        <f>BK324/(BK130+BD130)*2</f>
        <v>#REF!</v>
      </c>
      <c r="BL338" s="278" t="e">
        <f t="shared" ref="BL338:BR338" si="901">BL324/(BL130+BK130)*2</f>
        <v>#REF!</v>
      </c>
      <c r="BM338" s="278" t="e">
        <f t="shared" si="901"/>
        <v>#REF!</v>
      </c>
      <c r="BN338" s="278" t="e">
        <f t="shared" si="901"/>
        <v>#REF!</v>
      </c>
      <c r="BO338" s="278" t="e">
        <f t="shared" si="901"/>
        <v>#REF!</v>
      </c>
      <c r="BP338" s="278" t="e">
        <f t="shared" si="901"/>
        <v>#REF!</v>
      </c>
      <c r="BQ338" s="278" t="e">
        <f t="shared" si="901"/>
        <v>#REF!</v>
      </c>
      <c r="BR338" s="278" t="e">
        <f t="shared" si="901"/>
        <v>#REF!</v>
      </c>
      <c r="BT338" s="121"/>
    </row>
    <row r="339" spans="1:72" s="119" customFormat="1" ht="14.1">
      <c r="A339" s="130"/>
      <c r="B339" s="147" t="s">
        <v>345</v>
      </c>
      <c r="C339" s="117"/>
      <c r="D339" s="278" t="e">
        <f t="shared" ref="D339:U339" si="902">D324/(D132+C132)*2</f>
        <v>#REF!</v>
      </c>
      <c r="E339" s="278" t="e">
        <f t="shared" si="902"/>
        <v>#REF!</v>
      </c>
      <c r="F339" s="278" t="e">
        <f t="shared" si="902"/>
        <v>#REF!</v>
      </c>
      <c r="G339" s="278" t="e">
        <f t="shared" si="902"/>
        <v>#REF!</v>
      </c>
      <c r="H339" s="278" t="e">
        <f t="shared" si="902"/>
        <v>#REF!</v>
      </c>
      <c r="I339" s="278" t="e">
        <f t="shared" si="902"/>
        <v>#REF!</v>
      </c>
      <c r="J339" s="278" t="e">
        <f t="shared" si="902"/>
        <v>#REF!</v>
      </c>
      <c r="K339" s="278" t="e">
        <f t="shared" si="902"/>
        <v>#REF!</v>
      </c>
      <c r="L339" s="278" t="e">
        <f t="shared" si="902"/>
        <v>#REF!</v>
      </c>
      <c r="M339" s="278" t="e">
        <f t="shared" si="902"/>
        <v>#REF!</v>
      </c>
      <c r="N339" s="278" t="e">
        <f t="shared" si="902"/>
        <v>#REF!</v>
      </c>
      <c r="O339" s="278" t="e">
        <f t="shared" si="902"/>
        <v>#REF!</v>
      </c>
      <c r="P339" s="278" t="e">
        <f t="shared" si="902"/>
        <v>#REF!</v>
      </c>
      <c r="Q339" s="278" t="e">
        <f t="shared" si="902"/>
        <v>#REF!</v>
      </c>
      <c r="R339" s="278" t="e">
        <f t="shared" si="902"/>
        <v>#REF!</v>
      </c>
      <c r="S339" s="278" t="e">
        <f t="shared" si="902"/>
        <v>#REF!</v>
      </c>
      <c r="T339" s="278" t="e">
        <f t="shared" si="902"/>
        <v>#REF!</v>
      </c>
      <c r="U339" s="278" t="e">
        <f t="shared" si="902"/>
        <v>#REF!</v>
      </c>
      <c r="V339" s="356"/>
      <c r="W339" s="278"/>
      <c r="X339" s="278"/>
      <c r="Y339" s="278"/>
      <c r="Z339" s="278"/>
      <c r="AA339" s="278"/>
      <c r="AB339" s="278" t="e">
        <f>AB324/(AB132+U132)*2</f>
        <v>#REF!</v>
      </c>
      <c r="AC339" s="356"/>
      <c r="AD339" s="278"/>
      <c r="AE339" s="278"/>
      <c r="AF339" s="278"/>
      <c r="AG339" s="278"/>
      <c r="AH339" s="278"/>
      <c r="AI339" s="278" t="e">
        <f>AI324/(AI132+AB132)*2</f>
        <v>#REF!</v>
      </c>
      <c r="AJ339" s="356"/>
      <c r="AK339" s="278"/>
      <c r="AL339" s="278"/>
      <c r="AM339" s="278"/>
      <c r="AN339" s="278"/>
      <c r="AO339" s="278"/>
      <c r="AP339" s="278" t="e">
        <f>AP324/(AP132+AI132)*2</f>
        <v>#REF!</v>
      </c>
      <c r="AQ339" s="356"/>
      <c r="AR339" s="278"/>
      <c r="AS339" s="278"/>
      <c r="AT339" s="278"/>
      <c r="AU339" s="278"/>
      <c r="AV339" s="278"/>
      <c r="AW339" s="278" t="e">
        <f>AW324/(AW132+AP132)*2</f>
        <v>#REF!</v>
      </c>
      <c r="AX339" s="356"/>
      <c r="AY339" s="278"/>
      <c r="AZ339" s="278"/>
      <c r="BA339" s="278"/>
      <c r="BB339" s="278"/>
      <c r="BC339" s="278"/>
      <c r="BD339" s="397" t="e">
        <f>BD324/(BD132+AW132)*2</f>
        <v>#REF!</v>
      </c>
      <c r="BE339" s="356"/>
      <c r="BF339" s="278"/>
      <c r="BG339" s="278"/>
      <c r="BH339" s="278"/>
      <c r="BI339" s="278"/>
      <c r="BJ339" s="278"/>
      <c r="BK339" s="397" t="e">
        <f>BK324/(BK132+BD132)*2</f>
        <v>#REF!</v>
      </c>
      <c r="BL339" s="278" t="e">
        <f t="shared" ref="BL339:BR339" si="903">BL324/(BL132+BK132)*2</f>
        <v>#REF!</v>
      </c>
      <c r="BM339" s="278" t="e">
        <f t="shared" si="903"/>
        <v>#REF!</v>
      </c>
      <c r="BN339" s="278" t="e">
        <f t="shared" si="903"/>
        <v>#REF!</v>
      </c>
      <c r="BO339" s="278" t="e">
        <f t="shared" si="903"/>
        <v>#REF!</v>
      </c>
      <c r="BP339" s="278" t="e">
        <f t="shared" si="903"/>
        <v>#REF!</v>
      </c>
      <c r="BQ339" s="278" t="e">
        <f t="shared" si="903"/>
        <v>#REF!</v>
      </c>
      <c r="BR339" s="278" t="e">
        <f t="shared" si="903"/>
        <v>#REF!</v>
      </c>
      <c r="BT339" s="121"/>
    </row>
    <row r="340" spans="1:72" s="119" customFormat="1" ht="14.1">
      <c r="A340" s="130"/>
      <c r="B340" s="147" t="s">
        <v>346</v>
      </c>
      <c r="C340" s="117"/>
      <c r="D340" s="278" t="e">
        <f t="shared" ref="D340:T340" si="904">D323/D334</f>
        <v>#REF!</v>
      </c>
      <c r="E340" s="278" t="e">
        <f t="shared" si="904"/>
        <v>#REF!</v>
      </c>
      <c r="F340" s="278" t="e">
        <f t="shared" si="904"/>
        <v>#REF!</v>
      </c>
      <c r="G340" s="278" t="e">
        <f t="shared" si="904"/>
        <v>#REF!</v>
      </c>
      <c r="H340" s="278" t="e">
        <f t="shared" si="904"/>
        <v>#REF!</v>
      </c>
      <c r="I340" s="278" t="e">
        <f t="shared" si="904"/>
        <v>#REF!</v>
      </c>
      <c r="J340" s="278" t="e">
        <f t="shared" si="904"/>
        <v>#REF!</v>
      </c>
      <c r="K340" s="278" t="e">
        <f t="shared" si="904"/>
        <v>#REF!</v>
      </c>
      <c r="L340" s="278" t="e">
        <f t="shared" si="904"/>
        <v>#REF!</v>
      </c>
      <c r="M340" s="278" t="e">
        <f t="shared" si="904"/>
        <v>#REF!</v>
      </c>
      <c r="N340" s="278" t="e">
        <f t="shared" si="904"/>
        <v>#REF!</v>
      </c>
      <c r="O340" s="278" t="e">
        <f t="shared" si="904"/>
        <v>#REF!</v>
      </c>
      <c r="P340" s="278" t="e">
        <f t="shared" si="904"/>
        <v>#REF!</v>
      </c>
      <c r="Q340" s="278" t="e">
        <f t="shared" si="904"/>
        <v>#REF!</v>
      </c>
      <c r="R340" s="278" t="e">
        <f t="shared" si="904"/>
        <v>#REF!</v>
      </c>
      <c r="S340" s="278" t="e">
        <f t="shared" si="904"/>
        <v>#REF!</v>
      </c>
      <c r="T340" s="278" t="e">
        <f t="shared" si="904"/>
        <v>#REF!</v>
      </c>
      <c r="U340" s="278" t="e">
        <f t="shared" ref="U340:BR340" si="905">U323/U334</f>
        <v>#REF!</v>
      </c>
      <c r="V340" s="356"/>
      <c r="W340" s="278"/>
      <c r="X340" s="278"/>
      <c r="Y340" s="278"/>
      <c r="Z340" s="278"/>
      <c r="AA340" s="278"/>
      <c r="AB340" s="278" t="e">
        <f t="shared" si="905"/>
        <v>#REF!</v>
      </c>
      <c r="AC340" s="356"/>
      <c r="AD340" s="278"/>
      <c r="AE340" s="278"/>
      <c r="AF340" s="278"/>
      <c r="AG340" s="278"/>
      <c r="AH340" s="278"/>
      <c r="AI340" s="278" t="e">
        <f t="shared" si="905"/>
        <v>#REF!</v>
      </c>
      <c r="AJ340" s="356"/>
      <c r="AK340" s="278"/>
      <c r="AL340" s="278"/>
      <c r="AM340" s="278"/>
      <c r="AN340" s="278"/>
      <c r="AO340" s="278"/>
      <c r="AP340" s="278" t="e">
        <f t="shared" si="905"/>
        <v>#REF!</v>
      </c>
      <c r="AQ340" s="356"/>
      <c r="AR340" s="278"/>
      <c r="AS340" s="278"/>
      <c r="AT340" s="278"/>
      <c r="AU340" s="278"/>
      <c r="AV340" s="278"/>
      <c r="AW340" s="278" t="e">
        <f t="shared" si="905"/>
        <v>#REF!</v>
      </c>
      <c r="AX340" s="356"/>
      <c r="AY340" s="278"/>
      <c r="AZ340" s="278"/>
      <c r="BA340" s="278"/>
      <c r="BB340" s="278"/>
      <c r="BC340" s="278"/>
      <c r="BD340" s="397" t="e">
        <f t="shared" ref="BD340" si="906">BD323/BD334</f>
        <v>#REF!</v>
      </c>
      <c r="BE340" s="356"/>
      <c r="BF340" s="278"/>
      <c r="BG340" s="278"/>
      <c r="BH340" s="278"/>
      <c r="BI340" s="278"/>
      <c r="BJ340" s="278"/>
      <c r="BK340" s="397" t="e">
        <f t="shared" ref="BK340" si="907">BK323/BK334</f>
        <v>#REF!</v>
      </c>
      <c r="BL340" s="278" t="e">
        <f t="shared" si="905"/>
        <v>#REF!</v>
      </c>
      <c r="BM340" s="278" t="e">
        <f t="shared" si="905"/>
        <v>#REF!</v>
      </c>
      <c r="BN340" s="278" t="e">
        <f t="shared" si="905"/>
        <v>#REF!</v>
      </c>
      <c r="BO340" s="278" t="e">
        <f t="shared" si="905"/>
        <v>#REF!</v>
      </c>
      <c r="BP340" s="278" t="e">
        <f t="shared" si="905"/>
        <v>#REF!</v>
      </c>
      <c r="BQ340" s="278" t="e">
        <f t="shared" si="905"/>
        <v>#REF!</v>
      </c>
      <c r="BR340" s="278" t="e">
        <f t="shared" si="905"/>
        <v>#REF!</v>
      </c>
      <c r="BT340" s="121"/>
    </row>
    <row r="341" spans="1:72" s="119" customFormat="1" ht="14.1">
      <c r="A341" s="130"/>
      <c r="B341" s="147"/>
      <c r="C341" s="117"/>
      <c r="D341" s="278"/>
      <c r="E341" s="278"/>
      <c r="F341" s="278"/>
      <c r="G341" s="278"/>
      <c r="H341" s="278"/>
      <c r="I341" s="278"/>
      <c r="J341" s="278"/>
      <c r="K341" s="278"/>
      <c r="L341" s="278"/>
      <c r="M341" s="278"/>
      <c r="N341" s="278"/>
      <c r="O341" s="278"/>
      <c r="P341" s="278"/>
      <c r="Q341" s="278"/>
      <c r="R341" s="278"/>
      <c r="S341" s="278"/>
      <c r="T341" s="278"/>
      <c r="U341" s="278"/>
      <c r="V341" s="356"/>
      <c r="W341" s="278"/>
      <c r="X341" s="278"/>
      <c r="Y341" s="278"/>
      <c r="Z341" s="278"/>
      <c r="AA341" s="278"/>
      <c r="AB341" s="278"/>
      <c r="AC341" s="356"/>
      <c r="AD341" s="278"/>
      <c r="AE341" s="278"/>
      <c r="AF341" s="278"/>
      <c r="AG341" s="278"/>
      <c r="AH341" s="278"/>
      <c r="AI341" s="278"/>
      <c r="AJ341" s="356"/>
      <c r="AK341" s="278"/>
      <c r="AL341" s="278"/>
      <c r="AM341" s="278"/>
      <c r="AN341" s="278"/>
      <c r="AO341" s="278"/>
      <c r="AP341" s="278"/>
      <c r="AQ341" s="356"/>
      <c r="AR341" s="278"/>
      <c r="AS341" s="278"/>
      <c r="AT341" s="278"/>
      <c r="AU341" s="278"/>
      <c r="AV341" s="278"/>
      <c r="AW341" s="278"/>
      <c r="AX341" s="356"/>
      <c r="AY341" s="278"/>
      <c r="AZ341" s="278"/>
      <c r="BA341" s="278"/>
      <c r="BB341" s="278"/>
      <c r="BC341" s="278"/>
      <c r="BD341" s="397"/>
      <c r="BE341" s="356"/>
      <c r="BF341" s="278"/>
      <c r="BG341" s="278"/>
      <c r="BH341" s="278"/>
      <c r="BI341" s="278"/>
      <c r="BJ341" s="278"/>
      <c r="BK341" s="397"/>
      <c r="BL341" s="278"/>
      <c r="BM341" s="278"/>
      <c r="BN341" s="278"/>
      <c r="BO341" s="278"/>
      <c r="BP341" s="278"/>
      <c r="BQ341" s="278"/>
      <c r="BR341" s="278"/>
      <c r="BT341" s="121"/>
    </row>
    <row r="342" spans="1:72" s="119" customFormat="1" ht="14.1">
      <c r="A342" s="130"/>
      <c r="B342" s="279" t="s">
        <v>416</v>
      </c>
      <c r="C342" s="117"/>
      <c r="D342" s="278"/>
      <c r="E342" s="278"/>
      <c r="F342" s="278"/>
      <c r="G342" s="278"/>
      <c r="H342" s="278"/>
      <c r="I342" s="278"/>
      <c r="J342" s="278"/>
      <c r="K342" s="278"/>
      <c r="L342" s="278"/>
      <c r="M342" s="278"/>
      <c r="N342" s="278"/>
      <c r="O342" s="278"/>
      <c r="P342" s="278"/>
      <c r="Q342" s="278"/>
      <c r="R342" s="278"/>
      <c r="S342" s="278"/>
      <c r="T342" s="278"/>
      <c r="U342" s="278"/>
      <c r="V342" s="356"/>
      <c r="W342" s="278"/>
      <c r="X342" s="278"/>
      <c r="Y342" s="278"/>
      <c r="Z342" s="278"/>
      <c r="AA342" s="278"/>
      <c r="AB342" s="278"/>
      <c r="AC342" s="356"/>
      <c r="AD342" s="278"/>
      <c r="AE342" s="278"/>
      <c r="AF342" s="278"/>
      <c r="AG342" s="278"/>
      <c r="AH342" s="278"/>
      <c r="AI342" s="278"/>
      <c r="AJ342" s="356"/>
      <c r="AK342" s="278"/>
      <c r="AL342" s="278"/>
      <c r="AM342" s="278"/>
      <c r="AN342" s="278"/>
      <c r="AO342" s="278"/>
      <c r="AP342" s="278"/>
      <c r="AQ342" s="356"/>
      <c r="AR342" s="278"/>
      <c r="AS342" s="278"/>
      <c r="AT342" s="278"/>
      <c r="AU342" s="278"/>
      <c r="AV342" s="278"/>
      <c r="AW342" s="278"/>
      <c r="AX342" s="356"/>
      <c r="AY342" s="278"/>
      <c r="AZ342" s="278"/>
      <c r="BA342" s="278"/>
      <c r="BB342" s="278"/>
      <c r="BC342" s="278"/>
      <c r="BD342" s="397"/>
      <c r="BE342" s="356"/>
      <c r="BF342" s="278"/>
      <c r="BG342" s="278"/>
      <c r="BH342" s="278"/>
      <c r="BI342" s="278"/>
      <c r="BJ342" s="278"/>
      <c r="BK342" s="397"/>
      <c r="BL342" s="278"/>
      <c r="BM342" s="278"/>
      <c r="BN342" s="278"/>
      <c r="BO342" s="278"/>
      <c r="BP342" s="278"/>
      <c r="BQ342" s="278"/>
      <c r="BR342" s="278"/>
      <c r="BT342" s="121"/>
    </row>
    <row r="343" spans="1:72" s="119" customFormat="1" ht="14.1">
      <c r="A343" s="130"/>
      <c r="B343" s="147" t="s">
        <v>361</v>
      </c>
      <c r="C343" s="117"/>
      <c r="D343" s="281" t="e">
        <f t="shared" ref="D343:U343" ca="1" si="908">D332/D132</f>
        <v>#REF!</v>
      </c>
      <c r="E343" s="281" t="e">
        <f t="shared" ca="1" si="908"/>
        <v>#REF!</v>
      </c>
      <c r="F343" s="281" t="e">
        <f t="shared" ca="1" si="908"/>
        <v>#REF!</v>
      </c>
      <c r="G343" s="281" t="e">
        <f t="shared" ca="1" si="908"/>
        <v>#REF!</v>
      </c>
      <c r="H343" s="281" t="e">
        <f t="shared" ca="1" si="908"/>
        <v>#REF!</v>
      </c>
      <c r="I343" s="281" t="e">
        <f t="shared" ca="1" si="908"/>
        <v>#REF!</v>
      </c>
      <c r="J343" s="281" t="e">
        <f t="shared" ca="1" si="908"/>
        <v>#REF!</v>
      </c>
      <c r="K343" s="281" t="e">
        <f t="shared" ca="1" si="908"/>
        <v>#REF!</v>
      </c>
      <c r="L343" s="281" t="e">
        <f t="shared" ca="1" si="908"/>
        <v>#REF!</v>
      </c>
      <c r="M343" s="281" t="e">
        <f t="shared" ca="1" si="908"/>
        <v>#REF!</v>
      </c>
      <c r="N343" s="281" t="e">
        <f t="shared" ca="1" si="908"/>
        <v>#REF!</v>
      </c>
      <c r="O343" s="281" t="e">
        <f t="shared" ca="1" si="908"/>
        <v>#REF!</v>
      </c>
      <c r="P343" s="281" t="e">
        <f t="shared" ca="1" si="908"/>
        <v>#REF!</v>
      </c>
      <c r="Q343" s="281" t="e">
        <f t="shared" ca="1" si="908"/>
        <v>#REF!</v>
      </c>
      <c r="R343" s="281" t="e">
        <f t="shared" ca="1" si="908"/>
        <v>#REF!</v>
      </c>
      <c r="S343" s="281" t="e">
        <f t="shared" ca="1" si="908"/>
        <v>#REF!</v>
      </c>
      <c r="T343" s="281" t="e">
        <f t="shared" ca="1" si="908"/>
        <v>#REF!</v>
      </c>
      <c r="U343" s="281" t="e">
        <f t="shared" ca="1" si="908"/>
        <v>#REF!</v>
      </c>
      <c r="V343" s="357"/>
      <c r="W343" s="281"/>
      <c r="X343" s="281"/>
      <c r="Y343" s="281"/>
      <c r="Z343" s="281"/>
      <c r="AA343" s="281"/>
      <c r="AB343" s="281" t="e">
        <f ca="1">AB332/AB132</f>
        <v>#REF!</v>
      </c>
      <c r="AC343" s="357"/>
      <c r="AD343" s="281"/>
      <c r="AE343" s="281"/>
      <c r="AF343" s="281"/>
      <c r="AG343" s="281"/>
      <c r="AH343" s="281"/>
      <c r="AI343" s="281" t="e">
        <f ca="1">AI332/AI132</f>
        <v>#REF!</v>
      </c>
      <c r="AJ343" s="357"/>
      <c r="AK343" s="281"/>
      <c r="AL343" s="281"/>
      <c r="AM343" s="281"/>
      <c r="AN343" s="281"/>
      <c r="AO343" s="281"/>
      <c r="AP343" s="281" t="e">
        <f ca="1">AP332/AP132</f>
        <v>#REF!</v>
      </c>
      <c r="AQ343" s="357"/>
      <c r="AR343" s="281"/>
      <c r="AS343" s="281"/>
      <c r="AT343" s="281"/>
      <c r="AU343" s="281"/>
      <c r="AV343" s="281"/>
      <c r="AW343" s="281" t="e">
        <f ca="1">AW332/AW132</f>
        <v>#REF!</v>
      </c>
      <c r="AX343" s="357"/>
      <c r="AY343" s="281"/>
      <c r="AZ343" s="281"/>
      <c r="BA343" s="281"/>
      <c r="BB343" s="281"/>
      <c r="BC343" s="281"/>
      <c r="BD343" s="398" t="e">
        <f ca="1">BD332/BD132</f>
        <v>#REF!</v>
      </c>
      <c r="BE343" s="357"/>
      <c r="BF343" s="281"/>
      <c r="BG343" s="281"/>
      <c r="BH343" s="281"/>
      <c r="BI343" s="281"/>
      <c r="BJ343" s="281"/>
      <c r="BK343" s="398" t="e">
        <f ca="1">BK332/BK132</f>
        <v>#REF!</v>
      </c>
      <c r="BL343" s="281" t="e">
        <f t="shared" ref="BL343:BR343" ca="1" si="909">BL332/BL132</f>
        <v>#REF!</v>
      </c>
      <c r="BM343" s="281" t="e">
        <f t="shared" ca="1" si="909"/>
        <v>#REF!</v>
      </c>
      <c r="BN343" s="281" t="e">
        <f t="shared" ca="1" si="909"/>
        <v>#REF!</v>
      </c>
      <c r="BO343" s="281" t="e">
        <f t="shared" ca="1" si="909"/>
        <v>#REF!</v>
      </c>
      <c r="BP343" s="281" t="e">
        <f t="shared" ca="1" si="909"/>
        <v>#REF!</v>
      </c>
      <c r="BQ343" s="281" t="e">
        <f t="shared" ca="1" si="909"/>
        <v>#REF!</v>
      </c>
      <c r="BR343" s="281" t="e">
        <f t="shared" ca="1" si="909"/>
        <v>#REF!</v>
      </c>
      <c r="BT343" s="121"/>
    </row>
    <row r="344" spans="1:72" s="119" customFormat="1" ht="14.1">
      <c r="A344" s="130"/>
      <c r="B344" s="147" t="s">
        <v>362</v>
      </c>
      <c r="C344" s="117"/>
      <c r="D344" s="2" t="e">
        <f t="shared" ref="D344:U344" ca="1" si="910">D124/D332</f>
        <v>#DIV/0!</v>
      </c>
      <c r="E344" s="2" t="e">
        <f t="shared" ca="1" si="910"/>
        <v>#DIV/0!</v>
      </c>
      <c r="F344" s="2" t="e">
        <f t="shared" ca="1" si="910"/>
        <v>#DIV/0!</v>
      </c>
      <c r="G344" s="2" t="e">
        <f t="shared" ca="1" si="910"/>
        <v>#DIV/0!</v>
      </c>
      <c r="H344" s="2" t="e">
        <f t="shared" ca="1" si="910"/>
        <v>#DIV/0!</v>
      </c>
      <c r="I344" s="2" t="e">
        <f t="shared" ca="1" si="910"/>
        <v>#DIV/0!</v>
      </c>
      <c r="J344" s="2" t="e">
        <f t="shared" ca="1" si="910"/>
        <v>#DIV/0!</v>
      </c>
      <c r="K344" s="2" t="e">
        <f t="shared" ca="1" si="910"/>
        <v>#DIV/0!</v>
      </c>
      <c r="L344" s="2" t="e">
        <f t="shared" ca="1" si="910"/>
        <v>#DIV/0!</v>
      </c>
      <c r="M344" s="2" t="e">
        <f t="shared" ca="1" si="910"/>
        <v>#DIV/0!</v>
      </c>
      <c r="N344" s="2" t="e">
        <f t="shared" ca="1" si="910"/>
        <v>#DIV/0!</v>
      </c>
      <c r="O344" s="2" t="e">
        <f t="shared" ca="1" si="910"/>
        <v>#DIV/0!</v>
      </c>
      <c r="P344" s="2" t="e">
        <f t="shared" ca="1" si="910"/>
        <v>#DIV/0!</v>
      </c>
      <c r="Q344" s="2" t="e">
        <f t="shared" ca="1" si="910"/>
        <v>#DIV/0!</v>
      </c>
      <c r="R344" s="2" t="e">
        <f t="shared" ca="1" si="910"/>
        <v>#DIV/0!</v>
      </c>
      <c r="S344" s="2" t="e">
        <f t="shared" ca="1" si="910"/>
        <v>#DIV/0!</v>
      </c>
      <c r="T344" s="2" t="e">
        <f t="shared" ca="1" si="910"/>
        <v>#DIV/0!</v>
      </c>
      <c r="U344" s="2" t="e">
        <f t="shared" ca="1" si="910"/>
        <v>#DIV/0!</v>
      </c>
      <c r="V344" s="343"/>
      <c r="W344" s="2"/>
      <c r="X344" s="2"/>
      <c r="Y344" s="2"/>
      <c r="Z344" s="2"/>
      <c r="AA344" s="2"/>
      <c r="AB344" s="2" t="e">
        <f ca="1">AB124/AB332</f>
        <v>#DIV/0!</v>
      </c>
      <c r="AC344" s="343"/>
      <c r="AD344" s="2"/>
      <c r="AE344" s="2"/>
      <c r="AF344" s="2"/>
      <c r="AG344" s="2"/>
      <c r="AH344" s="2"/>
      <c r="AI344" s="2" t="e">
        <f ca="1">AI124/AI332</f>
        <v>#DIV/0!</v>
      </c>
      <c r="AJ344" s="343"/>
      <c r="AK344" s="2"/>
      <c r="AL344" s="2"/>
      <c r="AM344" s="2"/>
      <c r="AN344" s="2"/>
      <c r="AO344" s="2"/>
      <c r="AP344" s="2" t="e">
        <f ca="1">AP124/AP332</f>
        <v>#DIV/0!</v>
      </c>
      <c r="AQ344" s="343"/>
      <c r="AR344" s="2"/>
      <c r="AS344" s="2"/>
      <c r="AT344" s="2"/>
      <c r="AU344" s="2"/>
      <c r="AV344" s="2"/>
      <c r="AW344" s="2" t="e">
        <f ca="1">AW124/AW332</f>
        <v>#DIV/0!</v>
      </c>
      <c r="AX344" s="343"/>
      <c r="AY344" s="2"/>
      <c r="AZ344" s="2"/>
      <c r="BA344" s="2"/>
      <c r="BB344" s="2"/>
      <c r="BC344" s="2"/>
      <c r="BD344" s="231" t="e">
        <f ca="1">BD124/BD332</f>
        <v>#DIV/0!</v>
      </c>
      <c r="BE344" s="343"/>
      <c r="BF344" s="2"/>
      <c r="BG344" s="2"/>
      <c r="BH344" s="2"/>
      <c r="BI344" s="2"/>
      <c r="BJ344" s="2"/>
      <c r="BK344" s="231" t="e">
        <f ca="1">BK124/BK332</f>
        <v>#DIV/0!</v>
      </c>
      <c r="BL344" s="2" t="e">
        <f t="shared" ref="BL344:BR344" ca="1" si="911">BL124/BL332</f>
        <v>#REF!</v>
      </c>
      <c r="BM344" s="2" t="e">
        <f t="shared" ca="1" si="911"/>
        <v>#REF!</v>
      </c>
      <c r="BN344" s="2" t="e">
        <f t="shared" ca="1" si="911"/>
        <v>#REF!</v>
      </c>
      <c r="BO344" s="2" t="e">
        <f t="shared" ca="1" si="911"/>
        <v>#REF!</v>
      </c>
      <c r="BP344" s="2" t="e">
        <f t="shared" ca="1" si="911"/>
        <v>#REF!</v>
      </c>
      <c r="BQ344" s="2" t="e">
        <f t="shared" ca="1" si="911"/>
        <v>#REF!</v>
      </c>
      <c r="BR344" s="2" t="e">
        <f t="shared" ca="1" si="911"/>
        <v>#REF!</v>
      </c>
      <c r="BT344" s="121"/>
    </row>
    <row r="345" spans="1:72" s="119" customFormat="1" ht="14.1">
      <c r="A345" s="130"/>
      <c r="B345" s="147" t="s">
        <v>353</v>
      </c>
      <c r="C345" s="117"/>
      <c r="D345" s="281" t="e">
        <f t="shared" ref="D345:BR345" ca="1" si="912">D332/D324</f>
        <v>#REF!</v>
      </c>
      <c r="E345" s="281" t="e">
        <f t="shared" ca="1" si="912"/>
        <v>#REF!</v>
      </c>
      <c r="F345" s="281" t="e">
        <f t="shared" ca="1" si="912"/>
        <v>#REF!</v>
      </c>
      <c r="G345" s="281" t="e">
        <f t="shared" ca="1" si="912"/>
        <v>#REF!</v>
      </c>
      <c r="H345" s="281" t="e">
        <f t="shared" ca="1" si="912"/>
        <v>#REF!</v>
      </c>
      <c r="I345" s="281" t="e">
        <f t="shared" ca="1" si="912"/>
        <v>#REF!</v>
      </c>
      <c r="J345" s="281" t="e">
        <f t="shared" ca="1" si="912"/>
        <v>#REF!</v>
      </c>
      <c r="K345" s="281" t="e">
        <f t="shared" ca="1" si="912"/>
        <v>#REF!</v>
      </c>
      <c r="L345" s="281" t="e">
        <f t="shared" ca="1" si="912"/>
        <v>#REF!</v>
      </c>
      <c r="M345" s="281" t="e">
        <f t="shared" ca="1" si="912"/>
        <v>#REF!</v>
      </c>
      <c r="N345" s="281" t="e">
        <f t="shared" ca="1" si="912"/>
        <v>#REF!</v>
      </c>
      <c r="O345" s="281" t="e">
        <f t="shared" ca="1" si="912"/>
        <v>#REF!</v>
      </c>
      <c r="P345" s="281" t="e">
        <f t="shared" ca="1" si="912"/>
        <v>#REF!</v>
      </c>
      <c r="Q345" s="281" t="e">
        <f t="shared" ca="1" si="912"/>
        <v>#REF!</v>
      </c>
      <c r="R345" s="281" t="e">
        <f t="shared" ca="1" si="912"/>
        <v>#REF!</v>
      </c>
      <c r="S345" s="281" t="e">
        <f t="shared" ca="1" si="912"/>
        <v>#REF!</v>
      </c>
      <c r="T345" s="281" t="e">
        <f t="shared" ca="1" si="912"/>
        <v>#REF!</v>
      </c>
      <c r="U345" s="281" t="e">
        <f t="shared" ca="1" si="912"/>
        <v>#REF!</v>
      </c>
      <c r="V345" s="357"/>
      <c r="W345" s="281"/>
      <c r="X345" s="281"/>
      <c r="Y345" s="281"/>
      <c r="Z345" s="281"/>
      <c r="AA345" s="281"/>
      <c r="AB345" s="281" t="e">
        <f t="shared" ca="1" si="912"/>
        <v>#REF!</v>
      </c>
      <c r="AC345" s="357"/>
      <c r="AD345" s="281"/>
      <c r="AE345" s="281"/>
      <c r="AF345" s="281"/>
      <c r="AG345" s="281"/>
      <c r="AH345" s="281"/>
      <c r="AI345" s="281" t="e">
        <f t="shared" ca="1" si="912"/>
        <v>#REF!</v>
      </c>
      <c r="AJ345" s="357"/>
      <c r="AK345" s="281"/>
      <c r="AL345" s="281"/>
      <c r="AM345" s="281"/>
      <c r="AN345" s="281"/>
      <c r="AO345" s="281"/>
      <c r="AP345" s="281" t="e">
        <f t="shared" ca="1" si="912"/>
        <v>#REF!</v>
      </c>
      <c r="AQ345" s="357"/>
      <c r="AR345" s="281"/>
      <c r="AS345" s="281"/>
      <c r="AT345" s="281"/>
      <c r="AU345" s="281"/>
      <c r="AV345" s="281"/>
      <c r="AW345" s="281" t="e">
        <f t="shared" ca="1" si="912"/>
        <v>#REF!</v>
      </c>
      <c r="AX345" s="357"/>
      <c r="AY345" s="281"/>
      <c r="AZ345" s="281"/>
      <c r="BA345" s="281"/>
      <c r="BB345" s="281"/>
      <c r="BC345" s="281"/>
      <c r="BD345" s="398" t="e">
        <f t="shared" ref="BD345" ca="1" si="913">BD332/BD324</f>
        <v>#REF!</v>
      </c>
      <c r="BE345" s="357"/>
      <c r="BF345" s="281"/>
      <c r="BG345" s="281"/>
      <c r="BH345" s="281"/>
      <c r="BI345" s="281"/>
      <c r="BJ345" s="281"/>
      <c r="BK345" s="398" t="e">
        <f t="shared" ref="BK345" ca="1" si="914">BK332/BK324</f>
        <v>#REF!</v>
      </c>
      <c r="BL345" s="281" t="e">
        <f t="shared" ca="1" si="912"/>
        <v>#REF!</v>
      </c>
      <c r="BM345" s="281" t="e">
        <f t="shared" ca="1" si="912"/>
        <v>#REF!</v>
      </c>
      <c r="BN345" s="281" t="e">
        <f t="shared" ca="1" si="912"/>
        <v>#REF!</v>
      </c>
      <c r="BO345" s="281" t="e">
        <f t="shared" ca="1" si="912"/>
        <v>#REF!</v>
      </c>
      <c r="BP345" s="281" t="e">
        <f t="shared" ca="1" si="912"/>
        <v>#REF!</v>
      </c>
      <c r="BQ345" s="281" t="e">
        <f t="shared" ca="1" si="912"/>
        <v>#REF!</v>
      </c>
      <c r="BR345" s="281" t="e">
        <f t="shared" ca="1" si="912"/>
        <v>#REF!</v>
      </c>
      <c r="BT345" s="121"/>
    </row>
    <row r="346" spans="1:72" s="119" customFormat="1" ht="14.1">
      <c r="A346" s="130"/>
      <c r="B346" s="147" t="s">
        <v>350</v>
      </c>
      <c r="C346" s="117"/>
      <c r="D346" s="285" t="e">
        <f t="shared" ref="D346:BR346" ca="1" si="915">D333/D322</f>
        <v>#REF!</v>
      </c>
      <c r="E346" s="285" t="e">
        <f t="shared" ca="1" si="915"/>
        <v>#REF!</v>
      </c>
      <c r="F346" s="285" t="e">
        <f t="shared" ca="1" si="915"/>
        <v>#REF!</v>
      </c>
      <c r="G346" s="285" t="e">
        <f t="shared" ca="1" si="915"/>
        <v>#REF!</v>
      </c>
      <c r="H346" s="285" t="e">
        <f t="shared" ca="1" si="915"/>
        <v>#REF!</v>
      </c>
      <c r="I346" s="285" t="e">
        <f t="shared" ca="1" si="915"/>
        <v>#REF!</v>
      </c>
      <c r="J346" s="285" t="e">
        <f t="shared" ca="1" si="915"/>
        <v>#REF!</v>
      </c>
      <c r="K346" s="285" t="e">
        <f t="shared" ca="1" si="915"/>
        <v>#REF!</v>
      </c>
      <c r="L346" s="285" t="e">
        <f t="shared" ca="1" si="915"/>
        <v>#REF!</v>
      </c>
      <c r="M346" s="285" t="e">
        <f t="shared" ca="1" si="915"/>
        <v>#REF!</v>
      </c>
      <c r="N346" s="285" t="e">
        <f t="shared" ca="1" si="915"/>
        <v>#REF!</v>
      </c>
      <c r="O346" s="285" t="e">
        <f t="shared" ca="1" si="915"/>
        <v>#REF!</v>
      </c>
      <c r="P346" s="285" t="e">
        <f t="shared" ca="1" si="915"/>
        <v>#REF!</v>
      </c>
      <c r="Q346" s="285" t="e">
        <f t="shared" ca="1" si="915"/>
        <v>#REF!</v>
      </c>
      <c r="R346" s="285" t="e">
        <f t="shared" ca="1" si="915"/>
        <v>#REF!</v>
      </c>
      <c r="S346" s="285" t="e">
        <f t="shared" ca="1" si="915"/>
        <v>#REF!</v>
      </c>
      <c r="T346" s="285" t="e">
        <f t="shared" ca="1" si="915"/>
        <v>#REF!</v>
      </c>
      <c r="U346" s="285" t="e">
        <f t="shared" ca="1" si="915"/>
        <v>#REF!</v>
      </c>
      <c r="V346" s="357"/>
      <c r="W346" s="281"/>
      <c r="X346" s="281"/>
      <c r="Y346" s="281"/>
      <c r="Z346" s="281"/>
      <c r="AA346" s="281"/>
      <c r="AB346" s="281" t="e">
        <f t="shared" ca="1" si="915"/>
        <v>#REF!</v>
      </c>
      <c r="AC346" s="357"/>
      <c r="AD346" s="281"/>
      <c r="AE346" s="281"/>
      <c r="AF346" s="281"/>
      <c r="AG346" s="281"/>
      <c r="AH346" s="281"/>
      <c r="AI346" s="281" t="e">
        <f t="shared" ca="1" si="915"/>
        <v>#REF!</v>
      </c>
      <c r="AJ346" s="357"/>
      <c r="AK346" s="281"/>
      <c r="AL346" s="281"/>
      <c r="AM346" s="281"/>
      <c r="AN346" s="281"/>
      <c r="AO346" s="281"/>
      <c r="AP346" s="281" t="e">
        <f t="shared" ca="1" si="915"/>
        <v>#REF!</v>
      </c>
      <c r="AQ346" s="357"/>
      <c r="AR346" s="281"/>
      <c r="AS346" s="281"/>
      <c r="AT346" s="281"/>
      <c r="AU346" s="281"/>
      <c r="AV346" s="281"/>
      <c r="AW346" s="281" t="e">
        <f t="shared" ca="1" si="915"/>
        <v>#REF!</v>
      </c>
      <c r="AX346" s="357"/>
      <c r="AY346" s="281"/>
      <c r="AZ346" s="281"/>
      <c r="BA346" s="281"/>
      <c r="BB346" s="281"/>
      <c r="BC346" s="281"/>
      <c r="BD346" s="398" t="e">
        <f t="shared" ref="BD346" ca="1" si="916">BD333/BD322</f>
        <v>#REF!</v>
      </c>
      <c r="BE346" s="357"/>
      <c r="BF346" s="281"/>
      <c r="BG346" s="281"/>
      <c r="BH346" s="281"/>
      <c r="BI346" s="281"/>
      <c r="BJ346" s="281"/>
      <c r="BK346" s="398" t="e">
        <f t="shared" ref="BK346" ca="1" si="917">BK333/BK322</f>
        <v>#REF!</v>
      </c>
      <c r="BL346" s="281" t="e">
        <f t="shared" ca="1" si="915"/>
        <v>#REF!</v>
      </c>
      <c r="BM346" s="281" t="e">
        <f t="shared" ca="1" si="915"/>
        <v>#REF!</v>
      </c>
      <c r="BN346" s="281" t="e">
        <f t="shared" ca="1" si="915"/>
        <v>#REF!</v>
      </c>
      <c r="BO346" s="281" t="e">
        <f t="shared" ca="1" si="915"/>
        <v>#REF!</v>
      </c>
      <c r="BP346" s="281" t="e">
        <f t="shared" ca="1" si="915"/>
        <v>#REF!</v>
      </c>
      <c r="BQ346" s="281" t="e">
        <f t="shared" ca="1" si="915"/>
        <v>#REF!</v>
      </c>
      <c r="BR346" s="281" t="e">
        <f t="shared" ca="1" si="915"/>
        <v>#REF!</v>
      </c>
      <c r="BT346" s="121"/>
    </row>
    <row r="347" spans="1:72" s="119" customFormat="1" ht="14.1">
      <c r="A347" s="130"/>
      <c r="B347" s="147" t="s">
        <v>359</v>
      </c>
      <c r="C347" s="117"/>
      <c r="D347" s="281" t="e">
        <f t="shared" ref="D347:U347" si="918">D120</f>
        <v>#REF!</v>
      </c>
      <c r="E347" s="281" t="e">
        <f t="shared" si="918"/>
        <v>#REF!</v>
      </c>
      <c r="F347" s="281" t="e">
        <f t="shared" si="918"/>
        <v>#REF!</v>
      </c>
      <c r="G347" s="281" t="e">
        <f t="shared" si="918"/>
        <v>#REF!</v>
      </c>
      <c r="H347" s="281" t="e">
        <f t="shared" si="918"/>
        <v>#REF!</v>
      </c>
      <c r="I347" s="281" t="e">
        <f t="shared" si="918"/>
        <v>#REF!</v>
      </c>
      <c r="J347" s="281" t="e">
        <f t="shared" si="918"/>
        <v>#REF!</v>
      </c>
      <c r="K347" s="281" t="e">
        <f t="shared" si="918"/>
        <v>#REF!</v>
      </c>
      <c r="L347" s="281" t="e">
        <f t="shared" si="918"/>
        <v>#REF!</v>
      </c>
      <c r="M347" s="281" t="e">
        <f t="shared" si="918"/>
        <v>#REF!</v>
      </c>
      <c r="N347" s="281" t="e">
        <f t="shared" si="918"/>
        <v>#REF!</v>
      </c>
      <c r="O347" s="281" t="e">
        <f t="shared" si="918"/>
        <v>#REF!</v>
      </c>
      <c r="P347" s="281" t="e">
        <f t="shared" si="918"/>
        <v>#REF!</v>
      </c>
      <c r="Q347" s="281" t="e">
        <f t="shared" si="918"/>
        <v>#REF!</v>
      </c>
      <c r="R347" s="281" t="e">
        <f t="shared" si="918"/>
        <v>#REF!</v>
      </c>
      <c r="S347" s="281" t="e">
        <f t="shared" si="918"/>
        <v>#REF!</v>
      </c>
      <c r="T347" s="281" t="e">
        <f t="shared" si="918"/>
        <v>#REF!</v>
      </c>
      <c r="U347" s="281" t="e">
        <f t="shared" si="918"/>
        <v>#REF!</v>
      </c>
      <c r="V347" s="357"/>
      <c r="W347" s="281"/>
      <c r="X347" s="281"/>
      <c r="Y347" s="281"/>
      <c r="Z347" s="281"/>
      <c r="AA347" s="281"/>
      <c r="AB347" s="281" t="e">
        <f>AB120</f>
        <v>#REF!</v>
      </c>
      <c r="AC347" s="357"/>
      <c r="AD347" s="281"/>
      <c r="AE347" s="281"/>
      <c r="AF347" s="281"/>
      <c r="AG347" s="281"/>
      <c r="AH347" s="281"/>
      <c r="AI347" s="281" t="e">
        <f>AI120</f>
        <v>#REF!</v>
      </c>
      <c r="AJ347" s="357"/>
      <c r="AK347" s="281"/>
      <c r="AL347" s="281"/>
      <c r="AM347" s="281"/>
      <c r="AN347" s="281"/>
      <c r="AO347" s="281"/>
      <c r="AP347" s="281" t="e">
        <f>AP120</f>
        <v>#REF!</v>
      </c>
      <c r="AQ347" s="357"/>
      <c r="AR347" s="281"/>
      <c r="AS347" s="281"/>
      <c r="AT347" s="281"/>
      <c r="AU347" s="281"/>
      <c r="AV347" s="281"/>
      <c r="AW347" s="281" t="e">
        <f>AW120</f>
        <v>#REF!</v>
      </c>
      <c r="AX347" s="357"/>
      <c r="AY347" s="281"/>
      <c r="AZ347" s="281"/>
      <c r="BA347" s="281"/>
      <c r="BB347" s="281"/>
      <c r="BC347" s="281"/>
      <c r="BD347" s="398" t="e">
        <f>BD120</f>
        <v>#REF!</v>
      </c>
      <c r="BE347" s="357"/>
      <c r="BF347" s="281"/>
      <c r="BG347" s="281"/>
      <c r="BH347" s="281"/>
      <c r="BI347" s="281"/>
      <c r="BJ347" s="281"/>
      <c r="BK347" s="398" t="e">
        <f>BK120</f>
        <v>#REF!</v>
      </c>
      <c r="BL347" s="281" t="e">
        <f t="shared" ref="BL347:BR347" si="919">BL120</f>
        <v>#REF!</v>
      </c>
      <c r="BM347" s="281" t="e">
        <f t="shared" si="919"/>
        <v>#REF!</v>
      </c>
      <c r="BN347" s="281" t="e">
        <f t="shared" si="919"/>
        <v>#REF!</v>
      </c>
      <c r="BO347" s="281" t="e">
        <f t="shared" si="919"/>
        <v>#REF!</v>
      </c>
      <c r="BP347" s="281" t="e">
        <f t="shared" si="919"/>
        <v>#REF!</v>
      </c>
      <c r="BQ347" s="281" t="e">
        <f t="shared" si="919"/>
        <v>#REF!</v>
      </c>
      <c r="BR347" s="281" t="e">
        <f t="shared" si="919"/>
        <v>#REF!</v>
      </c>
      <c r="BT347" s="121"/>
    </row>
    <row r="348" spans="1:72" s="119" customFormat="1" ht="14.1">
      <c r="A348" s="130"/>
      <c r="B348" s="147" t="s">
        <v>360</v>
      </c>
      <c r="C348" s="117"/>
      <c r="V348" s="234"/>
      <c r="AC348" s="234"/>
      <c r="AJ348" s="234"/>
      <c r="AQ348" s="234"/>
      <c r="AX348" s="234"/>
      <c r="BD348" s="120"/>
      <c r="BE348" s="234"/>
      <c r="BK348" s="120"/>
      <c r="BL348" s="281">
        <f ca="1">[69]!s_est_eps($B$3,BL4,$U$1)</f>
        <v>0</v>
      </c>
      <c r="BM348" s="281">
        <f ca="1">[69]!s_est_eps($B$3,BM4,$U$1)</f>
        <v>0</v>
      </c>
      <c r="BT348" s="121"/>
    </row>
    <row r="349" spans="1:72" s="119" customFormat="1">
      <c r="A349" s="130"/>
      <c r="B349" s="117"/>
      <c r="C349" s="117"/>
      <c r="V349" s="234"/>
      <c r="AC349" s="234"/>
      <c r="AI349" s="282"/>
      <c r="AJ349" s="234"/>
      <c r="AP349" s="224"/>
      <c r="AQ349" s="234"/>
      <c r="AX349" s="234"/>
      <c r="BD349" s="120"/>
      <c r="BE349" s="234"/>
      <c r="BK349" s="120"/>
      <c r="BT349" s="121"/>
    </row>
    <row r="350" spans="1:72" s="119" customFormat="1" ht="14.1">
      <c r="A350" s="130"/>
      <c r="B350" s="279" t="s">
        <v>417</v>
      </c>
      <c r="C350" s="117"/>
      <c r="V350" s="234"/>
      <c r="AC350" s="234"/>
      <c r="AJ350" s="234"/>
      <c r="AQ350" s="234"/>
      <c r="AX350" s="234"/>
      <c r="BD350" s="120"/>
      <c r="BE350" s="234"/>
      <c r="BK350" s="120"/>
      <c r="BT350" s="121"/>
    </row>
    <row r="351" spans="1:72" s="119" customFormat="1" ht="14.1">
      <c r="A351" s="130"/>
      <c r="B351" s="147" t="s">
        <v>327</v>
      </c>
      <c r="C351" s="117"/>
      <c r="D351" s="134" t="e">
        <f t="shared" ref="D351:BR351" si="920">D323</f>
        <v>#REF!</v>
      </c>
      <c r="E351" s="134" t="e">
        <f t="shared" si="920"/>
        <v>#REF!</v>
      </c>
      <c r="F351" s="134" t="e">
        <f t="shared" si="920"/>
        <v>#REF!</v>
      </c>
      <c r="G351" s="134" t="e">
        <f t="shared" si="920"/>
        <v>#REF!</v>
      </c>
      <c r="H351" s="134" t="e">
        <f t="shared" si="920"/>
        <v>#REF!</v>
      </c>
      <c r="I351" s="134" t="e">
        <f t="shared" si="920"/>
        <v>#REF!</v>
      </c>
      <c r="J351" s="134" t="e">
        <f t="shared" si="920"/>
        <v>#REF!</v>
      </c>
      <c r="K351" s="134" t="e">
        <f t="shared" si="920"/>
        <v>#REF!</v>
      </c>
      <c r="L351" s="134" t="e">
        <f t="shared" si="920"/>
        <v>#REF!</v>
      </c>
      <c r="M351" s="134" t="e">
        <f t="shared" si="920"/>
        <v>#REF!</v>
      </c>
      <c r="N351" s="134" t="e">
        <f t="shared" si="920"/>
        <v>#REF!</v>
      </c>
      <c r="O351" s="134" t="e">
        <f t="shared" si="920"/>
        <v>#REF!</v>
      </c>
      <c r="P351" s="134" t="e">
        <f t="shared" si="920"/>
        <v>#REF!</v>
      </c>
      <c r="Q351" s="134" t="e">
        <f t="shared" si="920"/>
        <v>#REF!</v>
      </c>
      <c r="R351" s="134" t="e">
        <f t="shared" si="920"/>
        <v>#REF!</v>
      </c>
      <c r="S351" s="134" t="e">
        <f t="shared" si="920"/>
        <v>#REF!</v>
      </c>
      <c r="T351" s="134" t="e">
        <f t="shared" si="920"/>
        <v>#REF!</v>
      </c>
      <c r="U351" s="134" t="e">
        <f t="shared" si="920"/>
        <v>#REF!</v>
      </c>
      <c r="V351" s="358"/>
      <c r="W351" s="134"/>
      <c r="X351" s="134"/>
      <c r="Y351" s="134"/>
      <c r="Z351" s="134"/>
      <c r="AA351" s="134"/>
      <c r="AB351" s="134" t="e">
        <f t="shared" si="920"/>
        <v>#REF!</v>
      </c>
      <c r="AC351" s="358"/>
      <c r="AD351" s="134"/>
      <c r="AE351" s="134"/>
      <c r="AF351" s="134"/>
      <c r="AG351" s="134"/>
      <c r="AH351" s="134"/>
      <c r="AI351" s="134" t="e">
        <f t="shared" si="920"/>
        <v>#REF!</v>
      </c>
      <c r="AJ351" s="358"/>
      <c r="AK351" s="134"/>
      <c r="AL351" s="134"/>
      <c r="AM351" s="134"/>
      <c r="AN351" s="134"/>
      <c r="AO351" s="134"/>
      <c r="AP351" s="134" t="e">
        <f t="shared" si="920"/>
        <v>#REF!</v>
      </c>
      <c r="AQ351" s="358"/>
      <c r="AR351" s="134"/>
      <c r="AS351" s="134"/>
      <c r="AT351" s="134"/>
      <c r="AU351" s="134"/>
      <c r="AV351" s="134"/>
      <c r="AW351" s="134" t="e">
        <f t="shared" si="920"/>
        <v>#REF!</v>
      </c>
      <c r="AX351" s="358"/>
      <c r="AY351" s="134"/>
      <c r="AZ351" s="134"/>
      <c r="BA351" s="134"/>
      <c r="BB351" s="134"/>
      <c r="BC351" s="134"/>
      <c r="BD351" s="399" t="e">
        <f t="shared" ref="BD351" si="921">BD323</f>
        <v>#REF!</v>
      </c>
      <c r="BE351" s="358"/>
      <c r="BF351" s="134"/>
      <c r="BG351" s="134"/>
      <c r="BH351" s="134"/>
      <c r="BI351" s="134"/>
      <c r="BJ351" s="134"/>
      <c r="BK351" s="399" t="e">
        <f t="shared" ref="BK351" si="922">BK323</f>
        <v>#REF!</v>
      </c>
      <c r="BL351" s="134" t="e">
        <f t="shared" si="920"/>
        <v>#REF!</v>
      </c>
      <c r="BM351" s="134" t="e">
        <f t="shared" si="920"/>
        <v>#REF!</v>
      </c>
      <c r="BN351" s="134" t="e">
        <f t="shared" si="920"/>
        <v>#REF!</v>
      </c>
      <c r="BO351" s="134" t="e">
        <f t="shared" si="920"/>
        <v>#REF!</v>
      </c>
      <c r="BP351" s="134" t="e">
        <f t="shared" si="920"/>
        <v>#REF!</v>
      </c>
      <c r="BQ351" s="134" t="e">
        <f t="shared" si="920"/>
        <v>#REF!</v>
      </c>
      <c r="BR351" s="134" t="e">
        <f t="shared" si="920"/>
        <v>#REF!</v>
      </c>
      <c r="BT351" s="121"/>
    </row>
    <row r="352" spans="1:72" s="119" customFormat="1" ht="14.1">
      <c r="A352" s="130"/>
      <c r="B352" s="147" t="s">
        <v>328</v>
      </c>
      <c r="C352" s="117"/>
      <c r="D352" s="134" t="e">
        <f t="shared" ref="D352:U352" si="923">D190</f>
        <v>#REF!</v>
      </c>
      <c r="E352" s="134" t="e">
        <f t="shared" si="923"/>
        <v>#REF!</v>
      </c>
      <c r="F352" s="134" t="e">
        <f t="shared" si="923"/>
        <v>#REF!</v>
      </c>
      <c r="G352" s="134" t="e">
        <f t="shared" si="923"/>
        <v>#REF!</v>
      </c>
      <c r="H352" s="134" t="e">
        <f t="shared" si="923"/>
        <v>#REF!</v>
      </c>
      <c r="I352" s="134" t="e">
        <f t="shared" si="923"/>
        <v>#REF!</v>
      </c>
      <c r="J352" s="134" t="e">
        <f t="shared" si="923"/>
        <v>#REF!</v>
      </c>
      <c r="K352" s="134" t="e">
        <f t="shared" si="923"/>
        <v>#REF!</v>
      </c>
      <c r="L352" s="134" t="e">
        <f t="shared" si="923"/>
        <v>#REF!</v>
      </c>
      <c r="M352" s="134" t="e">
        <f t="shared" si="923"/>
        <v>#REF!</v>
      </c>
      <c r="N352" s="134" t="e">
        <f t="shared" si="923"/>
        <v>#REF!</v>
      </c>
      <c r="O352" s="134" t="e">
        <f t="shared" si="923"/>
        <v>#REF!</v>
      </c>
      <c r="P352" s="134" t="e">
        <f t="shared" si="923"/>
        <v>#REF!</v>
      </c>
      <c r="Q352" s="134" t="e">
        <f t="shared" si="923"/>
        <v>#REF!</v>
      </c>
      <c r="R352" s="134" t="e">
        <f t="shared" si="923"/>
        <v>#REF!</v>
      </c>
      <c r="S352" s="134" t="e">
        <f t="shared" si="923"/>
        <v>#REF!</v>
      </c>
      <c r="T352" s="134" t="e">
        <f t="shared" si="923"/>
        <v>#REF!</v>
      </c>
      <c r="U352" s="134" t="e">
        <f t="shared" si="923"/>
        <v>#REF!</v>
      </c>
      <c r="V352" s="358"/>
      <c r="W352" s="134"/>
      <c r="X352" s="134"/>
      <c r="Y352" s="134"/>
      <c r="Z352" s="134"/>
      <c r="AA352" s="134"/>
      <c r="AB352" s="134" t="e">
        <f>AB190</f>
        <v>#REF!</v>
      </c>
      <c r="AC352" s="358"/>
      <c r="AD352" s="134"/>
      <c r="AE352" s="134"/>
      <c r="AF352" s="134"/>
      <c r="AG352" s="134"/>
      <c r="AH352" s="134"/>
      <c r="AI352" s="134" t="e">
        <f>AI190</f>
        <v>#REF!</v>
      </c>
      <c r="AJ352" s="358"/>
      <c r="AK352" s="134"/>
      <c r="AL352" s="134"/>
      <c r="AM352" s="134"/>
      <c r="AN352" s="134"/>
      <c r="AO352" s="134"/>
      <c r="AP352" s="134" t="e">
        <f>AP190</f>
        <v>#REF!</v>
      </c>
      <c r="AQ352" s="358"/>
      <c r="AR352" s="134"/>
      <c r="AS352" s="134"/>
      <c r="AT352" s="134"/>
      <c r="AU352" s="134"/>
      <c r="AV352" s="134"/>
      <c r="AW352" s="134" t="e">
        <f>AW190</f>
        <v>#REF!</v>
      </c>
      <c r="AX352" s="358"/>
      <c r="AY352" s="134"/>
      <c r="AZ352" s="134"/>
      <c r="BA352" s="134"/>
      <c r="BB352" s="134"/>
      <c r="BC352" s="134"/>
      <c r="BD352" s="399" t="e">
        <f>BD190</f>
        <v>#REF!</v>
      </c>
      <c r="BE352" s="358"/>
      <c r="BF352" s="134"/>
      <c r="BG352" s="134"/>
      <c r="BH352" s="134"/>
      <c r="BI352" s="134"/>
      <c r="BJ352" s="134"/>
      <c r="BK352" s="399" t="e">
        <f>BK190</f>
        <v>#REF!</v>
      </c>
      <c r="BL352" s="134" t="e">
        <f t="shared" ref="BL352:BR353" si="924">BL190</f>
        <v>#REF!</v>
      </c>
      <c r="BM352" s="134" t="e">
        <f t="shared" si="924"/>
        <v>#REF!</v>
      </c>
      <c r="BN352" s="134" t="e">
        <f t="shared" si="924"/>
        <v>#REF!</v>
      </c>
      <c r="BO352" s="134" t="e">
        <f t="shared" si="924"/>
        <v>#REF!</v>
      </c>
      <c r="BP352" s="134" t="e">
        <f t="shared" si="924"/>
        <v>#REF!</v>
      </c>
      <c r="BQ352" s="134" t="e">
        <f t="shared" si="924"/>
        <v>#REF!</v>
      </c>
      <c r="BR352" s="134" t="e">
        <f t="shared" si="924"/>
        <v>#REF!</v>
      </c>
      <c r="BT352" s="121"/>
    </row>
    <row r="353" spans="1:72" s="119" customFormat="1" ht="14.1">
      <c r="A353" s="130"/>
      <c r="B353" s="147" t="s">
        <v>267</v>
      </c>
      <c r="C353" s="117"/>
      <c r="D353" s="134" t="e">
        <f t="shared" ref="D353:U353" si="925">D191</f>
        <v>#REF!</v>
      </c>
      <c r="E353" s="134" t="e">
        <f t="shared" si="925"/>
        <v>#REF!</v>
      </c>
      <c r="F353" s="134" t="e">
        <f t="shared" si="925"/>
        <v>#REF!</v>
      </c>
      <c r="G353" s="134" t="e">
        <f t="shared" si="925"/>
        <v>#REF!</v>
      </c>
      <c r="H353" s="134" t="e">
        <f t="shared" si="925"/>
        <v>#REF!</v>
      </c>
      <c r="I353" s="134" t="e">
        <f t="shared" si="925"/>
        <v>#REF!</v>
      </c>
      <c r="J353" s="134" t="e">
        <f t="shared" si="925"/>
        <v>#REF!</v>
      </c>
      <c r="K353" s="134" t="e">
        <f t="shared" si="925"/>
        <v>#REF!</v>
      </c>
      <c r="L353" s="134" t="e">
        <f t="shared" si="925"/>
        <v>#REF!</v>
      </c>
      <c r="M353" s="134" t="e">
        <f t="shared" si="925"/>
        <v>#REF!</v>
      </c>
      <c r="N353" s="134" t="e">
        <f t="shared" si="925"/>
        <v>#REF!</v>
      </c>
      <c r="O353" s="134" t="e">
        <f t="shared" si="925"/>
        <v>#REF!</v>
      </c>
      <c r="P353" s="134" t="e">
        <f t="shared" si="925"/>
        <v>#REF!</v>
      </c>
      <c r="Q353" s="134" t="e">
        <f t="shared" si="925"/>
        <v>#REF!</v>
      </c>
      <c r="R353" s="134" t="e">
        <f t="shared" si="925"/>
        <v>#REF!</v>
      </c>
      <c r="S353" s="134" t="e">
        <f t="shared" si="925"/>
        <v>#REF!</v>
      </c>
      <c r="T353" s="134" t="e">
        <f t="shared" si="925"/>
        <v>#REF!</v>
      </c>
      <c r="U353" s="134" t="e">
        <f t="shared" si="925"/>
        <v>#REF!</v>
      </c>
      <c r="V353" s="358"/>
      <c r="W353" s="134"/>
      <c r="X353" s="134"/>
      <c r="Y353" s="134"/>
      <c r="Z353" s="134"/>
      <c r="AA353" s="134"/>
      <c r="AB353" s="134" t="e">
        <f>AB191</f>
        <v>#REF!</v>
      </c>
      <c r="AC353" s="358"/>
      <c r="AD353" s="134"/>
      <c r="AE353" s="134"/>
      <c r="AF353" s="134"/>
      <c r="AG353" s="134"/>
      <c r="AH353" s="134"/>
      <c r="AI353" s="134" t="e">
        <f>AI191</f>
        <v>#REF!</v>
      </c>
      <c r="AJ353" s="358"/>
      <c r="AK353" s="134"/>
      <c r="AL353" s="134"/>
      <c r="AM353" s="134"/>
      <c r="AN353" s="134"/>
      <c r="AO353" s="134"/>
      <c r="AP353" s="134" t="e">
        <f>AP191</f>
        <v>#REF!</v>
      </c>
      <c r="AQ353" s="358"/>
      <c r="AR353" s="134"/>
      <c r="AS353" s="134"/>
      <c r="AT353" s="134"/>
      <c r="AU353" s="134"/>
      <c r="AV353" s="134"/>
      <c r="AW353" s="134" t="e">
        <f>AW191</f>
        <v>#REF!</v>
      </c>
      <c r="AX353" s="358"/>
      <c r="AY353" s="134"/>
      <c r="AZ353" s="134"/>
      <c r="BA353" s="134"/>
      <c r="BB353" s="134"/>
      <c r="BC353" s="134"/>
      <c r="BD353" s="399" t="e">
        <f>BD191</f>
        <v>#REF!</v>
      </c>
      <c r="BE353" s="358"/>
      <c r="BF353" s="134"/>
      <c r="BG353" s="134"/>
      <c r="BH353" s="134"/>
      <c r="BI353" s="134"/>
      <c r="BJ353" s="134"/>
      <c r="BK353" s="399" t="e">
        <f>BK191</f>
        <v>#REF!</v>
      </c>
      <c r="BL353" s="134" t="e">
        <f t="shared" si="924"/>
        <v>#REF!</v>
      </c>
      <c r="BM353" s="134" t="e">
        <f t="shared" si="924"/>
        <v>#REF!</v>
      </c>
      <c r="BN353" s="134" t="e">
        <f t="shared" si="924"/>
        <v>#REF!</v>
      </c>
      <c r="BO353" s="134" t="e">
        <f t="shared" si="924"/>
        <v>#REF!</v>
      </c>
      <c r="BP353" s="134" t="e">
        <f t="shared" si="924"/>
        <v>#REF!</v>
      </c>
      <c r="BQ353" s="134" t="e">
        <f t="shared" si="924"/>
        <v>#REF!</v>
      </c>
      <c r="BR353" s="134" t="e">
        <f t="shared" si="924"/>
        <v>#REF!</v>
      </c>
      <c r="BT353" s="121"/>
    </row>
    <row r="354" spans="1:72" s="119" customFormat="1" ht="14.1">
      <c r="A354" s="130"/>
      <c r="B354" s="147" t="s">
        <v>329</v>
      </c>
      <c r="C354" s="117"/>
      <c r="D354" s="134" t="e">
        <f t="shared" ref="D354:U354" si="926">D250+D251</f>
        <v>#REF!</v>
      </c>
      <c r="E354" s="134" t="e">
        <f t="shared" si="926"/>
        <v>#REF!</v>
      </c>
      <c r="F354" s="134" t="e">
        <f t="shared" si="926"/>
        <v>#REF!</v>
      </c>
      <c r="G354" s="134" t="e">
        <f t="shared" si="926"/>
        <v>#REF!</v>
      </c>
      <c r="H354" s="134" t="e">
        <f t="shared" si="926"/>
        <v>#REF!</v>
      </c>
      <c r="I354" s="134" t="e">
        <f t="shared" si="926"/>
        <v>#REF!</v>
      </c>
      <c r="J354" s="134" t="e">
        <f t="shared" si="926"/>
        <v>#REF!</v>
      </c>
      <c r="K354" s="134" t="e">
        <f t="shared" si="926"/>
        <v>#REF!</v>
      </c>
      <c r="L354" s="134" t="e">
        <f t="shared" si="926"/>
        <v>#REF!</v>
      </c>
      <c r="M354" s="134" t="e">
        <f t="shared" si="926"/>
        <v>#REF!</v>
      </c>
      <c r="N354" s="134" t="e">
        <f t="shared" si="926"/>
        <v>#REF!</v>
      </c>
      <c r="O354" s="134" t="e">
        <f t="shared" si="926"/>
        <v>#REF!</v>
      </c>
      <c r="P354" s="134" t="e">
        <f t="shared" si="926"/>
        <v>#REF!</v>
      </c>
      <c r="Q354" s="134" t="e">
        <f t="shared" si="926"/>
        <v>#REF!</v>
      </c>
      <c r="R354" s="134" t="e">
        <f t="shared" si="926"/>
        <v>#REF!</v>
      </c>
      <c r="S354" s="134" t="e">
        <f t="shared" si="926"/>
        <v>#REF!</v>
      </c>
      <c r="T354" s="134" t="e">
        <f t="shared" si="926"/>
        <v>#REF!</v>
      </c>
      <c r="U354" s="134" t="e">
        <f t="shared" si="926"/>
        <v>#REF!</v>
      </c>
      <c r="V354" s="358"/>
      <c r="W354" s="134"/>
      <c r="X354" s="134"/>
      <c r="Y354" s="134"/>
      <c r="Z354" s="134"/>
      <c r="AA354" s="134"/>
      <c r="AB354" s="134" t="e">
        <f>AB250+AB251</f>
        <v>#REF!</v>
      </c>
      <c r="AC354" s="358"/>
      <c r="AD354" s="134"/>
      <c r="AE354" s="134"/>
      <c r="AF354" s="134"/>
      <c r="AG354" s="134"/>
      <c r="AH354" s="134"/>
      <c r="AI354" s="134" t="e">
        <f>AI250+AI251</f>
        <v>#REF!</v>
      </c>
      <c r="AJ354" s="358"/>
      <c r="AK354" s="134"/>
      <c r="AL354" s="134"/>
      <c r="AM354" s="134"/>
      <c r="AN354" s="134"/>
      <c r="AO354" s="134"/>
      <c r="AP354" s="134" t="e">
        <f>AP250+AP251</f>
        <v>#REF!</v>
      </c>
      <c r="AQ354" s="358"/>
      <c r="AR354" s="134"/>
      <c r="AS354" s="134"/>
      <c r="AT354" s="134"/>
      <c r="AU354" s="134"/>
      <c r="AV354" s="134"/>
      <c r="AW354" s="134" t="e">
        <f>AW250+AW251</f>
        <v>#REF!</v>
      </c>
      <c r="AX354" s="358"/>
      <c r="AY354" s="134"/>
      <c r="AZ354" s="134"/>
      <c r="BA354" s="134"/>
      <c r="BB354" s="134"/>
      <c r="BC354" s="134"/>
      <c r="BD354" s="399" t="e">
        <f>BD250+BD251</f>
        <v>#REF!</v>
      </c>
      <c r="BE354" s="358"/>
      <c r="BF354" s="134"/>
      <c r="BG354" s="134"/>
      <c r="BH354" s="134"/>
      <c r="BI354" s="134"/>
      <c r="BJ354" s="134"/>
      <c r="BK354" s="399" t="e">
        <f>BK250+BK251</f>
        <v>#REF!</v>
      </c>
      <c r="BL354" s="134" t="e">
        <f t="shared" ref="BL354:BR354" si="927">BL250+BL251</f>
        <v>#REF!</v>
      </c>
      <c r="BM354" s="134" t="e">
        <f t="shared" si="927"/>
        <v>#REF!</v>
      </c>
      <c r="BN354" s="134" t="e">
        <f t="shared" si="927"/>
        <v>#REF!</v>
      </c>
      <c r="BO354" s="134" t="e">
        <f t="shared" si="927"/>
        <v>#REF!</v>
      </c>
      <c r="BP354" s="134" t="e">
        <f t="shared" si="927"/>
        <v>#REF!</v>
      </c>
      <c r="BQ354" s="134" t="e">
        <f t="shared" si="927"/>
        <v>#REF!</v>
      </c>
      <c r="BR354" s="134" t="e">
        <f t="shared" si="927"/>
        <v>#REF!</v>
      </c>
      <c r="BT354" s="121"/>
    </row>
    <row r="355" spans="1:72" s="119" customFormat="1" ht="14.1">
      <c r="A355" s="130"/>
      <c r="B355" s="147" t="s">
        <v>330</v>
      </c>
      <c r="C355" s="117"/>
      <c r="D355" s="134" t="e">
        <f>D351+D352-D353-D354</f>
        <v>#REF!</v>
      </c>
      <c r="E355" s="134" t="e">
        <f t="shared" ref="E355:BR355" si="928">E351+E352-E353-E354</f>
        <v>#REF!</v>
      </c>
      <c r="F355" s="134" t="e">
        <f t="shared" si="928"/>
        <v>#REF!</v>
      </c>
      <c r="G355" s="134" t="e">
        <f t="shared" si="928"/>
        <v>#REF!</v>
      </c>
      <c r="H355" s="134" t="e">
        <f t="shared" si="928"/>
        <v>#REF!</v>
      </c>
      <c r="I355" s="134" t="e">
        <f t="shared" si="928"/>
        <v>#REF!</v>
      </c>
      <c r="J355" s="134" t="e">
        <f t="shared" si="928"/>
        <v>#REF!</v>
      </c>
      <c r="K355" s="134" t="e">
        <f t="shared" si="928"/>
        <v>#REF!</v>
      </c>
      <c r="L355" s="134" t="e">
        <f t="shared" si="928"/>
        <v>#REF!</v>
      </c>
      <c r="M355" s="134" t="e">
        <f t="shared" si="928"/>
        <v>#REF!</v>
      </c>
      <c r="N355" s="134" t="e">
        <f t="shared" si="928"/>
        <v>#REF!</v>
      </c>
      <c r="O355" s="134" t="e">
        <f t="shared" si="928"/>
        <v>#REF!</v>
      </c>
      <c r="P355" s="134" t="e">
        <f t="shared" si="928"/>
        <v>#REF!</v>
      </c>
      <c r="Q355" s="134" t="e">
        <f t="shared" si="928"/>
        <v>#REF!</v>
      </c>
      <c r="R355" s="134" t="e">
        <f t="shared" si="928"/>
        <v>#REF!</v>
      </c>
      <c r="S355" s="134" t="e">
        <f t="shared" si="928"/>
        <v>#REF!</v>
      </c>
      <c r="T355" s="134" t="e">
        <f t="shared" si="928"/>
        <v>#REF!</v>
      </c>
      <c r="U355" s="134" t="e">
        <f t="shared" si="928"/>
        <v>#REF!</v>
      </c>
      <c r="V355" s="358"/>
      <c r="W355" s="134"/>
      <c r="X355" s="134"/>
      <c r="Y355" s="134"/>
      <c r="Z355" s="134"/>
      <c r="AA355" s="134"/>
      <c r="AB355" s="134" t="e">
        <f t="shared" si="928"/>
        <v>#REF!</v>
      </c>
      <c r="AC355" s="358"/>
      <c r="AD355" s="134"/>
      <c r="AE355" s="134"/>
      <c r="AF355" s="134"/>
      <c r="AG355" s="134"/>
      <c r="AH355" s="134"/>
      <c r="AI355" s="134" t="e">
        <f t="shared" si="928"/>
        <v>#REF!</v>
      </c>
      <c r="AJ355" s="358"/>
      <c r="AK355" s="134"/>
      <c r="AL355" s="134"/>
      <c r="AM355" s="134"/>
      <c r="AN355" s="134"/>
      <c r="AO355" s="134"/>
      <c r="AP355" s="134" t="e">
        <f t="shared" si="928"/>
        <v>#REF!</v>
      </c>
      <c r="AQ355" s="358"/>
      <c r="AR355" s="134"/>
      <c r="AS355" s="134"/>
      <c r="AT355" s="134"/>
      <c r="AU355" s="134"/>
      <c r="AV355" s="134"/>
      <c r="AW355" s="134" t="e">
        <f t="shared" si="928"/>
        <v>#REF!</v>
      </c>
      <c r="AX355" s="358"/>
      <c r="AY355" s="134"/>
      <c r="AZ355" s="134"/>
      <c r="BA355" s="134"/>
      <c r="BB355" s="134"/>
      <c r="BC355" s="134"/>
      <c r="BD355" s="399" t="e">
        <f t="shared" ref="BD355" si="929">BD351+BD352-BD353-BD354</f>
        <v>#REF!</v>
      </c>
      <c r="BE355" s="358"/>
      <c r="BF355" s="134"/>
      <c r="BG355" s="134"/>
      <c r="BH355" s="134"/>
      <c r="BI355" s="134"/>
      <c r="BJ355" s="134"/>
      <c r="BK355" s="399" t="e">
        <f t="shared" ref="BK355" si="930">BK351+BK352-BK353-BK354</f>
        <v>#REF!</v>
      </c>
      <c r="BL355" s="134" t="e">
        <f t="shared" si="928"/>
        <v>#REF!</v>
      </c>
      <c r="BM355" s="134" t="e">
        <f t="shared" si="928"/>
        <v>#REF!</v>
      </c>
      <c r="BN355" s="134" t="e">
        <f t="shared" si="928"/>
        <v>#REF!</v>
      </c>
      <c r="BO355" s="134" t="e">
        <f t="shared" si="928"/>
        <v>#REF!</v>
      </c>
      <c r="BP355" s="134" t="e">
        <f t="shared" si="928"/>
        <v>#REF!</v>
      </c>
      <c r="BQ355" s="134" t="e">
        <f t="shared" si="928"/>
        <v>#REF!</v>
      </c>
      <c r="BR355" s="134" t="e">
        <f t="shared" si="928"/>
        <v>#REF!</v>
      </c>
      <c r="BT355" s="121"/>
    </row>
    <row r="356" spans="1:72" s="119" customFormat="1">
      <c r="A356" s="130"/>
      <c r="C356" s="117"/>
      <c r="V356" s="234"/>
      <c r="AC356" s="234"/>
      <c r="AJ356" s="234"/>
      <c r="AQ356" s="234"/>
      <c r="AX356" s="234"/>
      <c r="BD356" s="120"/>
      <c r="BE356" s="234"/>
      <c r="BK356" s="120"/>
      <c r="BT356" s="121"/>
    </row>
    <row r="357" spans="1:72" s="119" customFormat="1" ht="14.1">
      <c r="A357" s="130"/>
      <c r="B357" s="279" t="s">
        <v>460</v>
      </c>
      <c r="C357" s="117"/>
      <c r="V357" s="234"/>
      <c r="AC357" s="234"/>
      <c r="AJ357" s="234"/>
      <c r="AQ357" s="234"/>
      <c r="AX357" s="234"/>
      <c r="BD357" s="120"/>
      <c r="BE357" s="234"/>
      <c r="BK357" s="120"/>
      <c r="BT357" s="121"/>
    </row>
    <row r="358" spans="1:72" s="119" customFormat="1" ht="14.1">
      <c r="A358" s="147" t="s">
        <v>461</v>
      </c>
      <c r="B358" s="147" t="s">
        <v>461</v>
      </c>
      <c r="C358" s="117"/>
      <c r="U358" s="294" t="e">
        <f>U363/U5</f>
        <v>#REF!</v>
      </c>
      <c r="V358" s="234"/>
      <c r="AB358" s="294" t="e">
        <f>AB363/AB5</f>
        <v>#REF!</v>
      </c>
      <c r="AC358" s="294" t="e">
        <f t="shared" ref="AC358:BD358" si="931">AC363/AC5</f>
        <v>#REF!</v>
      </c>
      <c r="AD358" s="294" t="e">
        <f t="shared" si="931"/>
        <v>#REF!</v>
      </c>
      <c r="AE358" s="294" t="e">
        <f t="shared" si="931"/>
        <v>#REF!</v>
      </c>
      <c r="AF358" s="294" t="e">
        <f t="shared" si="931"/>
        <v>#REF!</v>
      </c>
      <c r="AG358" s="294" t="e">
        <f t="shared" si="931"/>
        <v>#REF!</v>
      </c>
      <c r="AH358" s="294" t="e">
        <f t="shared" si="931"/>
        <v>#REF!</v>
      </c>
      <c r="AI358" s="294" t="e">
        <f t="shared" si="931"/>
        <v>#REF!</v>
      </c>
      <c r="AJ358" s="294" t="e">
        <f t="shared" si="931"/>
        <v>#REF!</v>
      </c>
      <c r="AK358" s="294" t="e">
        <f t="shared" si="931"/>
        <v>#REF!</v>
      </c>
      <c r="AL358" s="294" t="e">
        <f t="shared" si="931"/>
        <v>#REF!</v>
      </c>
      <c r="AM358" s="294" t="e">
        <f t="shared" si="931"/>
        <v>#REF!</v>
      </c>
      <c r="AN358" s="294" t="e">
        <f t="shared" si="931"/>
        <v>#REF!</v>
      </c>
      <c r="AO358" s="294" t="e">
        <f t="shared" si="931"/>
        <v>#REF!</v>
      </c>
      <c r="AP358" s="294" t="e">
        <f t="shared" si="931"/>
        <v>#REF!</v>
      </c>
      <c r="AQ358" s="294" t="e">
        <f t="shared" si="931"/>
        <v>#REF!</v>
      </c>
      <c r="AR358" s="294" t="e">
        <f t="shared" si="931"/>
        <v>#REF!</v>
      </c>
      <c r="AS358" s="294" t="e">
        <f t="shared" si="931"/>
        <v>#REF!</v>
      </c>
      <c r="AT358" s="294" t="e">
        <f t="shared" si="931"/>
        <v>#REF!</v>
      </c>
      <c r="AU358" s="294" t="e">
        <f t="shared" si="931"/>
        <v>#REF!</v>
      </c>
      <c r="AV358" s="294" t="e">
        <f t="shared" si="931"/>
        <v>#REF!</v>
      </c>
      <c r="AW358" s="294" t="e">
        <f t="shared" si="931"/>
        <v>#REF!</v>
      </c>
      <c r="AX358" s="294" t="e">
        <f t="shared" si="931"/>
        <v>#REF!</v>
      </c>
      <c r="AY358" s="294" t="e">
        <f t="shared" si="931"/>
        <v>#REF!</v>
      </c>
      <c r="AZ358" s="294" t="e">
        <f t="shared" si="931"/>
        <v>#REF!</v>
      </c>
      <c r="BA358" s="294" t="e">
        <f t="shared" si="931"/>
        <v>#REF!</v>
      </c>
      <c r="BB358" s="294" t="e">
        <f t="shared" si="931"/>
        <v>#REF!</v>
      </c>
      <c r="BC358" s="294" t="e">
        <f t="shared" si="931"/>
        <v>#REF!</v>
      </c>
      <c r="BD358" s="294" t="e">
        <f t="shared" si="931"/>
        <v>#REF!</v>
      </c>
      <c r="BE358" s="294" t="e">
        <f t="shared" ref="BE358:BK358" si="932">BE363/BE5</f>
        <v>#REF!</v>
      </c>
      <c r="BF358" s="294" t="e">
        <f t="shared" si="932"/>
        <v>#REF!</v>
      </c>
      <c r="BG358" s="294" t="e">
        <f t="shared" si="932"/>
        <v>#REF!</v>
      </c>
      <c r="BH358" s="294" t="e">
        <f t="shared" si="932"/>
        <v>#REF!</v>
      </c>
      <c r="BI358" s="294" t="e">
        <f t="shared" si="932"/>
        <v>#REF!</v>
      </c>
      <c r="BJ358" s="294" t="e">
        <f t="shared" si="932"/>
        <v>#REF!</v>
      </c>
      <c r="BK358" s="294" t="e">
        <f t="shared" si="932"/>
        <v>#REF!</v>
      </c>
      <c r="BT358" s="121"/>
    </row>
    <row r="359" spans="1:72" s="119" customFormat="1" ht="14.1">
      <c r="A359" s="147" t="s">
        <v>462</v>
      </c>
      <c r="B359" s="147" t="s">
        <v>462</v>
      </c>
      <c r="C359" s="117"/>
      <c r="U359" s="294" t="e">
        <f>U275/U59</f>
        <v>#REF!</v>
      </c>
      <c r="V359" s="234"/>
      <c r="AB359" s="294" t="e">
        <f>AB275/AB59</f>
        <v>#REF!</v>
      </c>
      <c r="AC359" s="294" t="e">
        <f t="shared" ref="AC359:BD359" si="933">AC275/AC59</f>
        <v>#REF!</v>
      </c>
      <c r="AD359" s="294" t="e">
        <f t="shared" si="933"/>
        <v>#REF!</v>
      </c>
      <c r="AE359" s="294" t="e">
        <f t="shared" si="933"/>
        <v>#REF!</v>
      </c>
      <c r="AF359" s="294" t="e">
        <f t="shared" si="933"/>
        <v>#REF!</v>
      </c>
      <c r="AG359" s="294" t="e">
        <f t="shared" si="933"/>
        <v>#REF!</v>
      </c>
      <c r="AH359" s="294" t="e">
        <f t="shared" si="933"/>
        <v>#REF!</v>
      </c>
      <c r="AI359" s="294" t="e">
        <f t="shared" si="933"/>
        <v>#REF!</v>
      </c>
      <c r="AJ359" s="294" t="e">
        <f t="shared" si="933"/>
        <v>#REF!</v>
      </c>
      <c r="AK359" s="294" t="e">
        <f t="shared" si="933"/>
        <v>#REF!</v>
      </c>
      <c r="AL359" s="294" t="e">
        <f t="shared" si="933"/>
        <v>#REF!</v>
      </c>
      <c r="AM359" s="294" t="e">
        <f t="shared" si="933"/>
        <v>#REF!</v>
      </c>
      <c r="AN359" s="294" t="e">
        <f t="shared" si="933"/>
        <v>#REF!</v>
      </c>
      <c r="AO359" s="294" t="e">
        <f t="shared" si="933"/>
        <v>#REF!</v>
      </c>
      <c r="AP359" s="294" t="e">
        <f t="shared" si="933"/>
        <v>#REF!</v>
      </c>
      <c r="AQ359" s="294" t="e">
        <f t="shared" si="933"/>
        <v>#REF!</v>
      </c>
      <c r="AR359" s="294" t="e">
        <f t="shared" si="933"/>
        <v>#REF!</v>
      </c>
      <c r="AS359" s="294" t="e">
        <f t="shared" si="933"/>
        <v>#REF!</v>
      </c>
      <c r="AT359" s="294" t="e">
        <f t="shared" si="933"/>
        <v>#REF!</v>
      </c>
      <c r="AU359" s="294" t="e">
        <f t="shared" si="933"/>
        <v>#REF!</v>
      </c>
      <c r="AV359" s="294" t="e">
        <f t="shared" si="933"/>
        <v>#REF!</v>
      </c>
      <c r="AW359" s="294" t="e">
        <f t="shared" si="933"/>
        <v>#REF!</v>
      </c>
      <c r="AX359" s="294" t="e">
        <f t="shared" si="933"/>
        <v>#REF!</v>
      </c>
      <c r="AY359" s="294" t="e">
        <f t="shared" si="933"/>
        <v>#REF!</v>
      </c>
      <c r="AZ359" s="294" t="e">
        <f t="shared" si="933"/>
        <v>#REF!</v>
      </c>
      <c r="BA359" s="294" t="e">
        <f t="shared" si="933"/>
        <v>#REF!</v>
      </c>
      <c r="BB359" s="294" t="e">
        <f t="shared" si="933"/>
        <v>#REF!</v>
      </c>
      <c r="BC359" s="294" t="e">
        <f t="shared" si="933"/>
        <v>#REF!</v>
      </c>
      <c r="BD359" s="294" t="e">
        <f t="shared" si="933"/>
        <v>#REF!</v>
      </c>
      <c r="BE359" s="294" t="e">
        <f t="shared" ref="BE359:BK359" si="934">BE275/BE59</f>
        <v>#REF!</v>
      </c>
      <c r="BF359" s="294" t="e">
        <f t="shared" si="934"/>
        <v>#REF!</v>
      </c>
      <c r="BG359" s="294" t="e">
        <f t="shared" si="934"/>
        <v>#REF!</v>
      </c>
      <c r="BH359" s="294" t="e">
        <f t="shared" si="934"/>
        <v>#REF!</v>
      </c>
      <c r="BI359" s="294" t="e">
        <f t="shared" si="934"/>
        <v>#REF!</v>
      </c>
      <c r="BJ359" s="294" t="e">
        <f t="shared" si="934"/>
        <v>#REF!</v>
      </c>
      <c r="BK359" s="294" t="e">
        <f t="shared" si="934"/>
        <v>#REF!</v>
      </c>
      <c r="BT359" s="121"/>
    </row>
    <row r="360" spans="1:72" s="119" customFormat="1" ht="14.1">
      <c r="A360" s="147" t="s">
        <v>463</v>
      </c>
      <c r="B360" s="147" t="s">
        <v>469</v>
      </c>
      <c r="C360" s="117"/>
      <c r="V360" s="234"/>
      <c r="AB360" s="2" t="e">
        <f>(AB204-U204)/AB59</f>
        <v>#REF!</v>
      </c>
      <c r="AC360" s="2" t="e">
        <f t="shared" ref="AC360:BD360" si="935">(AC204-V204)/AC59</f>
        <v>#REF!</v>
      </c>
      <c r="AD360" s="2" t="e">
        <f t="shared" si="935"/>
        <v>#REF!</v>
      </c>
      <c r="AE360" s="2" t="e">
        <f t="shared" si="935"/>
        <v>#REF!</v>
      </c>
      <c r="AF360" s="2" t="e">
        <f t="shared" si="935"/>
        <v>#REF!</v>
      </c>
      <c r="AG360" s="2" t="e">
        <f t="shared" si="935"/>
        <v>#REF!</v>
      </c>
      <c r="AH360" s="2" t="e">
        <f t="shared" si="935"/>
        <v>#REF!</v>
      </c>
      <c r="AI360" s="2" t="e">
        <f t="shared" si="935"/>
        <v>#REF!</v>
      </c>
      <c r="AJ360" s="2" t="e">
        <f t="shared" si="935"/>
        <v>#REF!</v>
      </c>
      <c r="AK360" s="2" t="e">
        <f t="shared" si="935"/>
        <v>#REF!</v>
      </c>
      <c r="AL360" s="2" t="e">
        <f t="shared" si="935"/>
        <v>#REF!</v>
      </c>
      <c r="AM360" s="2" t="e">
        <f t="shared" si="935"/>
        <v>#REF!</v>
      </c>
      <c r="AN360" s="2" t="e">
        <f t="shared" si="935"/>
        <v>#REF!</v>
      </c>
      <c r="AO360" s="2" t="e">
        <f t="shared" si="935"/>
        <v>#REF!</v>
      </c>
      <c r="AP360" s="2" t="e">
        <f t="shared" si="935"/>
        <v>#REF!</v>
      </c>
      <c r="AQ360" s="2" t="e">
        <f t="shared" si="935"/>
        <v>#REF!</v>
      </c>
      <c r="AR360" s="2" t="e">
        <f t="shared" si="935"/>
        <v>#REF!</v>
      </c>
      <c r="AS360" s="2" t="e">
        <f t="shared" si="935"/>
        <v>#REF!</v>
      </c>
      <c r="AT360" s="2" t="e">
        <f t="shared" si="935"/>
        <v>#REF!</v>
      </c>
      <c r="AU360" s="2" t="e">
        <f t="shared" si="935"/>
        <v>#REF!</v>
      </c>
      <c r="AV360" s="2" t="e">
        <f t="shared" si="935"/>
        <v>#REF!</v>
      </c>
      <c r="AW360" s="2" t="e">
        <f t="shared" si="935"/>
        <v>#REF!</v>
      </c>
      <c r="AX360" s="2" t="e">
        <f t="shared" si="935"/>
        <v>#REF!</v>
      </c>
      <c r="AY360" s="2" t="e">
        <f t="shared" si="935"/>
        <v>#REF!</v>
      </c>
      <c r="AZ360" s="2" t="e">
        <f t="shared" si="935"/>
        <v>#REF!</v>
      </c>
      <c r="BA360" s="2" t="e">
        <f t="shared" si="935"/>
        <v>#REF!</v>
      </c>
      <c r="BB360" s="2" t="e">
        <f t="shared" si="935"/>
        <v>#REF!</v>
      </c>
      <c r="BC360" s="2" t="e">
        <f t="shared" si="935"/>
        <v>#REF!</v>
      </c>
      <c r="BD360" s="2" t="e">
        <f t="shared" si="935"/>
        <v>#REF!</v>
      </c>
      <c r="BE360" s="2" t="e">
        <f t="shared" ref="BE360" si="936">(BE204-AX204)/BE59</f>
        <v>#REF!</v>
      </c>
      <c r="BF360" s="2" t="e">
        <f t="shared" ref="BF360" si="937">(BF204-AY204)/BF59</f>
        <v>#REF!</v>
      </c>
      <c r="BG360" s="2" t="e">
        <f t="shared" ref="BG360" si="938">(BG204-AZ204)/BG59</f>
        <v>#REF!</v>
      </c>
      <c r="BH360" s="2" t="e">
        <f t="shared" ref="BH360" si="939">(BH204-BA204)/BH59</f>
        <v>#REF!</v>
      </c>
      <c r="BI360" s="2" t="e">
        <f t="shared" ref="BI360" si="940">(BI204-BB204)/BI59</f>
        <v>#REF!</v>
      </c>
      <c r="BJ360" s="2" t="e">
        <f t="shared" ref="BJ360" si="941">(BJ204-BC204)/BJ59</f>
        <v>#REF!</v>
      </c>
      <c r="BK360" s="2" t="e">
        <f t="shared" ref="BK360" si="942">(BK204-BD204)/BK59</f>
        <v>#REF!</v>
      </c>
      <c r="BT360" s="121"/>
    </row>
    <row r="361" spans="1:72" s="119" customFormat="1" ht="14.1">
      <c r="A361" s="147" t="s">
        <v>464</v>
      </c>
      <c r="B361" s="147" t="s">
        <v>471</v>
      </c>
      <c r="C361" s="117"/>
      <c r="V361" s="234"/>
      <c r="AB361" s="2" t="e">
        <f>(AB144-U144)/AB7</f>
        <v>#REF!</v>
      </c>
      <c r="AC361" s="2" t="e">
        <f t="shared" ref="AC361:BD361" si="943">(AC144-V144)/AC7</f>
        <v>#REF!</v>
      </c>
      <c r="AD361" s="2" t="e">
        <f t="shared" si="943"/>
        <v>#REF!</v>
      </c>
      <c r="AE361" s="2" t="e">
        <f t="shared" si="943"/>
        <v>#REF!</v>
      </c>
      <c r="AF361" s="2" t="e">
        <f t="shared" si="943"/>
        <v>#REF!</v>
      </c>
      <c r="AG361" s="2" t="e">
        <f t="shared" si="943"/>
        <v>#REF!</v>
      </c>
      <c r="AH361" s="2" t="e">
        <f t="shared" si="943"/>
        <v>#REF!</v>
      </c>
      <c r="AI361" s="2" t="e">
        <f t="shared" si="943"/>
        <v>#REF!</v>
      </c>
      <c r="AJ361" s="2" t="e">
        <f t="shared" si="943"/>
        <v>#REF!</v>
      </c>
      <c r="AK361" s="2" t="e">
        <f t="shared" si="943"/>
        <v>#REF!</v>
      </c>
      <c r="AL361" s="2" t="e">
        <f t="shared" si="943"/>
        <v>#REF!</v>
      </c>
      <c r="AM361" s="2" t="e">
        <f t="shared" si="943"/>
        <v>#REF!</v>
      </c>
      <c r="AN361" s="2" t="e">
        <f t="shared" si="943"/>
        <v>#REF!</v>
      </c>
      <c r="AO361" s="2" t="e">
        <f t="shared" si="943"/>
        <v>#REF!</v>
      </c>
      <c r="AP361" s="2" t="e">
        <f t="shared" si="943"/>
        <v>#REF!</v>
      </c>
      <c r="AQ361" s="2" t="e">
        <f t="shared" si="943"/>
        <v>#REF!</v>
      </c>
      <c r="AR361" s="2" t="e">
        <f t="shared" si="943"/>
        <v>#REF!</v>
      </c>
      <c r="AS361" s="2" t="e">
        <f t="shared" si="943"/>
        <v>#REF!</v>
      </c>
      <c r="AT361" s="2" t="e">
        <f t="shared" si="943"/>
        <v>#REF!</v>
      </c>
      <c r="AU361" s="2" t="e">
        <f t="shared" si="943"/>
        <v>#REF!</v>
      </c>
      <c r="AV361" s="2" t="e">
        <f t="shared" si="943"/>
        <v>#REF!</v>
      </c>
      <c r="AW361" s="2" t="e">
        <f t="shared" si="943"/>
        <v>#REF!</v>
      </c>
      <c r="AX361" s="2" t="e">
        <f t="shared" si="943"/>
        <v>#REF!</v>
      </c>
      <c r="AY361" s="2" t="e">
        <f t="shared" si="943"/>
        <v>#REF!</v>
      </c>
      <c r="AZ361" s="2" t="e">
        <f t="shared" si="943"/>
        <v>#REF!</v>
      </c>
      <c r="BA361" s="2" t="e">
        <f t="shared" si="943"/>
        <v>#REF!</v>
      </c>
      <c r="BB361" s="2" t="e">
        <f t="shared" si="943"/>
        <v>#REF!</v>
      </c>
      <c r="BC361" s="2" t="e">
        <f t="shared" si="943"/>
        <v>#REF!</v>
      </c>
      <c r="BD361" s="2" t="e">
        <f t="shared" si="943"/>
        <v>#REF!</v>
      </c>
      <c r="BE361" s="2" t="e">
        <f t="shared" ref="BE361" si="944">(BE144-AX144)/BE7</f>
        <v>#REF!</v>
      </c>
      <c r="BF361" s="2" t="e">
        <f t="shared" ref="BF361" si="945">(BF144-AY144)/BF7</f>
        <v>#REF!</v>
      </c>
      <c r="BG361" s="2" t="e">
        <f t="shared" ref="BG361" si="946">(BG144-AZ144)/BG7</f>
        <v>#REF!</v>
      </c>
      <c r="BH361" s="2" t="e">
        <f t="shared" ref="BH361" si="947">(BH144-BA144)/BH7</f>
        <v>#REF!</v>
      </c>
      <c r="BI361" s="2" t="e">
        <f t="shared" ref="BI361" si="948">(BI144-BB144)/BI7</f>
        <v>#REF!</v>
      </c>
      <c r="BJ361" s="2" t="e">
        <f t="shared" ref="BJ361" si="949">(BJ144-BC144)/BJ7</f>
        <v>#REF!</v>
      </c>
      <c r="BK361" s="2" t="e">
        <f t="shared" ref="BK361" si="950">(BK144-BD144)/BK7</f>
        <v>#REF!</v>
      </c>
      <c r="BT361" s="121"/>
    </row>
    <row r="362" spans="1:72" s="119" customFormat="1" ht="14.1">
      <c r="A362" s="130"/>
      <c r="B362" s="147"/>
      <c r="C362" s="117"/>
      <c r="V362" s="234"/>
      <c r="AC362" s="234"/>
      <c r="AJ362" s="234"/>
      <c r="AQ362" s="234"/>
      <c r="AX362" s="234"/>
      <c r="BD362" s="120"/>
      <c r="BE362" s="234"/>
      <c r="BK362" s="120"/>
      <c r="BT362" s="121"/>
    </row>
    <row r="363" spans="1:72" s="119" customFormat="1">
      <c r="A363" s="111" t="s">
        <v>202</v>
      </c>
      <c r="B363" s="117" t="s">
        <v>465</v>
      </c>
      <c r="C363" s="117"/>
      <c r="U363" s="146" t="e">
        <f>INDEX(#REF!, MATCH($A363,#REF!, 0), MATCH(U$4,#REF!, 0))</f>
        <v>#REF!</v>
      </c>
      <c r="V363" s="146" t="e">
        <f>INDEX(#REF!, MATCH($A363,#REF!, 0), MATCH(V$4,#REF!, 0))</f>
        <v>#REF!</v>
      </c>
      <c r="W363" s="146" t="e">
        <f>INDEX(#REF!, MATCH($A363,#REF!, 0), MATCH(W$4,#REF!, 0))</f>
        <v>#REF!</v>
      </c>
      <c r="X363" s="146" t="e">
        <f>INDEX(#REF!, MATCH($A363,#REF!, 0), MATCH(X$4,#REF!, 0))</f>
        <v>#REF!</v>
      </c>
      <c r="Y363" s="146" t="e">
        <f>INDEX(#REF!, MATCH($A363,#REF!, 0), MATCH(Y$4,#REF!, 0))</f>
        <v>#REF!</v>
      </c>
      <c r="Z363" s="146" t="e">
        <f>INDEX(#REF!, MATCH($A363,#REF!, 0), MATCH(Z$4,#REF!, 0))</f>
        <v>#REF!</v>
      </c>
      <c r="AA363" s="146" t="e">
        <f>INDEX(#REF!, MATCH($A363,#REF!, 0), MATCH(AA$4,#REF!, 0))</f>
        <v>#REF!</v>
      </c>
      <c r="AB363" s="146" t="e">
        <f>INDEX(#REF!, MATCH($A363,#REF!, 0), MATCH(AB$4,#REF!, 0))</f>
        <v>#REF!</v>
      </c>
      <c r="AC363" s="146" t="e">
        <f>INDEX(#REF!, MATCH($A363,#REF!, 0), MATCH(AC$4,#REF!, 0))</f>
        <v>#REF!</v>
      </c>
      <c r="AD363" s="146" t="e">
        <f>INDEX(#REF!, MATCH($A363,#REF!, 0), MATCH(AD$4,#REF!, 0))</f>
        <v>#REF!</v>
      </c>
      <c r="AE363" s="146" t="e">
        <f>INDEX(#REF!, MATCH($A363,#REF!, 0), MATCH(AE$4,#REF!, 0))</f>
        <v>#REF!</v>
      </c>
      <c r="AF363" s="146" t="e">
        <f>INDEX(#REF!, MATCH($A363,#REF!, 0), MATCH(AF$4,#REF!, 0))</f>
        <v>#REF!</v>
      </c>
      <c r="AG363" s="146" t="e">
        <f>INDEX(#REF!, MATCH($A363,#REF!, 0), MATCH(AG$4,#REF!, 0))</f>
        <v>#REF!</v>
      </c>
      <c r="AH363" s="146" t="e">
        <f>INDEX(#REF!, MATCH($A363,#REF!, 0), MATCH(AH$4,#REF!, 0))</f>
        <v>#REF!</v>
      </c>
      <c r="AI363" s="146" t="e">
        <f>INDEX(#REF!, MATCH($A363,#REF!, 0), MATCH(AI$4,#REF!, 0))</f>
        <v>#REF!</v>
      </c>
      <c r="AJ363" s="146" t="e">
        <f>INDEX(#REF!, MATCH($A363,#REF!, 0), MATCH(AJ$4,#REF!, 0))</f>
        <v>#REF!</v>
      </c>
      <c r="AK363" s="146" t="e">
        <f>INDEX(#REF!, MATCH($A363,#REF!, 0), MATCH(AK$4,#REF!, 0))</f>
        <v>#REF!</v>
      </c>
      <c r="AL363" s="146" t="e">
        <f>INDEX(#REF!, MATCH($A363,#REF!, 0), MATCH(AL$4,#REF!, 0))</f>
        <v>#REF!</v>
      </c>
      <c r="AM363" s="146" t="e">
        <f>INDEX(#REF!, MATCH($A363,#REF!, 0), MATCH(AM$4,#REF!, 0))</f>
        <v>#REF!</v>
      </c>
      <c r="AN363" s="146" t="e">
        <f>INDEX(#REF!, MATCH($A363,#REF!, 0), MATCH(AN$4,#REF!, 0))</f>
        <v>#REF!</v>
      </c>
      <c r="AO363" s="146" t="e">
        <f>INDEX(#REF!, MATCH($A363,#REF!, 0), MATCH(AO$4,#REF!, 0))</f>
        <v>#REF!</v>
      </c>
      <c r="AP363" s="146" t="e">
        <f>INDEX(#REF!, MATCH($A363,#REF!, 0), MATCH(AP$4,#REF!, 0))</f>
        <v>#REF!</v>
      </c>
      <c r="AQ363" s="146" t="e">
        <f>INDEX(#REF!, MATCH($A363,#REF!, 0), MATCH(AQ$4,#REF!, 0))</f>
        <v>#REF!</v>
      </c>
      <c r="AR363" s="146" t="e">
        <f>INDEX(#REF!, MATCH($A363,#REF!, 0), MATCH(AR$4,#REF!, 0))</f>
        <v>#REF!</v>
      </c>
      <c r="AS363" s="146" t="e">
        <f>INDEX(#REF!, MATCH($A363,#REF!, 0), MATCH(AS$4,#REF!, 0))</f>
        <v>#REF!</v>
      </c>
      <c r="AT363" s="146" t="e">
        <f>INDEX(#REF!, MATCH($A363,#REF!, 0), MATCH(AT$4,#REF!, 0))</f>
        <v>#REF!</v>
      </c>
      <c r="AU363" s="146" t="e">
        <f>INDEX(#REF!, MATCH($A363,#REF!, 0), MATCH(AU$4,#REF!, 0))</f>
        <v>#REF!</v>
      </c>
      <c r="AV363" s="146" t="e">
        <f>INDEX(#REF!, MATCH($A363,#REF!, 0), MATCH(AV$4,#REF!, 0))</f>
        <v>#REF!</v>
      </c>
      <c r="AW363" s="146" t="e">
        <f>INDEX(#REF!, MATCH($A363,#REF!, 0), MATCH(AW$4,#REF!, 0))</f>
        <v>#REF!</v>
      </c>
      <c r="AX363" s="146" t="e">
        <f>INDEX(#REF!, MATCH($A363,#REF!, 0), MATCH(AX$4,#REF!, 0))</f>
        <v>#REF!</v>
      </c>
      <c r="AY363" s="146" t="e">
        <f>INDEX(#REF!, MATCH($A363,#REF!, 0), MATCH(AY$4,#REF!, 0))</f>
        <v>#REF!</v>
      </c>
      <c r="AZ363" s="146" t="e">
        <f>INDEX(#REF!, MATCH($A363,#REF!, 0), MATCH(AZ$4,#REF!, 0))</f>
        <v>#REF!</v>
      </c>
      <c r="BA363" s="146" t="e">
        <f>INDEX(#REF!, MATCH($A363,#REF!, 0), MATCH(BA$4,#REF!, 0))</f>
        <v>#REF!</v>
      </c>
      <c r="BB363" s="146" t="e">
        <f>INDEX(#REF!, MATCH($A363,#REF!, 0), MATCH(BB$4,#REF!, 0))</f>
        <v>#REF!</v>
      </c>
      <c r="BC363" s="146" t="e">
        <f>INDEX(#REF!, MATCH($A363,#REF!, 0), MATCH(BC$4,#REF!, 0))</f>
        <v>#REF!</v>
      </c>
      <c r="BD363" s="146" t="e">
        <f>INDEX(#REF!, MATCH($A363,#REF!, 0), MATCH(BD$4,#REF!, 0))</f>
        <v>#REF!</v>
      </c>
      <c r="BE363" s="146" t="e">
        <f>INDEX(#REF!, MATCH($A363,#REF!, 0), MATCH(BE$4,#REF!, 0))</f>
        <v>#REF!</v>
      </c>
      <c r="BF363" s="146" t="e">
        <f>INDEX(#REF!, MATCH($A363,#REF!, 0), MATCH(BF$4,#REF!, 0))</f>
        <v>#REF!</v>
      </c>
      <c r="BG363" s="146" t="e">
        <f>INDEX(#REF!, MATCH($A363,#REF!, 0), MATCH(BG$4,#REF!, 0))</f>
        <v>#REF!</v>
      </c>
      <c r="BH363" s="146" t="e">
        <f>INDEX(#REF!, MATCH($A363,#REF!, 0), MATCH(BH$4,#REF!, 0))</f>
        <v>#REF!</v>
      </c>
      <c r="BI363" s="146" t="e">
        <f>INDEX(#REF!, MATCH($A363,#REF!, 0), MATCH(BI$4,#REF!, 0))</f>
        <v>#REF!</v>
      </c>
      <c r="BJ363" s="146" t="e">
        <f>INDEX(#REF!, MATCH($A363,#REF!, 0), MATCH(BJ$4,#REF!, 0))</f>
        <v>#REF!</v>
      </c>
      <c r="BK363" s="146" t="e">
        <f>INDEX(#REF!, MATCH($A363,#REF!, 0), MATCH(BK$4,#REF!, 0))</f>
        <v>#REF!</v>
      </c>
      <c r="BT363" s="121"/>
    </row>
    <row r="364" spans="1:72" s="119" customFormat="1">
      <c r="A364" s="130"/>
      <c r="B364" s="117"/>
      <c r="C364" s="117"/>
      <c r="V364" s="234"/>
      <c r="AC364" s="234"/>
      <c r="AJ364" s="234"/>
      <c r="AQ364" s="234"/>
      <c r="AX364" s="234"/>
      <c r="BD364" s="120"/>
      <c r="BE364" s="234"/>
      <c r="BK364" s="120"/>
      <c r="BT364" s="121"/>
    </row>
    <row r="365" spans="1:72" s="119" customFormat="1">
      <c r="A365" s="130"/>
      <c r="B365" s="117"/>
      <c r="C365" s="117"/>
      <c r="V365" s="234"/>
      <c r="AC365" s="234"/>
      <c r="AJ365" s="234"/>
      <c r="AQ365" s="234"/>
      <c r="AX365" s="234"/>
      <c r="BD365" s="120"/>
      <c r="BE365" s="234"/>
      <c r="BK365" s="120"/>
      <c r="BT365" s="121"/>
    </row>
    <row r="366" spans="1:72" s="119" customFormat="1">
      <c r="A366" s="130"/>
      <c r="B366" s="117"/>
      <c r="C366" s="117"/>
      <c r="V366" s="234"/>
      <c r="AC366" s="234"/>
      <c r="AJ366" s="234"/>
      <c r="AQ366" s="234"/>
      <c r="AX366" s="234"/>
      <c r="BD366" s="120"/>
      <c r="BE366" s="234"/>
      <c r="BK366" s="120"/>
      <c r="BT366" s="121"/>
    </row>
    <row r="367" spans="1:72" s="119" customFormat="1">
      <c r="A367" s="130"/>
      <c r="B367" s="117"/>
      <c r="C367" s="117"/>
      <c r="V367" s="234"/>
      <c r="AC367" s="234"/>
      <c r="AJ367" s="234"/>
      <c r="AQ367" s="234"/>
      <c r="AX367" s="234"/>
      <c r="BD367" s="120"/>
      <c r="BE367" s="234"/>
      <c r="BK367" s="120"/>
      <c r="BT367" s="121"/>
    </row>
    <row r="368" spans="1:72" s="119" customFormat="1">
      <c r="A368" s="130"/>
      <c r="B368" s="117"/>
      <c r="C368" s="117"/>
      <c r="V368" s="234"/>
      <c r="AC368" s="234"/>
      <c r="AJ368" s="234"/>
      <c r="AQ368" s="234"/>
      <c r="AX368" s="234"/>
      <c r="BD368" s="120"/>
      <c r="BE368" s="234"/>
      <c r="BK368" s="120"/>
      <c r="BT368" s="121"/>
    </row>
    <row r="369" spans="1:72" s="119" customFormat="1">
      <c r="A369" s="130"/>
      <c r="B369" s="117"/>
      <c r="C369" s="117"/>
      <c r="V369" s="234"/>
      <c r="AC369" s="234"/>
      <c r="AJ369" s="234"/>
      <c r="AQ369" s="234"/>
      <c r="AX369" s="234"/>
      <c r="BD369" s="120"/>
      <c r="BE369" s="234"/>
      <c r="BK369" s="120"/>
      <c r="BT369" s="121"/>
    </row>
    <row r="370" spans="1:72" s="119" customFormat="1">
      <c r="A370" s="130"/>
      <c r="B370" s="117"/>
      <c r="C370" s="117"/>
      <c r="V370" s="234"/>
      <c r="AC370" s="234"/>
      <c r="AJ370" s="234"/>
      <c r="AQ370" s="234"/>
      <c r="AX370" s="234"/>
      <c r="BD370" s="120"/>
      <c r="BE370" s="234"/>
      <c r="BK370" s="120"/>
      <c r="BT370" s="121"/>
    </row>
    <row r="371" spans="1:72" s="119" customFormat="1">
      <c r="A371" s="130"/>
      <c r="B371" s="117"/>
      <c r="C371" s="117"/>
      <c r="V371" s="234"/>
      <c r="AC371" s="234"/>
      <c r="AJ371" s="234"/>
      <c r="AQ371" s="234"/>
      <c r="AX371" s="234"/>
      <c r="BD371" s="120"/>
      <c r="BE371" s="234"/>
      <c r="BK371" s="120"/>
      <c r="BT371" s="121"/>
    </row>
    <row r="372" spans="1:72" s="119" customFormat="1">
      <c r="A372" s="130"/>
      <c r="B372" s="117"/>
      <c r="C372" s="117"/>
      <c r="V372" s="234"/>
      <c r="AC372" s="234"/>
      <c r="AJ372" s="234"/>
      <c r="AQ372" s="234"/>
      <c r="AX372" s="234"/>
      <c r="BD372" s="120"/>
      <c r="BE372" s="234"/>
      <c r="BK372" s="120"/>
      <c r="BT372" s="121"/>
    </row>
    <row r="373" spans="1:72" s="119" customFormat="1">
      <c r="A373" s="130"/>
      <c r="B373" s="117"/>
      <c r="C373" s="117"/>
      <c r="V373" s="234"/>
      <c r="AC373" s="234"/>
      <c r="AJ373" s="234"/>
      <c r="AQ373" s="234"/>
      <c r="AX373" s="234"/>
      <c r="BD373" s="120"/>
      <c r="BE373" s="234"/>
      <c r="BK373" s="120"/>
      <c r="BT373" s="121"/>
    </row>
    <row r="374" spans="1:72" s="119" customFormat="1">
      <c r="A374" s="130"/>
      <c r="B374" s="117"/>
      <c r="C374" s="117"/>
      <c r="V374" s="234"/>
      <c r="AC374" s="234"/>
      <c r="AJ374" s="234"/>
      <c r="AQ374" s="234"/>
      <c r="AX374" s="234"/>
      <c r="BD374" s="120"/>
      <c r="BE374" s="234"/>
      <c r="BK374" s="120"/>
      <c r="BT374" s="121"/>
    </row>
    <row r="375" spans="1:72" s="119" customFormat="1">
      <c r="A375" s="130"/>
      <c r="B375" s="117"/>
      <c r="C375" s="117"/>
      <c r="V375" s="234"/>
      <c r="AC375" s="234"/>
      <c r="AJ375" s="234"/>
      <c r="AQ375" s="234"/>
      <c r="AX375" s="234"/>
      <c r="BD375" s="120"/>
      <c r="BE375" s="234"/>
      <c r="BK375" s="120"/>
      <c r="BT375" s="121"/>
    </row>
    <row r="376" spans="1:72" s="119" customFormat="1">
      <c r="A376" s="130"/>
      <c r="B376" s="117"/>
      <c r="C376" s="117"/>
      <c r="V376" s="234"/>
      <c r="AC376" s="234"/>
      <c r="AJ376" s="234"/>
      <c r="AQ376" s="234"/>
      <c r="AX376" s="234"/>
      <c r="BD376" s="120"/>
      <c r="BE376" s="234"/>
      <c r="BK376" s="120"/>
      <c r="BT376" s="121"/>
    </row>
    <row r="377" spans="1:72" s="119" customFormat="1">
      <c r="A377" s="130"/>
      <c r="B377" s="117"/>
      <c r="C377" s="117"/>
      <c r="V377" s="234"/>
      <c r="AC377" s="234"/>
      <c r="AJ377" s="234"/>
      <c r="AQ377" s="234"/>
      <c r="AX377" s="234"/>
      <c r="BD377" s="120"/>
      <c r="BE377" s="234"/>
      <c r="BK377" s="120"/>
      <c r="BT377" s="121"/>
    </row>
    <row r="378" spans="1:72" s="119" customFormat="1">
      <c r="A378" s="130"/>
      <c r="B378" s="117"/>
      <c r="C378" s="117"/>
      <c r="V378" s="234"/>
      <c r="AC378" s="234"/>
      <c r="AJ378" s="234"/>
      <c r="AQ378" s="234"/>
      <c r="AX378" s="234"/>
      <c r="BD378" s="120"/>
      <c r="BE378" s="234"/>
      <c r="BK378" s="120"/>
      <c r="BT378" s="121"/>
    </row>
    <row r="379" spans="1:72" s="119" customFormat="1">
      <c r="A379" s="130"/>
      <c r="B379" s="117"/>
      <c r="C379" s="117"/>
      <c r="V379" s="234"/>
      <c r="AC379" s="234"/>
      <c r="AJ379" s="234"/>
      <c r="AQ379" s="234"/>
      <c r="AX379" s="234"/>
      <c r="BD379" s="120"/>
      <c r="BE379" s="234"/>
      <c r="BK379" s="120"/>
      <c r="BT379" s="121"/>
    </row>
    <row r="380" spans="1:72" s="119" customFormat="1">
      <c r="A380" s="130"/>
      <c r="B380" s="117"/>
      <c r="C380" s="117"/>
      <c r="V380" s="234"/>
      <c r="AC380" s="234"/>
      <c r="AJ380" s="234"/>
      <c r="AQ380" s="234"/>
      <c r="AX380" s="234"/>
      <c r="BD380" s="120"/>
      <c r="BE380" s="234"/>
      <c r="BK380" s="120"/>
      <c r="BT380" s="121"/>
    </row>
    <row r="381" spans="1:72" s="119" customFormat="1">
      <c r="A381" s="130"/>
      <c r="B381" s="117"/>
      <c r="C381" s="117"/>
      <c r="V381" s="234"/>
      <c r="AC381" s="234"/>
      <c r="AJ381" s="234"/>
      <c r="AQ381" s="234"/>
      <c r="AX381" s="234"/>
      <c r="BD381" s="120"/>
      <c r="BE381" s="234"/>
      <c r="BK381" s="120"/>
      <c r="BT381" s="121"/>
    </row>
    <row r="382" spans="1:72" s="119" customFormat="1">
      <c r="A382" s="130"/>
      <c r="B382" s="117"/>
      <c r="C382" s="117"/>
      <c r="V382" s="234"/>
      <c r="AC382" s="234"/>
      <c r="AJ382" s="234"/>
      <c r="AQ382" s="234"/>
      <c r="AX382" s="234"/>
      <c r="BD382" s="120"/>
      <c r="BE382" s="234"/>
      <c r="BK382" s="120"/>
      <c r="BT382" s="121"/>
    </row>
    <row r="383" spans="1:72" s="119" customFormat="1">
      <c r="A383" s="130"/>
      <c r="B383" s="117"/>
      <c r="C383" s="117"/>
      <c r="V383" s="234"/>
      <c r="AC383" s="234"/>
      <c r="AJ383" s="234"/>
      <c r="AQ383" s="234"/>
      <c r="AX383" s="234"/>
      <c r="BD383" s="120"/>
      <c r="BE383" s="234"/>
      <c r="BK383" s="120"/>
      <c r="BT383" s="121"/>
    </row>
    <row r="384" spans="1:72" s="119" customFormat="1">
      <c r="A384" s="130"/>
      <c r="B384" s="117"/>
      <c r="C384" s="117"/>
      <c r="V384" s="234"/>
      <c r="AC384" s="234"/>
      <c r="AJ384" s="234"/>
      <c r="AQ384" s="234"/>
      <c r="AX384" s="234"/>
      <c r="BD384" s="120"/>
      <c r="BE384" s="234"/>
      <c r="BK384" s="120"/>
      <c r="BT384" s="121"/>
    </row>
    <row r="385" spans="1:72" s="119" customFormat="1">
      <c r="A385" s="130"/>
      <c r="B385" s="117"/>
      <c r="C385" s="117"/>
      <c r="V385" s="234"/>
      <c r="AC385" s="234"/>
      <c r="AJ385" s="234"/>
      <c r="AQ385" s="234"/>
      <c r="AX385" s="234"/>
      <c r="BD385" s="120"/>
      <c r="BE385" s="234"/>
      <c r="BK385" s="120"/>
      <c r="BT385" s="121"/>
    </row>
    <row r="386" spans="1:72" s="119" customFormat="1">
      <c r="A386" s="130"/>
      <c r="B386" s="117"/>
      <c r="C386" s="117"/>
      <c r="V386" s="234"/>
      <c r="AC386" s="234"/>
      <c r="AJ386" s="234"/>
      <c r="AQ386" s="234"/>
      <c r="AX386" s="234"/>
      <c r="BD386" s="120"/>
      <c r="BE386" s="234"/>
      <c r="BK386" s="120"/>
      <c r="BT386" s="121"/>
    </row>
    <row r="387" spans="1:72" s="119" customFormat="1">
      <c r="A387" s="130"/>
      <c r="B387" s="117"/>
      <c r="C387" s="117"/>
      <c r="V387" s="234"/>
      <c r="AC387" s="234"/>
      <c r="AJ387" s="234"/>
      <c r="AQ387" s="234"/>
      <c r="AX387" s="234"/>
      <c r="BD387" s="120"/>
      <c r="BE387" s="234"/>
      <c r="BK387" s="120"/>
      <c r="BT387" s="121"/>
    </row>
    <row r="388" spans="1:72" s="119" customFormat="1">
      <c r="A388" s="130"/>
      <c r="B388" s="117"/>
      <c r="C388" s="117"/>
      <c r="V388" s="234"/>
      <c r="AC388" s="234"/>
      <c r="AJ388" s="234"/>
      <c r="AQ388" s="234"/>
      <c r="AX388" s="234"/>
      <c r="BD388" s="120"/>
      <c r="BE388" s="234"/>
      <c r="BK388" s="120"/>
      <c r="BT388" s="121"/>
    </row>
    <row r="389" spans="1:72" s="119" customFormat="1">
      <c r="A389" s="130"/>
      <c r="B389" s="117"/>
      <c r="C389" s="117"/>
      <c r="V389" s="234"/>
      <c r="AC389" s="234"/>
      <c r="AJ389" s="234"/>
      <c r="AQ389" s="234"/>
      <c r="AX389" s="234"/>
      <c r="BD389" s="120"/>
      <c r="BE389" s="234"/>
      <c r="BK389" s="120"/>
      <c r="BT389" s="121"/>
    </row>
    <row r="390" spans="1:72" s="119" customFormat="1">
      <c r="A390" s="130"/>
      <c r="B390" s="117"/>
      <c r="C390" s="117"/>
      <c r="V390" s="234"/>
      <c r="AC390" s="234"/>
      <c r="AJ390" s="234"/>
      <c r="AQ390" s="234"/>
      <c r="AX390" s="234"/>
      <c r="BD390" s="120"/>
      <c r="BE390" s="234"/>
      <c r="BK390" s="120"/>
      <c r="BT390" s="121"/>
    </row>
    <row r="391" spans="1:72" s="119" customFormat="1">
      <c r="A391" s="130"/>
      <c r="B391" s="117"/>
      <c r="C391" s="117"/>
      <c r="V391" s="234"/>
      <c r="AC391" s="234"/>
      <c r="AJ391" s="234"/>
      <c r="AQ391" s="234"/>
      <c r="AX391" s="234"/>
      <c r="BD391" s="120"/>
      <c r="BE391" s="234"/>
      <c r="BK391" s="120"/>
      <c r="BT391" s="121"/>
    </row>
    <row r="392" spans="1:72" s="119" customFormat="1">
      <c r="A392" s="130"/>
      <c r="B392" s="117"/>
      <c r="C392" s="117"/>
      <c r="V392" s="234"/>
      <c r="AC392" s="234"/>
      <c r="AJ392" s="234"/>
      <c r="AQ392" s="234"/>
      <c r="AX392" s="234"/>
      <c r="BD392" s="120"/>
      <c r="BE392" s="234"/>
      <c r="BK392" s="120"/>
      <c r="BT392" s="121"/>
    </row>
    <row r="393" spans="1:72" s="119" customFormat="1">
      <c r="A393" s="130"/>
      <c r="B393" s="117"/>
      <c r="C393" s="117"/>
      <c r="V393" s="234"/>
      <c r="AC393" s="234"/>
      <c r="AJ393" s="234"/>
      <c r="AQ393" s="234"/>
      <c r="AX393" s="234"/>
      <c r="BD393" s="120"/>
      <c r="BE393" s="234"/>
      <c r="BK393" s="120"/>
      <c r="BT393" s="121"/>
    </row>
    <row r="394" spans="1:72" s="119" customFormat="1">
      <c r="A394" s="130"/>
      <c r="B394" s="117"/>
      <c r="C394" s="117"/>
      <c r="V394" s="234"/>
      <c r="AC394" s="234"/>
      <c r="AJ394" s="234"/>
      <c r="AQ394" s="234"/>
      <c r="AX394" s="234"/>
      <c r="BD394" s="120"/>
      <c r="BE394" s="234"/>
      <c r="BK394" s="120"/>
      <c r="BT394" s="121"/>
    </row>
    <row r="395" spans="1:72" s="119" customFormat="1">
      <c r="A395" s="130"/>
      <c r="B395" s="117"/>
      <c r="C395" s="117"/>
      <c r="V395" s="234"/>
      <c r="AC395" s="234"/>
      <c r="AJ395" s="234"/>
      <c r="AQ395" s="234"/>
      <c r="AX395" s="234"/>
      <c r="BD395" s="120"/>
      <c r="BE395" s="234"/>
      <c r="BK395" s="120"/>
      <c r="BT395" s="121"/>
    </row>
    <row r="396" spans="1:72" s="119" customFormat="1">
      <c r="A396" s="130"/>
      <c r="B396" s="117"/>
      <c r="C396" s="117"/>
      <c r="V396" s="234"/>
      <c r="AC396" s="234"/>
      <c r="AJ396" s="234"/>
      <c r="AQ396" s="234"/>
      <c r="AX396" s="234"/>
      <c r="BD396" s="120"/>
      <c r="BE396" s="234"/>
      <c r="BK396" s="120"/>
      <c r="BT396" s="121"/>
    </row>
    <row r="397" spans="1:72" s="119" customFormat="1">
      <c r="A397" s="130"/>
      <c r="B397" s="117"/>
      <c r="C397" s="117"/>
      <c r="V397" s="234"/>
      <c r="AC397" s="234"/>
      <c r="AJ397" s="234"/>
      <c r="AQ397" s="234"/>
      <c r="AX397" s="234"/>
      <c r="BD397" s="120"/>
      <c r="BE397" s="234"/>
      <c r="BK397" s="120"/>
      <c r="BT397" s="121"/>
    </row>
    <row r="398" spans="1:72" s="119" customFormat="1">
      <c r="A398" s="130"/>
      <c r="B398" s="117"/>
      <c r="C398" s="117"/>
      <c r="V398" s="234"/>
      <c r="AC398" s="234"/>
      <c r="AJ398" s="234"/>
      <c r="AQ398" s="234"/>
      <c r="AX398" s="234"/>
      <c r="BD398" s="120"/>
      <c r="BE398" s="234"/>
      <c r="BK398" s="120"/>
      <c r="BT398" s="121"/>
    </row>
    <row r="399" spans="1:72" s="119" customFormat="1">
      <c r="A399" s="130"/>
      <c r="B399" s="117"/>
      <c r="C399" s="117"/>
      <c r="V399" s="234"/>
      <c r="AC399" s="234"/>
      <c r="AJ399" s="234"/>
      <c r="AQ399" s="234"/>
      <c r="AX399" s="234"/>
      <c r="BD399" s="120"/>
      <c r="BE399" s="234"/>
      <c r="BK399" s="120"/>
      <c r="BT399" s="121"/>
    </row>
    <row r="400" spans="1:72" s="119" customFormat="1">
      <c r="A400" s="130"/>
      <c r="B400" s="117"/>
      <c r="C400" s="117"/>
      <c r="V400" s="234"/>
      <c r="AC400" s="234"/>
      <c r="AJ400" s="234"/>
      <c r="AQ400" s="234"/>
      <c r="AX400" s="234"/>
      <c r="BD400" s="120"/>
      <c r="BE400" s="234"/>
      <c r="BK400" s="120"/>
      <c r="BT400" s="121"/>
    </row>
    <row r="401" spans="1:72" s="119" customFormat="1">
      <c r="A401" s="130"/>
      <c r="B401" s="117"/>
      <c r="C401" s="117"/>
      <c r="V401" s="234"/>
      <c r="AC401" s="234"/>
      <c r="AJ401" s="234"/>
      <c r="AQ401" s="234"/>
      <c r="AX401" s="234"/>
      <c r="BD401" s="120"/>
      <c r="BE401" s="234"/>
      <c r="BK401" s="120"/>
      <c r="BT401" s="121"/>
    </row>
    <row r="402" spans="1:72" s="119" customFormat="1">
      <c r="A402" s="130"/>
      <c r="B402" s="117"/>
      <c r="C402" s="117"/>
      <c r="V402" s="234"/>
      <c r="AC402" s="234"/>
      <c r="AJ402" s="234"/>
      <c r="AQ402" s="234"/>
      <c r="AX402" s="234"/>
      <c r="BD402" s="120"/>
      <c r="BE402" s="234"/>
      <c r="BK402" s="120"/>
      <c r="BT402" s="121"/>
    </row>
    <row r="403" spans="1:72" s="119" customFormat="1">
      <c r="A403" s="130"/>
      <c r="B403" s="117"/>
      <c r="C403" s="117"/>
      <c r="V403" s="234"/>
      <c r="AC403" s="234"/>
      <c r="AJ403" s="234"/>
      <c r="AQ403" s="234"/>
      <c r="AX403" s="234"/>
      <c r="BD403" s="120"/>
      <c r="BE403" s="234"/>
      <c r="BK403" s="120"/>
      <c r="BT403" s="121"/>
    </row>
    <row r="404" spans="1:72" s="119" customFormat="1">
      <c r="A404" s="130"/>
      <c r="B404" s="117"/>
      <c r="C404" s="117"/>
      <c r="V404" s="234"/>
      <c r="AC404" s="234"/>
      <c r="AJ404" s="234"/>
      <c r="AQ404" s="234"/>
      <c r="AX404" s="234"/>
      <c r="BD404" s="120"/>
      <c r="BE404" s="234"/>
      <c r="BK404" s="120"/>
      <c r="BT404" s="121"/>
    </row>
    <row r="405" spans="1:72" s="119" customFormat="1">
      <c r="A405" s="130"/>
      <c r="B405" s="117"/>
      <c r="C405" s="117"/>
      <c r="V405" s="234"/>
      <c r="AC405" s="234"/>
      <c r="AJ405" s="234"/>
      <c r="AQ405" s="234"/>
      <c r="AX405" s="234"/>
      <c r="BD405" s="120"/>
      <c r="BE405" s="234"/>
      <c r="BK405" s="120"/>
      <c r="BT405" s="121"/>
    </row>
    <row r="406" spans="1:72" s="119" customFormat="1">
      <c r="A406" s="130"/>
      <c r="B406" s="117"/>
      <c r="C406" s="117"/>
      <c r="V406" s="234"/>
      <c r="AC406" s="234"/>
      <c r="AJ406" s="234"/>
      <c r="AQ406" s="234"/>
      <c r="AX406" s="234"/>
      <c r="BD406" s="120"/>
      <c r="BE406" s="234"/>
      <c r="BK406" s="120"/>
      <c r="BT406" s="121"/>
    </row>
    <row r="407" spans="1:72" s="119" customFormat="1">
      <c r="A407" s="130"/>
      <c r="B407" s="117"/>
      <c r="C407" s="117"/>
      <c r="V407" s="234"/>
      <c r="AC407" s="234"/>
      <c r="AJ407" s="234"/>
      <c r="AQ407" s="234"/>
      <c r="AX407" s="234"/>
      <c r="BD407" s="120"/>
      <c r="BE407" s="234"/>
      <c r="BK407" s="120"/>
      <c r="BT407" s="121"/>
    </row>
    <row r="408" spans="1:72" s="119" customFormat="1">
      <c r="A408" s="130"/>
      <c r="B408" s="117"/>
      <c r="C408" s="117"/>
      <c r="V408" s="234"/>
      <c r="AC408" s="234"/>
      <c r="AJ408" s="234"/>
      <c r="AQ408" s="234"/>
      <c r="AX408" s="234"/>
      <c r="BD408" s="120"/>
      <c r="BE408" s="234"/>
      <c r="BK408" s="120"/>
      <c r="BT408" s="121"/>
    </row>
    <row r="409" spans="1:72" s="119" customFormat="1">
      <c r="A409" s="130"/>
      <c r="B409" s="117"/>
      <c r="C409" s="117"/>
      <c r="V409" s="234"/>
      <c r="AC409" s="234"/>
      <c r="AJ409" s="234"/>
      <c r="AQ409" s="234"/>
      <c r="AX409" s="234"/>
      <c r="BD409" s="120"/>
      <c r="BE409" s="234"/>
      <c r="BK409" s="120"/>
      <c r="BT409" s="121"/>
    </row>
    <row r="410" spans="1:72" s="119" customFormat="1">
      <c r="A410" s="130"/>
      <c r="B410" s="117"/>
      <c r="C410" s="117"/>
      <c r="V410" s="234"/>
      <c r="AC410" s="234"/>
      <c r="AJ410" s="234"/>
      <c r="AQ410" s="234"/>
      <c r="AX410" s="234"/>
      <c r="BD410" s="120"/>
      <c r="BE410" s="234"/>
      <c r="BK410" s="120"/>
      <c r="BT410" s="121"/>
    </row>
    <row r="411" spans="1:72" s="119" customFormat="1">
      <c r="A411" s="130"/>
      <c r="B411" s="117"/>
      <c r="C411" s="117"/>
      <c r="V411" s="234"/>
      <c r="AC411" s="234"/>
      <c r="AJ411" s="234"/>
      <c r="AQ411" s="234"/>
      <c r="AX411" s="234"/>
      <c r="BD411" s="120"/>
      <c r="BE411" s="234"/>
      <c r="BK411" s="120"/>
      <c r="BT411" s="121"/>
    </row>
    <row r="412" spans="1:72" s="119" customFormat="1">
      <c r="A412" s="130"/>
      <c r="B412" s="117"/>
      <c r="C412" s="117"/>
      <c r="V412" s="234"/>
      <c r="AC412" s="234"/>
      <c r="AJ412" s="234"/>
      <c r="AQ412" s="234"/>
      <c r="AX412" s="234"/>
      <c r="BD412" s="120"/>
      <c r="BE412" s="234"/>
      <c r="BK412" s="120"/>
      <c r="BT412" s="121"/>
    </row>
    <row r="413" spans="1:72" s="119" customFormat="1">
      <c r="A413" s="130"/>
      <c r="B413" s="117"/>
      <c r="C413" s="117"/>
      <c r="V413" s="234"/>
      <c r="AC413" s="234"/>
      <c r="AJ413" s="234"/>
      <c r="AQ413" s="234"/>
      <c r="AX413" s="234"/>
      <c r="BD413" s="120"/>
      <c r="BE413" s="234"/>
      <c r="BK413" s="120"/>
      <c r="BT413" s="121"/>
    </row>
    <row r="414" spans="1:72" s="119" customFormat="1">
      <c r="A414" s="130"/>
      <c r="B414" s="117"/>
      <c r="C414" s="117"/>
      <c r="V414" s="234"/>
      <c r="AC414" s="234"/>
      <c r="AJ414" s="234"/>
      <c r="AQ414" s="234"/>
      <c r="AX414" s="234"/>
      <c r="BD414" s="120"/>
      <c r="BE414" s="234"/>
      <c r="BK414" s="120"/>
      <c r="BT414" s="121"/>
    </row>
    <row r="415" spans="1:72" s="119" customFormat="1">
      <c r="A415" s="130"/>
      <c r="B415" s="117"/>
      <c r="C415" s="117"/>
      <c r="V415" s="234"/>
      <c r="AC415" s="234"/>
      <c r="AJ415" s="234"/>
      <c r="AQ415" s="234"/>
      <c r="AX415" s="234"/>
      <c r="BD415" s="120"/>
      <c r="BE415" s="234"/>
      <c r="BK415" s="120"/>
      <c r="BT415" s="121"/>
    </row>
    <row r="416" spans="1:72" s="119" customFormat="1">
      <c r="A416" s="130"/>
      <c r="B416" s="117"/>
      <c r="C416" s="117"/>
      <c r="V416" s="234"/>
      <c r="AC416" s="234"/>
      <c r="AJ416" s="234"/>
      <c r="AQ416" s="234"/>
      <c r="AX416" s="234"/>
      <c r="BD416" s="120"/>
      <c r="BE416" s="234"/>
      <c r="BK416" s="120"/>
      <c r="BT416" s="121"/>
    </row>
    <row r="417" spans="1:72" s="119" customFormat="1">
      <c r="A417" s="130"/>
      <c r="B417" s="117"/>
      <c r="C417" s="117"/>
      <c r="V417" s="234"/>
      <c r="AC417" s="234"/>
      <c r="AJ417" s="234"/>
      <c r="AQ417" s="234"/>
      <c r="AX417" s="234"/>
      <c r="BD417" s="120"/>
      <c r="BE417" s="234"/>
      <c r="BK417" s="120"/>
      <c r="BT417" s="121"/>
    </row>
    <row r="418" spans="1:72" s="119" customFormat="1">
      <c r="A418" s="130"/>
      <c r="B418" s="117"/>
      <c r="C418" s="117"/>
      <c r="V418" s="234"/>
      <c r="AC418" s="234"/>
      <c r="AJ418" s="234"/>
      <c r="AQ418" s="234"/>
      <c r="AX418" s="234"/>
      <c r="BD418" s="120"/>
      <c r="BE418" s="234"/>
      <c r="BK418" s="120"/>
      <c r="BT418" s="121"/>
    </row>
    <row r="419" spans="1:72" s="119" customFormat="1">
      <c r="A419" s="130"/>
      <c r="B419" s="117"/>
      <c r="C419" s="117"/>
      <c r="V419" s="234"/>
      <c r="AC419" s="234"/>
      <c r="AJ419" s="234"/>
      <c r="AQ419" s="234"/>
      <c r="AX419" s="234"/>
      <c r="BD419" s="120"/>
      <c r="BE419" s="234"/>
      <c r="BK419" s="120"/>
      <c r="BT419" s="121"/>
    </row>
    <row r="420" spans="1:72" s="119" customFormat="1">
      <c r="A420" s="130"/>
      <c r="B420" s="117"/>
      <c r="C420" s="117"/>
      <c r="V420" s="234"/>
      <c r="AC420" s="234"/>
      <c r="AJ420" s="234"/>
      <c r="AQ420" s="234"/>
      <c r="AX420" s="234"/>
      <c r="BD420" s="120"/>
      <c r="BE420" s="234"/>
      <c r="BK420" s="120"/>
      <c r="BT420" s="121"/>
    </row>
    <row r="421" spans="1:72" s="119" customFormat="1">
      <c r="A421" s="130"/>
      <c r="B421" s="117"/>
      <c r="C421" s="117"/>
      <c r="V421" s="234"/>
      <c r="AC421" s="234"/>
      <c r="AJ421" s="234"/>
      <c r="AQ421" s="234"/>
      <c r="AX421" s="234"/>
      <c r="BD421" s="120"/>
      <c r="BE421" s="234"/>
      <c r="BK421" s="120"/>
      <c r="BT421" s="121"/>
    </row>
    <row r="422" spans="1:72" s="119" customFormat="1">
      <c r="A422" s="130"/>
      <c r="B422" s="117"/>
      <c r="C422" s="117"/>
      <c r="V422" s="234"/>
      <c r="AC422" s="234"/>
      <c r="AJ422" s="234"/>
      <c r="AQ422" s="234"/>
      <c r="AX422" s="234"/>
      <c r="BD422" s="120"/>
      <c r="BE422" s="234"/>
      <c r="BK422" s="120"/>
      <c r="BT422" s="121"/>
    </row>
    <row r="423" spans="1:72" s="119" customFormat="1">
      <c r="A423" s="130"/>
      <c r="B423" s="117"/>
      <c r="C423" s="117"/>
      <c r="V423" s="234"/>
      <c r="AC423" s="234"/>
      <c r="AJ423" s="234"/>
      <c r="AQ423" s="234"/>
      <c r="AX423" s="234"/>
      <c r="BD423" s="120"/>
      <c r="BE423" s="234"/>
      <c r="BK423" s="120"/>
      <c r="BT423" s="121"/>
    </row>
    <row r="424" spans="1:72" s="119" customFormat="1">
      <c r="A424" s="130"/>
      <c r="B424" s="117"/>
      <c r="C424" s="117"/>
      <c r="V424" s="234"/>
      <c r="AC424" s="234"/>
      <c r="AJ424" s="234"/>
      <c r="AQ424" s="234"/>
      <c r="AX424" s="234"/>
      <c r="BD424" s="120"/>
      <c r="BE424" s="234"/>
      <c r="BK424" s="120"/>
      <c r="BT424" s="121"/>
    </row>
    <row r="425" spans="1:72" s="119" customFormat="1">
      <c r="A425" s="130"/>
      <c r="B425" s="117"/>
      <c r="C425" s="117"/>
      <c r="V425" s="234"/>
      <c r="AC425" s="234"/>
      <c r="AJ425" s="234"/>
      <c r="AQ425" s="234"/>
      <c r="AX425" s="234"/>
      <c r="BD425" s="120"/>
      <c r="BE425" s="234"/>
      <c r="BK425" s="120"/>
      <c r="BT425" s="121"/>
    </row>
    <row r="426" spans="1:72" s="119" customFormat="1">
      <c r="A426" s="130"/>
      <c r="B426" s="117"/>
      <c r="C426" s="117"/>
      <c r="V426" s="234"/>
      <c r="AC426" s="234"/>
      <c r="AJ426" s="234"/>
      <c r="AQ426" s="234"/>
      <c r="AX426" s="234"/>
      <c r="BD426" s="120"/>
      <c r="BE426" s="234"/>
      <c r="BK426" s="120"/>
      <c r="BT426" s="121"/>
    </row>
    <row r="427" spans="1:72" s="119" customFormat="1">
      <c r="A427" s="130"/>
      <c r="B427" s="117"/>
      <c r="C427" s="117"/>
      <c r="V427" s="234"/>
      <c r="AC427" s="234"/>
      <c r="AJ427" s="234"/>
      <c r="AQ427" s="234"/>
      <c r="AX427" s="234"/>
      <c r="BD427" s="120"/>
      <c r="BE427" s="234"/>
      <c r="BK427" s="120"/>
      <c r="BT427" s="121"/>
    </row>
    <row r="428" spans="1:72" s="119" customFormat="1">
      <c r="A428" s="130"/>
      <c r="B428" s="117"/>
      <c r="C428" s="117"/>
      <c r="V428" s="234"/>
      <c r="AC428" s="234"/>
      <c r="AJ428" s="234"/>
      <c r="AQ428" s="234"/>
      <c r="AX428" s="234"/>
      <c r="BD428" s="120"/>
      <c r="BE428" s="234"/>
      <c r="BK428" s="120"/>
      <c r="BT428" s="121"/>
    </row>
    <row r="429" spans="1:72" s="119" customFormat="1">
      <c r="A429" s="130"/>
      <c r="B429" s="117"/>
      <c r="C429" s="117"/>
      <c r="V429" s="234"/>
      <c r="AC429" s="234"/>
      <c r="AJ429" s="234"/>
      <c r="AQ429" s="234"/>
      <c r="AX429" s="234"/>
      <c r="BD429" s="120"/>
      <c r="BE429" s="234"/>
      <c r="BK429" s="120"/>
      <c r="BT429" s="121"/>
    </row>
    <row r="430" spans="1:72" s="119" customFormat="1">
      <c r="A430" s="130"/>
      <c r="B430" s="117"/>
      <c r="C430" s="117"/>
      <c r="V430" s="234"/>
      <c r="AC430" s="234"/>
      <c r="AJ430" s="234"/>
      <c r="AQ430" s="234"/>
      <c r="AX430" s="234"/>
      <c r="BD430" s="120"/>
      <c r="BE430" s="234"/>
      <c r="BK430" s="120"/>
      <c r="BT430" s="121"/>
    </row>
    <row r="431" spans="1:72" s="119" customFormat="1">
      <c r="A431" s="130"/>
      <c r="B431" s="117"/>
      <c r="C431" s="117"/>
      <c r="V431" s="234"/>
      <c r="AC431" s="234"/>
      <c r="AJ431" s="234"/>
      <c r="AQ431" s="234"/>
      <c r="AX431" s="234"/>
      <c r="BD431" s="120"/>
      <c r="BE431" s="234"/>
      <c r="BK431" s="120"/>
      <c r="BT431" s="121"/>
    </row>
    <row r="432" spans="1:72" s="119" customFormat="1">
      <c r="A432" s="130"/>
      <c r="B432" s="117"/>
      <c r="C432" s="117"/>
      <c r="V432" s="234"/>
      <c r="AC432" s="234"/>
      <c r="AJ432" s="234"/>
      <c r="AQ432" s="234"/>
      <c r="AX432" s="234"/>
      <c r="BD432" s="120"/>
      <c r="BE432" s="234"/>
      <c r="BK432" s="120"/>
      <c r="BT432" s="121"/>
    </row>
    <row r="433" spans="1:72" s="119" customFormat="1">
      <c r="A433" s="130"/>
      <c r="B433" s="117"/>
      <c r="C433" s="117"/>
      <c r="V433" s="234"/>
      <c r="AC433" s="234"/>
      <c r="AJ433" s="234"/>
      <c r="AQ433" s="234"/>
      <c r="AX433" s="234"/>
      <c r="BD433" s="120"/>
      <c r="BE433" s="234"/>
      <c r="BK433" s="120"/>
      <c r="BT433" s="121"/>
    </row>
    <row r="434" spans="1:72" s="119" customFormat="1">
      <c r="A434" s="130"/>
      <c r="B434" s="117"/>
      <c r="C434" s="117"/>
      <c r="V434" s="234"/>
      <c r="AC434" s="234"/>
      <c r="AJ434" s="234"/>
      <c r="AQ434" s="234"/>
      <c r="AX434" s="234"/>
      <c r="BD434" s="120"/>
      <c r="BE434" s="234"/>
      <c r="BK434" s="120"/>
      <c r="BT434" s="121"/>
    </row>
    <row r="435" spans="1:72" s="119" customFormat="1">
      <c r="A435" s="130"/>
      <c r="B435" s="117"/>
      <c r="C435" s="117"/>
      <c r="V435" s="234"/>
      <c r="AC435" s="234"/>
      <c r="AJ435" s="234"/>
      <c r="AQ435" s="234"/>
      <c r="AX435" s="234"/>
      <c r="BD435" s="120"/>
      <c r="BE435" s="234"/>
      <c r="BK435" s="120"/>
      <c r="BT435" s="121"/>
    </row>
    <row r="436" spans="1:72" s="119" customFormat="1">
      <c r="A436" s="130"/>
      <c r="B436" s="117"/>
      <c r="C436" s="117"/>
      <c r="V436" s="234"/>
      <c r="AC436" s="234"/>
      <c r="AJ436" s="234"/>
      <c r="AQ436" s="234"/>
      <c r="AX436" s="234"/>
      <c r="BD436" s="120"/>
      <c r="BE436" s="234"/>
      <c r="BK436" s="120"/>
      <c r="BT436" s="121"/>
    </row>
    <row r="437" spans="1:72" s="119" customFormat="1">
      <c r="A437" s="130"/>
      <c r="B437" s="117"/>
      <c r="C437" s="117"/>
      <c r="V437" s="234"/>
      <c r="AC437" s="234"/>
      <c r="AJ437" s="234"/>
      <c r="AQ437" s="234"/>
      <c r="AX437" s="234"/>
      <c r="BD437" s="120"/>
      <c r="BE437" s="234"/>
      <c r="BK437" s="120"/>
      <c r="BT437" s="121"/>
    </row>
    <row r="438" spans="1:72" s="119" customFormat="1">
      <c r="A438" s="130"/>
      <c r="B438" s="117"/>
      <c r="C438" s="117"/>
      <c r="V438" s="234"/>
      <c r="AC438" s="234"/>
      <c r="AJ438" s="234"/>
      <c r="AQ438" s="234"/>
      <c r="AX438" s="234"/>
      <c r="BD438" s="120"/>
      <c r="BE438" s="234"/>
      <c r="BK438" s="120"/>
      <c r="BT438" s="121"/>
    </row>
    <row r="439" spans="1:72" s="119" customFormat="1">
      <c r="A439" s="130"/>
      <c r="B439" s="117"/>
      <c r="C439" s="117"/>
      <c r="V439" s="234"/>
      <c r="AC439" s="234"/>
      <c r="AJ439" s="234"/>
      <c r="AQ439" s="234"/>
      <c r="AX439" s="234"/>
      <c r="BD439" s="120"/>
      <c r="BE439" s="234"/>
      <c r="BK439" s="120"/>
      <c r="BT439" s="121"/>
    </row>
    <row r="440" spans="1:72" s="119" customFormat="1">
      <c r="A440" s="130"/>
      <c r="B440" s="117"/>
      <c r="C440" s="117"/>
      <c r="V440" s="234"/>
      <c r="AC440" s="234"/>
      <c r="AJ440" s="234"/>
      <c r="AQ440" s="234"/>
      <c r="AX440" s="234"/>
      <c r="BD440" s="120"/>
      <c r="BE440" s="234"/>
      <c r="BK440" s="120"/>
      <c r="BT440" s="121"/>
    </row>
    <row r="441" spans="1:72" s="119" customFormat="1">
      <c r="A441" s="130"/>
      <c r="B441" s="117"/>
      <c r="C441" s="117"/>
      <c r="V441" s="234"/>
      <c r="AC441" s="234"/>
      <c r="AJ441" s="234"/>
      <c r="AQ441" s="234"/>
      <c r="AX441" s="234"/>
      <c r="BD441" s="120"/>
      <c r="BE441" s="234"/>
      <c r="BK441" s="120"/>
      <c r="BT441" s="121"/>
    </row>
    <row r="442" spans="1:72" s="119" customFormat="1">
      <c r="A442" s="130"/>
      <c r="B442" s="117"/>
      <c r="C442" s="117"/>
      <c r="V442" s="234"/>
      <c r="AC442" s="234"/>
      <c r="AJ442" s="234"/>
      <c r="AQ442" s="234"/>
      <c r="AX442" s="234"/>
      <c r="BD442" s="120"/>
      <c r="BE442" s="234"/>
      <c r="BK442" s="120"/>
      <c r="BT442" s="121"/>
    </row>
    <row r="443" spans="1:72" s="119" customFormat="1">
      <c r="A443" s="130"/>
      <c r="B443" s="117"/>
      <c r="C443" s="117"/>
      <c r="V443" s="234"/>
      <c r="AC443" s="234"/>
      <c r="AJ443" s="234"/>
      <c r="AQ443" s="234"/>
      <c r="AX443" s="234"/>
      <c r="BD443" s="120"/>
      <c r="BE443" s="234"/>
      <c r="BK443" s="120"/>
      <c r="BT443" s="121"/>
    </row>
    <row r="444" spans="1:72" s="119" customFormat="1">
      <c r="A444" s="130"/>
      <c r="B444" s="117"/>
      <c r="C444" s="117"/>
      <c r="V444" s="234"/>
      <c r="AC444" s="234"/>
      <c r="AJ444" s="234"/>
      <c r="AQ444" s="234"/>
      <c r="AX444" s="234"/>
      <c r="BD444" s="120"/>
      <c r="BE444" s="234"/>
      <c r="BK444" s="120"/>
      <c r="BT444" s="121"/>
    </row>
    <row r="445" spans="1:72" s="119" customFormat="1">
      <c r="A445" s="130"/>
      <c r="B445" s="117"/>
      <c r="C445" s="117"/>
      <c r="V445" s="234"/>
      <c r="AC445" s="234"/>
      <c r="AJ445" s="234"/>
      <c r="AQ445" s="234"/>
      <c r="AX445" s="234"/>
      <c r="BD445" s="120"/>
      <c r="BE445" s="234"/>
      <c r="BK445" s="120"/>
      <c r="BT445" s="121"/>
    </row>
    <row r="446" spans="1:72" s="119" customFormat="1">
      <c r="A446" s="130"/>
      <c r="B446" s="117"/>
      <c r="C446" s="117"/>
      <c r="V446" s="234"/>
      <c r="AC446" s="234"/>
      <c r="AJ446" s="234"/>
      <c r="AQ446" s="234"/>
      <c r="AX446" s="234"/>
      <c r="BD446" s="120"/>
      <c r="BE446" s="234"/>
      <c r="BK446" s="120"/>
      <c r="BT446" s="121"/>
    </row>
    <row r="447" spans="1:72" s="119" customFormat="1">
      <c r="A447" s="130"/>
      <c r="B447" s="117"/>
      <c r="C447" s="117"/>
      <c r="V447" s="234"/>
      <c r="AC447" s="234"/>
      <c r="AJ447" s="234"/>
      <c r="AQ447" s="234"/>
      <c r="AX447" s="234"/>
      <c r="BD447" s="120"/>
      <c r="BE447" s="234"/>
      <c r="BK447" s="120"/>
      <c r="BT447" s="121"/>
    </row>
    <row r="448" spans="1:72" s="119" customFormat="1">
      <c r="A448" s="130"/>
      <c r="B448" s="117"/>
      <c r="C448" s="117"/>
      <c r="V448" s="234"/>
      <c r="AC448" s="234"/>
      <c r="AJ448" s="234"/>
      <c r="AQ448" s="234"/>
      <c r="AX448" s="234"/>
      <c r="BD448" s="120"/>
      <c r="BE448" s="234"/>
      <c r="BK448" s="120"/>
      <c r="BT448" s="121"/>
    </row>
    <row r="449" spans="1:72" s="119" customFormat="1">
      <c r="A449" s="130"/>
      <c r="B449" s="117"/>
      <c r="C449" s="117"/>
      <c r="V449" s="234"/>
      <c r="AC449" s="234"/>
      <c r="AJ449" s="234"/>
      <c r="AQ449" s="234"/>
      <c r="AX449" s="234"/>
      <c r="BD449" s="120"/>
      <c r="BE449" s="234"/>
      <c r="BK449" s="120"/>
      <c r="BT449" s="121"/>
    </row>
    <row r="450" spans="1:72" s="119" customFormat="1">
      <c r="A450" s="130"/>
      <c r="B450" s="117"/>
      <c r="C450" s="117"/>
      <c r="V450" s="234"/>
      <c r="AC450" s="234"/>
      <c r="AJ450" s="234"/>
      <c r="AQ450" s="234"/>
      <c r="AX450" s="234"/>
      <c r="BD450" s="120"/>
      <c r="BE450" s="234"/>
      <c r="BK450" s="120"/>
      <c r="BT450" s="121"/>
    </row>
    <row r="451" spans="1:72" s="119" customFormat="1">
      <c r="A451" s="130"/>
      <c r="B451" s="117"/>
      <c r="C451" s="117"/>
      <c r="V451" s="234"/>
      <c r="AC451" s="234"/>
      <c r="AJ451" s="234"/>
      <c r="AQ451" s="234"/>
      <c r="AX451" s="234"/>
      <c r="BD451" s="120"/>
      <c r="BE451" s="234"/>
      <c r="BK451" s="120"/>
      <c r="BT451" s="121"/>
    </row>
    <row r="452" spans="1:72" s="119" customFormat="1">
      <c r="A452" s="130"/>
      <c r="B452" s="117"/>
      <c r="C452" s="117"/>
      <c r="V452" s="234"/>
      <c r="AC452" s="234"/>
      <c r="AJ452" s="234"/>
      <c r="AQ452" s="234"/>
      <c r="AX452" s="234"/>
      <c r="BD452" s="120"/>
      <c r="BE452" s="234"/>
      <c r="BK452" s="120"/>
      <c r="BT452" s="121"/>
    </row>
    <row r="453" spans="1:72" s="119" customFormat="1">
      <c r="A453" s="130"/>
      <c r="B453" s="117"/>
      <c r="C453" s="117"/>
      <c r="V453" s="234"/>
      <c r="AC453" s="234"/>
      <c r="AJ453" s="234"/>
      <c r="AQ453" s="234"/>
      <c r="AX453" s="234"/>
      <c r="BD453" s="120"/>
      <c r="BE453" s="234"/>
      <c r="BK453" s="120"/>
      <c r="BT453" s="121"/>
    </row>
    <row r="454" spans="1:72" s="119" customFormat="1">
      <c r="A454" s="130"/>
      <c r="B454" s="117"/>
      <c r="C454" s="117"/>
      <c r="V454" s="234"/>
      <c r="AC454" s="234"/>
      <c r="AJ454" s="234"/>
      <c r="AQ454" s="234"/>
      <c r="AX454" s="234"/>
      <c r="BD454" s="120"/>
      <c r="BE454" s="234"/>
      <c r="BK454" s="120"/>
      <c r="BT454" s="121"/>
    </row>
    <row r="455" spans="1:72" s="119" customFormat="1">
      <c r="A455" s="130"/>
      <c r="B455" s="117"/>
      <c r="C455" s="117"/>
      <c r="V455" s="234"/>
      <c r="AC455" s="234"/>
      <c r="AJ455" s="234"/>
      <c r="AQ455" s="234"/>
      <c r="AX455" s="234"/>
      <c r="BD455" s="120"/>
      <c r="BE455" s="234"/>
      <c r="BK455" s="120"/>
      <c r="BT455" s="121"/>
    </row>
    <row r="456" spans="1:72" s="119" customFormat="1">
      <c r="A456" s="130"/>
      <c r="B456" s="117"/>
      <c r="C456" s="117"/>
      <c r="V456" s="234"/>
      <c r="AC456" s="234"/>
      <c r="AJ456" s="234"/>
      <c r="AQ456" s="234"/>
      <c r="AX456" s="234"/>
      <c r="BD456" s="120"/>
      <c r="BE456" s="234"/>
      <c r="BK456" s="120"/>
      <c r="BT456" s="121"/>
    </row>
    <row r="457" spans="1:72" s="119" customFormat="1">
      <c r="A457" s="130"/>
      <c r="B457" s="117"/>
      <c r="C457" s="117"/>
      <c r="V457" s="234"/>
      <c r="AC457" s="234"/>
      <c r="AJ457" s="234"/>
      <c r="AQ457" s="234"/>
      <c r="AX457" s="234"/>
      <c r="BD457" s="120"/>
      <c r="BE457" s="234"/>
      <c r="BK457" s="120"/>
      <c r="BT457" s="121"/>
    </row>
    <row r="458" spans="1:72" s="119" customFormat="1">
      <c r="A458" s="130"/>
      <c r="B458" s="117"/>
      <c r="C458" s="117"/>
      <c r="V458" s="234"/>
      <c r="AC458" s="234"/>
      <c r="AJ458" s="234"/>
      <c r="AQ458" s="234"/>
      <c r="AX458" s="234"/>
      <c r="BD458" s="120"/>
      <c r="BE458" s="234"/>
      <c r="BK458" s="120"/>
      <c r="BT458" s="121"/>
    </row>
    <row r="459" spans="1:72" s="119" customFormat="1">
      <c r="A459" s="130"/>
      <c r="B459" s="117"/>
      <c r="C459" s="117"/>
      <c r="V459" s="234"/>
      <c r="AC459" s="234"/>
      <c r="AJ459" s="234"/>
      <c r="AQ459" s="234"/>
      <c r="AX459" s="234"/>
      <c r="BD459" s="120"/>
      <c r="BE459" s="234"/>
      <c r="BK459" s="120"/>
      <c r="BT459" s="121"/>
    </row>
    <row r="460" spans="1:72" s="119" customFormat="1">
      <c r="A460" s="130"/>
      <c r="B460" s="117"/>
      <c r="C460" s="117"/>
      <c r="V460" s="234"/>
      <c r="AC460" s="234"/>
      <c r="AJ460" s="234"/>
      <c r="AQ460" s="234"/>
      <c r="AX460" s="234"/>
      <c r="BD460" s="120"/>
      <c r="BE460" s="234"/>
      <c r="BK460" s="120"/>
      <c r="BT460" s="121"/>
    </row>
    <row r="461" spans="1:72" s="119" customFormat="1">
      <c r="A461" s="130"/>
      <c r="B461" s="117"/>
      <c r="C461" s="117"/>
      <c r="V461" s="234"/>
      <c r="AC461" s="234"/>
      <c r="AJ461" s="234"/>
      <c r="AQ461" s="234"/>
      <c r="AX461" s="234"/>
      <c r="BD461" s="120"/>
      <c r="BE461" s="234"/>
      <c r="BK461" s="120"/>
      <c r="BT461" s="121"/>
    </row>
    <row r="462" spans="1:72" s="119" customFormat="1">
      <c r="A462" s="130"/>
      <c r="B462" s="117"/>
      <c r="C462" s="117"/>
      <c r="V462" s="234"/>
      <c r="AC462" s="234"/>
      <c r="AJ462" s="234"/>
      <c r="AQ462" s="234"/>
      <c r="AX462" s="234"/>
      <c r="BD462" s="120"/>
      <c r="BE462" s="234"/>
      <c r="BK462" s="120"/>
      <c r="BT462" s="121"/>
    </row>
    <row r="463" spans="1:72" s="119" customFormat="1">
      <c r="A463" s="130"/>
      <c r="B463" s="117"/>
      <c r="C463" s="117"/>
      <c r="V463" s="234"/>
      <c r="AC463" s="234"/>
      <c r="AJ463" s="234"/>
      <c r="AQ463" s="234"/>
      <c r="AX463" s="234"/>
      <c r="BD463" s="120"/>
      <c r="BE463" s="234"/>
      <c r="BK463" s="120"/>
      <c r="BT463" s="121"/>
    </row>
    <row r="464" spans="1:72" s="119" customFormat="1">
      <c r="A464" s="130"/>
      <c r="B464" s="117"/>
      <c r="C464" s="117"/>
      <c r="V464" s="234"/>
      <c r="AC464" s="234"/>
      <c r="AJ464" s="234"/>
      <c r="AQ464" s="234"/>
      <c r="AX464" s="234"/>
      <c r="BD464" s="120"/>
      <c r="BE464" s="234"/>
      <c r="BK464" s="120"/>
      <c r="BT464" s="121"/>
    </row>
    <row r="465" spans="1:72" s="119" customFormat="1">
      <c r="A465" s="130"/>
      <c r="B465" s="117"/>
      <c r="C465" s="117"/>
      <c r="V465" s="234"/>
      <c r="AC465" s="234"/>
      <c r="AJ465" s="234"/>
      <c r="AQ465" s="234"/>
      <c r="AX465" s="234"/>
      <c r="BD465" s="120"/>
      <c r="BE465" s="234"/>
      <c r="BK465" s="120"/>
      <c r="BT465" s="121"/>
    </row>
    <row r="466" spans="1:72" s="119" customFormat="1">
      <c r="A466" s="130"/>
      <c r="B466" s="117"/>
      <c r="C466" s="117"/>
      <c r="V466" s="234"/>
      <c r="AC466" s="234"/>
      <c r="AJ466" s="234"/>
      <c r="AQ466" s="234"/>
      <c r="AX466" s="234"/>
      <c r="BD466" s="120"/>
      <c r="BE466" s="234"/>
      <c r="BK466" s="120"/>
      <c r="BT466" s="121"/>
    </row>
    <row r="467" spans="1:72" s="119" customFormat="1">
      <c r="A467" s="130"/>
      <c r="B467" s="117"/>
      <c r="C467" s="117"/>
      <c r="V467" s="234"/>
      <c r="AC467" s="234"/>
      <c r="AJ467" s="234"/>
      <c r="AQ467" s="234"/>
      <c r="AX467" s="234"/>
      <c r="BD467" s="120"/>
      <c r="BE467" s="234"/>
      <c r="BK467" s="120"/>
      <c r="BT467" s="121"/>
    </row>
    <row r="468" spans="1:72" s="119" customFormat="1">
      <c r="A468" s="130"/>
      <c r="B468" s="117"/>
      <c r="C468" s="117"/>
      <c r="V468" s="234"/>
      <c r="AC468" s="234"/>
      <c r="AJ468" s="234"/>
      <c r="AQ468" s="234"/>
      <c r="AX468" s="234"/>
      <c r="BD468" s="120"/>
      <c r="BE468" s="234"/>
      <c r="BK468" s="120"/>
      <c r="BT468" s="121"/>
    </row>
    <row r="469" spans="1:72" s="119" customFormat="1">
      <c r="A469" s="130"/>
      <c r="B469" s="117"/>
      <c r="C469" s="117"/>
      <c r="V469" s="234"/>
      <c r="AC469" s="234"/>
      <c r="AJ469" s="234"/>
      <c r="AQ469" s="234"/>
      <c r="AX469" s="234"/>
      <c r="BD469" s="120"/>
      <c r="BE469" s="234"/>
      <c r="BK469" s="120"/>
      <c r="BT469" s="121"/>
    </row>
    <row r="470" spans="1:72" s="119" customFormat="1">
      <c r="A470" s="130"/>
      <c r="B470" s="117"/>
      <c r="C470" s="117"/>
      <c r="V470" s="234"/>
      <c r="AC470" s="234"/>
      <c r="AJ470" s="234"/>
      <c r="AQ470" s="234"/>
      <c r="AX470" s="234"/>
      <c r="BD470" s="120"/>
      <c r="BE470" s="234"/>
      <c r="BK470" s="120"/>
      <c r="BT470" s="121"/>
    </row>
    <row r="471" spans="1:72" s="119" customFormat="1">
      <c r="A471" s="130"/>
      <c r="B471" s="117"/>
      <c r="C471" s="117"/>
      <c r="V471" s="234"/>
      <c r="AC471" s="234"/>
      <c r="AJ471" s="234"/>
      <c r="AQ471" s="234"/>
      <c r="AX471" s="234"/>
      <c r="BD471" s="120"/>
      <c r="BE471" s="234"/>
      <c r="BK471" s="120"/>
      <c r="BT471" s="121"/>
    </row>
    <row r="472" spans="1:72" s="119" customFormat="1">
      <c r="A472" s="130"/>
      <c r="B472" s="117"/>
      <c r="C472" s="117"/>
      <c r="V472" s="234"/>
      <c r="AC472" s="234"/>
      <c r="AJ472" s="234"/>
      <c r="AQ472" s="234"/>
      <c r="AX472" s="234"/>
      <c r="BD472" s="120"/>
      <c r="BE472" s="234"/>
      <c r="BK472" s="120"/>
      <c r="BT472" s="121"/>
    </row>
    <row r="473" spans="1:72" s="119" customFormat="1">
      <c r="A473" s="130"/>
      <c r="B473" s="117"/>
      <c r="C473" s="117"/>
      <c r="V473" s="234"/>
      <c r="AC473" s="234"/>
      <c r="AJ473" s="234"/>
      <c r="AQ473" s="234"/>
      <c r="AX473" s="234"/>
      <c r="BD473" s="120"/>
      <c r="BE473" s="234"/>
      <c r="BK473" s="120"/>
      <c r="BT473" s="121"/>
    </row>
    <row r="474" spans="1:72" s="119" customFormat="1">
      <c r="A474" s="130"/>
      <c r="B474" s="117"/>
      <c r="C474" s="117"/>
      <c r="V474" s="234"/>
      <c r="AC474" s="234"/>
      <c r="AJ474" s="234"/>
      <c r="AQ474" s="234"/>
      <c r="AX474" s="234"/>
      <c r="BD474" s="120"/>
      <c r="BE474" s="234"/>
      <c r="BK474" s="120"/>
      <c r="BT474" s="121"/>
    </row>
    <row r="475" spans="1:72" s="119" customFormat="1">
      <c r="A475" s="130"/>
      <c r="B475" s="117"/>
      <c r="C475" s="117"/>
      <c r="V475" s="234"/>
      <c r="AC475" s="234"/>
      <c r="AJ475" s="234"/>
      <c r="AQ475" s="234"/>
      <c r="AX475" s="234"/>
      <c r="BD475" s="120"/>
      <c r="BE475" s="234"/>
      <c r="BK475" s="120"/>
      <c r="BT475" s="121"/>
    </row>
    <row r="476" spans="1:72" s="119" customFormat="1">
      <c r="A476" s="130"/>
      <c r="B476" s="117"/>
      <c r="C476" s="117"/>
      <c r="V476" s="234"/>
      <c r="AC476" s="234"/>
      <c r="AJ476" s="234"/>
      <c r="AQ476" s="234"/>
      <c r="AX476" s="234"/>
      <c r="BD476" s="120"/>
      <c r="BE476" s="234"/>
      <c r="BK476" s="120"/>
      <c r="BT476" s="121"/>
    </row>
    <row r="477" spans="1:72" s="119" customFormat="1">
      <c r="A477" s="130"/>
      <c r="B477" s="117"/>
      <c r="C477" s="117"/>
      <c r="V477" s="234"/>
      <c r="AC477" s="234"/>
      <c r="AJ477" s="234"/>
      <c r="AQ477" s="234"/>
      <c r="AX477" s="234"/>
      <c r="BD477" s="120"/>
      <c r="BE477" s="234"/>
      <c r="BK477" s="120"/>
      <c r="BT477" s="121"/>
    </row>
    <row r="478" spans="1:72" s="119" customFormat="1">
      <c r="A478" s="130"/>
      <c r="B478" s="117"/>
      <c r="C478" s="117"/>
      <c r="V478" s="234"/>
      <c r="AC478" s="234"/>
      <c r="AJ478" s="234"/>
      <c r="AQ478" s="234"/>
      <c r="AX478" s="234"/>
      <c r="BD478" s="120"/>
      <c r="BE478" s="234"/>
      <c r="BK478" s="120"/>
      <c r="BT478" s="121"/>
    </row>
    <row r="479" spans="1:72" s="119" customFormat="1">
      <c r="A479" s="130"/>
      <c r="B479" s="117"/>
      <c r="C479" s="117"/>
      <c r="V479" s="234"/>
      <c r="AC479" s="234"/>
      <c r="AJ479" s="234"/>
      <c r="AQ479" s="234"/>
      <c r="AX479" s="234"/>
      <c r="BD479" s="120"/>
      <c r="BE479" s="234"/>
      <c r="BK479" s="120"/>
      <c r="BT479" s="121"/>
    </row>
    <row r="480" spans="1:72" s="119" customFormat="1">
      <c r="A480" s="130"/>
      <c r="B480" s="117"/>
      <c r="C480" s="117"/>
      <c r="V480" s="234"/>
      <c r="AC480" s="234"/>
      <c r="AJ480" s="234"/>
      <c r="AQ480" s="234"/>
      <c r="AX480" s="234"/>
      <c r="BD480" s="120"/>
      <c r="BE480" s="234"/>
      <c r="BK480" s="120"/>
      <c r="BT480" s="121"/>
    </row>
    <row r="481" spans="1:72" s="119" customFormat="1">
      <c r="A481" s="130"/>
      <c r="B481" s="117"/>
      <c r="C481" s="117"/>
      <c r="V481" s="234"/>
      <c r="AC481" s="234"/>
      <c r="AJ481" s="234"/>
      <c r="AQ481" s="234"/>
      <c r="AX481" s="234"/>
      <c r="BD481" s="120"/>
      <c r="BE481" s="234"/>
      <c r="BK481" s="120"/>
      <c r="BT481" s="121"/>
    </row>
    <row r="482" spans="1:72" s="119" customFormat="1">
      <c r="A482" s="130"/>
      <c r="B482" s="117"/>
      <c r="C482" s="117"/>
      <c r="V482" s="234"/>
      <c r="AC482" s="234"/>
      <c r="AJ482" s="234"/>
      <c r="AQ482" s="234"/>
      <c r="AX482" s="234"/>
      <c r="BD482" s="120"/>
      <c r="BE482" s="234"/>
      <c r="BK482" s="120"/>
      <c r="BT482" s="121"/>
    </row>
    <row r="483" spans="1:72" s="119" customFormat="1">
      <c r="A483" s="130"/>
      <c r="B483" s="117"/>
      <c r="C483" s="117"/>
      <c r="V483" s="234"/>
      <c r="AC483" s="234"/>
      <c r="AJ483" s="234"/>
      <c r="AQ483" s="234"/>
      <c r="AX483" s="234"/>
      <c r="BD483" s="120"/>
      <c r="BE483" s="234"/>
      <c r="BK483" s="120"/>
      <c r="BT483" s="121"/>
    </row>
    <row r="484" spans="1:72" s="119" customFormat="1">
      <c r="A484" s="130"/>
      <c r="B484" s="117"/>
      <c r="C484" s="117"/>
      <c r="V484" s="234"/>
      <c r="AC484" s="234"/>
      <c r="AJ484" s="234"/>
      <c r="AQ484" s="234"/>
      <c r="AX484" s="234"/>
      <c r="BD484" s="120"/>
      <c r="BE484" s="234"/>
      <c r="BK484" s="120"/>
      <c r="BT484" s="121"/>
    </row>
    <row r="485" spans="1:72" s="119" customFormat="1">
      <c r="A485" s="130"/>
      <c r="B485" s="117"/>
      <c r="C485" s="117"/>
      <c r="V485" s="234"/>
      <c r="AC485" s="234"/>
      <c r="AJ485" s="234"/>
      <c r="AQ485" s="234"/>
      <c r="AX485" s="234"/>
      <c r="BD485" s="120"/>
      <c r="BE485" s="234"/>
      <c r="BK485" s="120"/>
      <c r="BT485" s="121"/>
    </row>
    <row r="486" spans="1:72" s="119" customFormat="1">
      <c r="A486" s="130"/>
      <c r="B486" s="117"/>
      <c r="C486" s="117"/>
      <c r="V486" s="234"/>
      <c r="AC486" s="234"/>
      <c r="AJ486" s="234"/>
      <c r="AQ486" s="234"/>
      <c r="AX486" s="234"/>
      <c r="BD486" s="120"/>
      <c r="BE486" s="234"/>
      <c r="BK486" s="120"/>
      <c r="BT486" s="121"/>
    </row>
    <row r="487" spans="1:72" s="119" customFormat="1">
      <c r="A487" s="130"/>
      <c r="B487" s="117"/>
      <c r="C487" s="117"/>
      <c r="V487" s="234"/>
      <c r="AC487" s="234"/>
      <c r="AJ487" s="234"/>
      <c r="AQ487" s="234"/>
      <c r="AX487" s="234"/>
      <c r="BD487" s="120"/>
      <c r="BE487" s="234"/>
      <c r="BK487" s="120"/>
      <c r="BT487" s="121"/>
    </row>
    <row r="488" spans="1:72" s="119" customFormat="1">
      <c r="A488" s="130"/>
      <c r="B488" s="117"/>
      <c r="C488" s="117"/>
      <c r="V488" s="234"/>
      <c r="AC488" s="234"/>
      <c r="AJ488" s="234"/>
      <c r="AQ488" s="234"/>
      <c r="AX488" s="234"/>
      <c r="BD488" s="120"/>
      <c r="BE488" s="234"/>
      <c r="BK488" s="120"/>
      <c r="BT488" s="121"/>
    </row>
    <row r="489" spans="1:72" s="119" customFormat="1">
      <c r="A489" s="130"/>
      <c r="B489" s="117"/>
      <c r="C489" s="117"/>
      <c r="V489" s="234"/>
      <c r="AC489" s="234"/>
      <c r="AJ489" s="234"/>
      <c r="AQ489" s="234"/>
      <c r="AX489" s="234"/>
      <c r="BD489" s="120"/>
      <c r="BE489" s="234"/>
      <c r="BK489" s="120"/>
      <c r="BT489" s="121"/>
    </row>
    <row r="490" spans="1:72" s="119" customFormat="1">
      <c r="A490" s="130"/>
      <c r="B490" s="117"/>
      <c r="C490" s="117"/>
      <c r="V490" s="234"/>
      <c r="AC490" s="234"/>
      <c r="AJ490" s="234"/>
      <c r="AQ490" s="234"/>
      <c r="AX490" s="234"/>
      <c r="BD490" s="120"/>
      <c r="BE490" s="234"/>
      <c r="BK490" s="120"/>
      <c r="BT490" s="121"/>
    </row>
    <row r="491" spans="1:72" s="119" customFormat="1">
      <c r="A491" s="130"/>
      <c r="B491" s="117"/>
      <c r="C491" s="117"/>
      <c r="V491" s="234"/>
      <c r="AC491" s="234"/>
      <c r="AJ491" s="234"/>
      <c r="AQ491" s="234"/>
      <c r="AX491" s="234"/>
      <c r="BD491" s="120"/>
      <c r="BE491" s="234"/>
      <c r="BK491" s="120"/>
      <c r="BT491" s="121"/>
    </row>
    <row r="492" spans="1:72" s="119" customFormat="1">
      <c r="A492" s="130"/>
      <c r="B492" s="117"/>
      <c r="C492" s="117"/>
      <c r="V492" s="234"/>
      <c r="AC492" s="234"/>
      <c r="AJ492" s="234"/>
      <c r="AQ492" s="234"/>
      <c r="AX492" s="234"/>
      <c r="BD492" s="120"/>
      <c r="BE492" s="234"/>
      <c r="BK492" s="120"/>
      <c r="BT492" s="121"/>
    </row>
    <row r="493" spans="1:72" s="119" customFormat="1">
      <c r="A493" s="130"/>
      <c r="B493" s="117"/>
      <c r="C493" s="117"/>
      <c r="V493" s="234"/>
      <c r="AC493" s="234"/>
      <c r="AJ493" s="234"/>
      <c r="AQ493" s="234"/>
      <c r="AX493" s="234"/>
      <c r="BD493" s="120"/>
      <c r="BE493" s="234"/>
      <c r="BK493" s="120"/>
      <c r="BT493" s="121"/>
    </row>
    <row r="494" spans="1:72" s="119" customFormat="1">
      <c r="A494" s="130"/>
      <c r="B494" s="117"/>
      <c r="C494" s="117"/>
      <c r="V494" s="234"/>
      <c r="AC494" s="234"/>
      <c r="AJ494" s="234"/>
      <c r="AQ494" s="234"/>
      <c r="AX494" s="234"/>
      <c r="BD494" s="120"/>
      <c r="BE494" s="234"/>
      <c r="BK494" s="120"/>
      <c r="BT494" s="121"/>
    </row>
    <row r="495" spans="1:72" s="119" customFormat="1">
      <c r="A495" s="130"/>
      <c r="B495" s="117"/>
      <c r="C495" s="117"/>
      <c r="V495" s="234"/>
      <c r="AC495" s="234"/>
      <c r="AJ495" s="234"/>
      <c r="AQ495" s="234"/>
      <c r="AX495" s="234"/>
      <c r="BD495" s="120"/>
      <c r="BE495" s="234"/>
      <c r="BK495" s="120"/>
      <c r="BT495" s="121"/>
    </row>
    <row r="496" spans="1:72" s="119" customFormat="1">
      <c r="A496" s="130"/>
      <c r="B496" s="117"/>
      <c r="C496" s="117"/>
      <c r="V496" s="234"/>
      <c r="AC496" s="234"/>
      <c r="AJ496" s="234"/>
      <c r="AQ496" s="234"/>
      <c r="AX496" s="234"/>
      <c r="BD496" s="120"/>
      <c r="BE496" s="234"/>
      <c r="BK496" s="120"/>
      <c r="BT496" s="121"/>
    </row>
    <row r="497" spans="1:72" s="119" customFormat="1">
      <c r="A497" s="130"/>
      <c r="B497" s="117"/>
      <c r="C497" s="117"/>
      <c r="V497" s="234"/>
      <c r="AC497" s="234"/>
      <c r="AJ497" s="234"/>
      <c r="AQ497" s="234"/>
      <c r="AX497" s="234"/>
      <c r="BD497" s="120"/>
      <c r="BE497" s="234"/>
      <c r="BK497" s="120"/>
      <c r="BT497" s="121"/>
    </row>
    <row r="498" spans="1:72" s="119" customFormat="1">
      <c r="A498" s="130"/>
      <c r="B498" s="117"/>
      <c r="C498" s="117"/>
      <c r="V498" s="234"/>
      <c r="AC498" s="234"/>
      <c r="AJ498" s="234"/>
      <c r="AQ498" s="234"/>
      <c r="AX498" s="234"/>
      <c r="BD498" s="120"/>
      <c r="BE498" s="234"/>
      <c r="BK498" s="120"/>
      <c r="BT498" s="121"/>
    </row>
    <row r="499" spans="1:72" s="119" customFormat="1">
      <c r="A499" s="130"/>
      <c r="B499" s="117"/>
      <c r="C499" s="117"/>
      <c r="V499" s="234"/>
      <c r="AC499" s="234"/>
      <c r="AJ499" s="234"/>
      <c r="AQ499" s="234"/>
      <c r="AX499" s="234"/>
      <c r="BD499" s="120"/>
      <c r="BE499" s="234"/>
      <c r="BK499" s="120"/>
      <c r="BT499" s="121"/>
    </row>
    <row r="500" spans="1:72" s="119" customFormat="1">
      <c r="A500" s="130"/>
      <c r="B500" s="117"/>
      <c r="C500" s="117"/>
      <c r="V500" s="234"/>
      <c r="AC500" s="234"/>
      <c r="AJ500" s="234"/>
      <c r="AQ500" s="234"/>
      <c r="AX500" s="234"/>
      <c r="BD500" s="120"/>
      <c r="BE500" s="234"/>
      <c r="BK500" s="120"/>
      <c r="BT500" s="121"/>
    </row>
    <row r="501" spans="1:72" s="119" customFormat="1">
      <c r="A501" s="130"/>
      <c r="B501" s="117"/>
      <c r="C501" s="117"/>
      <c r="V501" s="234"/>
      <c r="AC501" s="234"/>
      <c r="AJ501" s="234"/>
      <c r="AQ501" s="234"/>
      <c r="AX501" s="234"/>
      <c r="BD501" s="120"/>
      <c r="BE501" s="234"/>
      <c r="BK501" s="120"/>
      <c r="BT501" s="121"/>
    </row>
    <row r="502" spans="1:72" s="119" customFormat="1">
      <c r="A502" s="130"/>
      <c r="B502" s="117"/>
      <c r="C502" s="117"/>
      <c r="V502" s="234"/>
      <c r="AC502" s="234"/>
      <c r="AJ502" s="234"/>
      <c r="AQ502" s="234"/>
      <c r="AX502" s="234"/>
      <c r="BD502" s="120"/>
      <c r="BE502" s="234"/>
      <c r="BK502" s="120"/>
      <c r="BT502" s="121"/>
    </row>
    <row r="503" spans="1:72" s="119" customFormat="1">
      <c r="A503" s="130"/>
      <c r="B503" s="117"/>
      <c r="C503" s="117"/>
      <c r="V503" s="234"/>
      <c r="AC503" s="234"/>
      <c r="AJ503" s="234"/>
      <c r="AQ503" s="234"/>
      <c r="AX503" s="234"/>
      <c r="BD503" s="120"/>
      <c r="BE503" s="234"/>
      <c r="BK503" s="120"/>
      <c r="BT503" s="121"/>
    </row>
    <row r="504" spans="1:72" s="119" customFormat="1">
      <c r="A504" s="130"/>
      <c r="B504" s="117"/>
      <c r="C504" s="117"/>
      <c r="V504" s="234"/>
      <c r="AC504" s="234"/>
      <c r="AJ504" s="234"/>
      <c r="AQ504" s="234"/>
      <c r="AX504" s="234"/>
      <c r="BD504" s="120"/>
      <c r="BE504" s="234"/>
      <c r="BK504" s="120"/>
      <c r="BT504" s="121"/>
    </row>
    <row r="505" spans="1:72" s="119" customFormat="1">
      <c r="A505" s="130"/>
      <c r="B505" s="117"/>
      <c r="C505" s="117"/>
      <c r="V505" s="234"/>
      <c r="AC505" s="234"/>
      <c r="AJ505" s="234"/>
      <c r="AQ505" s="234"/>
      <c r="AX505" s="234"/>
      <c r="BD505" s="120"/>
      <c r="BE505" s="234"/>
      <c r="BK505" s="120"/>
      <c r="BT505" s="121"/>
    </row>
    <row r="506" spans="1:72" s="119" customFormat="1">
      <c r="A506" s="130"/>
      <c r="B506" s="117"/>
      <c r="C506" s="117"/>
      <c r="V506" s="234"/>
      <c r="AC506" s="234"/>
      <c r="AJ506" s="234"/>
      <c r="AQ506" s="234"/>
      <c r="AX506" s="234"/>
      <c r="BD506" s="120"/>
      <c r="BE506" s="234"/>
      <c r="BK506" s="120"/>
      <c r="BT506" s="121"/>
    </row>
    <row r="507" spans="1:72" s="119" customFormat="1">
      <c r="A507" s="130"/>
      <c r="B507" s="117"/>
      <c r="C507" s="117"/>
      <c r="V507" s="234"/>
      <c r="AC507" s="234"/>
      <c r="AJ507" s="234"/>
      <c r="AQ507" s="234"/>
      <c r="AX507" s="234"/>
      <c r="BD507" s="120"/>
      <c r="BE507" s="234"/>
      <c r="BK507" s="120"/>
      <c r="BT507" s="121"/>
    </row>
    <row r="508" spans="1:72" s="119" customFormat="1">
      <c r="A508" s="130"/>
      <c r="B508" s="117"/>
      <c r="C508" s="117"/>
      <c r="V508" s="234"/>
      <c r="AC508" s="234"/>
      <c r="AJ508" s="234"/>
      <c r="AQ508" s="234"/>
      <c r="AX508" s="234"/>
      <c r="BD508" s="120"/>
      <c r="BE508" s="234"/>
      <c r="BK508" s="120"/>
      <c r="BT508" s="121"/>
    </row>
    <row r="509" spans="1:72" s="119" customFormat="1">
      <c r="A509" s="130"/>
      <c r="B509" s="117"/>
      <c r="C509" s="117"/>
      <c r="V509" s="234"/>
      <c r="AC509" s="234"/>
      <c r="AJ509" s="234"/>
      <c r="AQ509" s="234"/>
      <c r="AX509" s="234"/>
      <c r="BD509" s="120"/>
      <c r="BE509" s="234"/>
      <c r="BK509" s="120"/>
      <c r="BT509" s="121"/>
    </row>
    <row r="510" spans="1:72" s="119" customFormat="1">
      <c r="A510" s="130"/>
      <c r="B510" s="117"/>
      <c r="C510" s="117"/>
      <c r="V510" s="234"/>
      <c r="AC510" s="234"/>
      <c r="AJ510" s="234"/>
      <c r="AQ510" s="234"/>
      <c r="AX510" s="234"/>
      <c r="BD510" s="120"/>
      <c r="BE510" s="234"/>
      <c r="BK510" s="120"/>
      <c r="BT510" s="121"/>
    </row>
    <row r="511" spans="1:72" s="119" customFormat="1">
      <c r="A511" s="130"/>
      <c r="B511" s="117"/>
      <c r="C511" s="117"/>
      <c r="V511" s="234"/>
      <c r="AC511" s="234"/>
      <c r="AJ511" s="234"/>
      <c r="AQ511" s="234"/>
      <c r="AX511" s="234"/>
      <c r="BD511" s="120"/>
      <c r="BE511" s="234"/>
      <c r="BK511" s="120"/>
      <c r="BT511" s="121"/>
    </row>
    <row r="512" spans="1:72" s="119" customFormat="1">
      <c r="A512" s="130"/>
      <c r="B512" s="117"/>
      <c r="C512" s="117"/>
      <c r="V512" s="234"/>
      <c r="AC512" s="234"/>
      <c r="AJ512" s="234"/>
      <c r="AQ512" s="234"/>
      <c r="AX512" s="234"/>
      <c r="BD512" s="120"/>
      <c r="BE512" s="234"/>
      <c r="BK512" s="120"/>
      <c r="BT512" s="121"/>
    </row>
    <row r="513" spans="1:72" s="119" customFormat="1">
      <c r="A513" s="130"/>
      <c r="B513" s="117"/>
      <c r="C513" s="117"/>
      <c r="V513" s="234"/>
      <c r="AC513" s="234"/>
      <c r="AJ513" s="234"/>
      <c r="AQ513" s="234"/>
      <c r="AX513" s="234"/>
      <c r="BD513" s="120"/>
      <c r="BE513" s="234"/>
      <c r="BK513" s="120"/>
      <c r="BT513" s="121"/>
    </row>
    <row r="514" spans="1:72" s="119" customFormat="1">
      <c r="A514" s="130"/>
      <c r="B514" s="117"/>
      <c r="C514" s="117"/>
      <c r="V514" s="234"/>
      <c r="AC514" s="234"/>
      <c r="AJ514" s="234"/>
      <c r="AQ514" s="234"/>
      <c r="AX514" s="234"/>
      <c r="BD514" s="120"/>
      <c r="BE514" s="234"/>
      <c r="BK514" s="120"/>
      <c r="BT514" s="121"/>
    </row>
    <row r="515" spans="1:72" s="119" customFormat="1">
      <c r="A515" s="130"/>
      <c r="B515" s="117"/>
      <c r="C515" s="117"/>
      <c r="V515" s="234"/>
      <c r="AC515" s="234"/>
      <c r="AJ515" s="234"/>
      <c r="AQ515" s="234"/>
      <c r="AX515" s="234"/>
      <c r="BD515" s="120"/>
      <c r="BE515" s="234"/>
      <c r="BK515" s="120"/>
      <c r="BT515" s="121"/>
    </row>
    <row r="516" spans="1:72" s="119" customFormat="1">
      <c r="A516" s="130"/>
      <c r="B516" s="117"/>
      <c r="C516" s="117"/>
      <c r="V516" s="234"/>
      <c r="AC516" s="234"/>
      <c r="AJ516" s="234"/>
      <c r="AQ516" s="234"/>
      <c r="AX516" s="234"/>
      <c r="BD516" s="120"/>
      <c r="BE516" s="234"/>
      <c r="BK516" s="120"/>
      <c r="BT516" s="121"/>
    </row>
    <row r="517" spans="1:72" s="119" customFormat="1">
      <c r="A517" s="130"/>
      <c r="B517" s="117"/>
      <c r="C517" s="117"/>
      <c r="V517" s="234"/>
      <c r="AC517" s="234"/>
      <c r="AJ517" s="234"/>
      <c r="AQ517" s="234"/>
      <c r="AX517" s="234"/>
      <c r="BD517" s="120"/>
      <c r="BE517" s="234"/>
      <c r="BK517" s="120"/>
      <c r="BT517" s="121"/>
    </row>
    <row r="518" spans="1:72" s="119" customFormat="1">
      <c r="A518" s="130"/>
      <c r="B518" s="117"/>
      <c r="C518" s="117"/>
      <c r="V518" s="234"/>
      <c r="AC518" s="234"/>
      <c r="AJ518" s="234"/>
      <c r="AQ518" s="234"/>
      <c r="AX518" s="234"/>
      <c r="BD518" s="120"/>
      <c r="BE518" s="234"/>
      <c r="BK518" s="120"/>
      <c r="BT518" s="121"/>
    </row>
    <row r="519" spans="1:72" s="119" customFormat="1">
      <c r="A519" s="130"/>
      <c r="B519" s="117"/>
      <c r="C519" s="117"/>
      <c r="V519" s="234"/>
      <c r="AC519" s="234"/>
      <c r="AJ519" s="234"/>
      <c r="AQ519" s="234"/>
      <c r="AX519" s="234"/>
      <c r="BD519" s="120"/>
      <c r="BE519" s="234"/>
      <c r="BK519" s="120"/>
      <c r="BT519" s="121"/>
    </row>
    <row r="520" spans="1:72" s="119" customFormat="1">
      <c r="A520" s="130"/>
      <c r="B520" s="117"/>
      <c r="C520" s="117"/>
      <c r="V520" s="234"/>
      <c r="AC520" s="234"/>
      <c r="AJ520" s="234"/>
      <c r="AQ520" s="234"/>
      <c r="AX520" s="234"/>
      <c r="BD520" s="120"/>
      <c r="BE520" s="234"/>
      <c r="BK520" s="120"/>
      <c r="BT520" s="121"/>
    </row>
    <row r="521" spans="1:72" s="119" customFormat="1">
      <c r="A521" s="130"/>
      <c r="B521" s="117"/>
      <c r="C521" s="117"/>
      <c r="V521" s="234"/>
      <c r="AC521" s="234"/>
      <c r="AJ521" s="234"/>
      <c r="AQ521" s="234"/>
      <c r="AX521" s="234"/>
      <c r="BD521" s="120"/>
      <c r="BE521" s="234"/>
      <c r="BK521" s="120"/>
      <c r="BT521" s="121"/>
    </row>
    <row r="522" spans="1:72" s="119" customFormat="1">
      <c r="A522" s="130"/>
      <c r="B522" s="117"/>
      <c r="C522" s="117"/>
      <c r="V522" s="234"/>
      <c r="AC522" s="234"/>
      <c r="AJ522" s="234"/>
      <c r="AQ522" s="234"/>
      <c r="AX522" s="234"/>
      <c r="BD522" s="120"/>
      <c r="BE522" s="234"/>
      <c r="BK522" s="120"/>
      <c r="BT522" s="121"/>
    </row>
    <row r="523" spans="1:72" s="119" customFormat="1">
      <c r="A523" s="130"/>
      <c r="B523" s="117"/>
      <c r="C523" s="117"/>
      <c r="V523" s="234"/>
      <c r="AC523" s="234"/>
      <c r="AJ523" s="234"/>
      <c r="AQ523" s="234"/>
      <c r="AX523" s="234"/>
      <c r="BD523" s="120"/>
      <c r="BE523" s="234"/>
      <c r="BK523" s="120"/>
      <c r="BT523" s="121"/>
    </row>
    <row r="524" spans="1:72" s="119" customFormat="1">
      <c r="A524" s="130"/>
      <c r="B524" s="117"/>
      <c r="C524" s="117"/>
      <c r="V524" s="234"/>
      <c r="AC524" s="234"/>
      <c r="AJ524" s="234"/>
      <c r="AQ524" s="234"/>
      <c r="AX524" s="234"/>
      <c r="BD524" s="120"/>
      <c r="BE524" s="234"/>
      <c r="BK524" s="120"/>
      <c r="BT524" s="121"/>
    </row>
    <row r="525" spans="1:72" s="119" customFormat="1">
      <c r="A525" s="130"/>
      <c r="B525" s="117"/>
      <c r="C525" s="117"/>
      <c r="V525" s="234"/>
      <c r="AC525" s="234"/>
      <c r="AJ525" s="234"/>
      <c r="AQ525" s="234"/>
      <c r="AX525" s="234"/>
      <c r="BD525" s="120"/>
      <c r="BE525" s="234"/>
      <c r="BK525" s="120"/>
      <c r="BT525" s="121"/>
    </row>
    <row r="526" spans="1:72" s="119" customFormat="1">
      <c r="A526" s="130"/>
      <c r="B526" s="117"/>
      <c r="C526" s="117"/>
      <c r="V526" s="234"/>
      <c r="AC526" s="234"/>
      <c r="AJ526" s="234"/>
      <c r="AQ526" s="234"/>
      <c r="AX526" s="234"/>
      <c r="BD526" s="120"/>
      <c r="BE526" s="234"/>
      <c r="BK526" s="120"/>
      <c r="BT526" s="121"/>
    </row>
    <row r="527" spans="1:72" s="119" customFormat="1">
      <c r="A527" s="130"/>
      <c r="B527" s="117"/>
      <c r="C527" s="117"/>
      <c r="V527" s="234"/>
      <c r="AC527" s="234"/>
      <c r="AJ527" s="234"/>
      <c r="AQ527" s="234"/>
      <c r="AX527" s="234"/>
      <c r="BD527" s="120"/>
      <c r="BE527" s="234"/>
      <c r="BK527" s="120"/>
      <c r="BT527" s="121"/>
    </row>
    <row r="528" spans="1:72" s="119" customFormat="1">
      <c r="A528" s="130"/>
      <c r="B528" s="117"/>
      <c r="C528" s="117"/>
      <c r="V528" s="234"/>
      <c r="AC528" s="234"/>
      <c r="AJ528" s="234"/>
      <c r="AQ528" s="234"/>
      <c r="AX528" s="234"/>
      <c r="BD528" s="120"/>
      <c r="BE528" s="234"/>
      <c r="BK528" s="120"/>
      <c r="BT528" s="121"/>
    </row>
    <row r="529" spans="1:72" s="119" customFormat="1">
      <c r="A529" s="130"/>
      <c r="B529" s="117"/>
      <c r="C529" s="117"/>
      <c r="V529" s="234"/>
      <c r="AC529" s="234"/>
      <c r="AJ529" s="234"/>
      <c r="AQ529" s="234"/>
      <c r="AX529" s="234"/>
      <c r="BD529" s="120"/>
      <c r="BE529" s="234"/>
      <c r="BK529" s="120"/>
      <c r="BT529" s="121"/>
    </row>
    <row r="530" spans="1:72" s="119" customFormat="1">
      <c r="A530" s="130"/>
      <c r="B530" s="117"/>
      <c r="C530" s="117"/>
      <c r="V530" s="234"/>
      <c r="AC530" s="234"/>
      <c r="AJ530" s="234"/>
      <c r="AQ530" s="234"/>
      <c r="AX530" s="234"/>
      <c r="BD530" s="120"/>
      <c r="BE530" s="234"/>
      <c r="BK530" s="120"/>
      <c r="BT530" s="121"/>
    </row>
    <row r="531" spans="1:72" s="119" customFormat="1">
      <c r="A531" s="130"/>
      <c r="B531" s="117"/>
      <c r="C531" s="117"/>
      <c r="V531" s="234"/>
      <c r="AC531" s="234"/>
      <c r="AJ531" s="234"/>
      <c r="AQ531" s="234"/>
      <c r="AX531" s="234"/>
      <c r="BD531" s="120"/>
      <c r="BE531" s="234"/>
      <c r="BK531" s="120"/>
      <c r="BT531" s="121"/>
    </row>
    <row r="532" spans="1:72" s="119" customFormat="1">
      <c r="A532" s="130"/>
      <c r="B532" s="117"/>
      <c r="C532" s="117"/>
      <c r="V532" s="234"/>
      <c r="AC532" s="234"/>
      <c r="AJ532" s="234"/>
      <c r="AQ532" s="234"/>
      <c r="AX532" s="234"/>
      <c r="BD532" s="120"/>
      <c r="BE532" s="234"/>
      <c r="BK532" s="120"/>
      <c r="BT532" s="121"/>
    </row>
    <row r="533" spans="1:72" s="119" customFormat="1">
      <c r="A533" s="130"/>
      <c r="B533" s="117"/>
      <c r="C533" s="117"/>
      <c r="V533" s="234"/>
      <c r="AC533" s="234"/>
      <c r="AJ533" s="234"/>
      <c r="AQ533" s="234"/>
      <c r="AX533" s="234"/>
      <c r="BD533" s="120"/>
      <c r="BE533" s="234"/>
      <c r="BK533" s="120"/>
      <c r="BT533" s="121"/>
    </row>
    <row r="534" spans="1:72" s="119" customFormat="1">
      <c r="A534" s="130"/>
      <c r="B534" s="117"/>
      <c r="C534" s="117"/>
      <c r="V534" s="234"/>
      <c r="AC534" s="234"/>
      <c r="AJ534" s="234"/>
      <c r="AQ534" s="234"/>
      <c r="AX534" s="234"/>
      <c r="BD534" s="120"/>
      <c r="BE534" s="234"/>
      <c r="BK534" s="120"/>
      <c r="BT534" s="121"/>
    </row>
    <row r="535" spans="1:72" s="119" customFormat="1">
      <c r="A535" s="130"/>
      <c r="B535" s="117"/>
      <c r="C535" s="117"/>
      <c r="V535" s="234"/>
      <c r="AC535" s="234"/>
      <c r="AJ535" s="234"/>
      <c r="AQ535" s="234"/>
      <c r="AX535" s="234"/>
      <c r="BD535" s="120"/>
      <c r="BE535" s="234"/>
      <c r="BK535" s="120"/>
      <c r="BT535" s="121"/>
    </row>
    <row r="536" spans="1:72" s="119" customFormat="1">
      <c r="A536" s="130"/>
      <c r="B536" s="117"/>
      <c r="C536" s="117"/>
      <c r="V536" s="234"/>
      <c r="AC536" s="234"/>
      <c r="AJ536" s="234"/>
      <c r="AQ536" s="234"/>
      <c r="AX536" s="234"/>
      <c r="BD536" s="120"/>
      <c r="BE536" s="234"/>
      <c r="BK536" s="120"/>
      <c r="BT536" s="121"/>
    </row>
    <row r="537" spans="1:72" s="119" customFormat="1">
      <c r="A537" s="130"/>
      <c r="B537" s="117"/>
      <c r="C537" s="117"/>
      <c r="V537" s="234"/>
      <c r="AC537" s="234"/>
      <c r="AJ537" s="234"/>
      <c r="AQ537" s="234"/>
      <c r="AX537" s="234"/>
      <c r="BD537" s="120"/>
      <c r="BE537" s="234"/>
      <c r="BK537" s="120"/>
      <c r="BT537" s="121"/>
    </row>
    <row r="538" spans="1:72" s="119" customFormat="1">
      <c r="A538" s="130"/>
      <c r="B538" s="117"/>
      <c r="C538" s="117"/>
      <c r="V538" s="234"/>
      <c r="AC538" s="234"/>
      <c r="AJ538" s="234"/>
      <c r="AQ538" s="234"/>
      <c r="AX538" s="234"/>
      <c r="BD538" s="120"/>
      <c r="BE538" s="234"/>
      <c r="BK538" s="120"/>
      <c r="BT538" s="121"/>
    </row>
    <row r="539" spans="1:72" s="119" customFormat="1">
      <c r="A539" s="130"/>
      <c r="B539" s="117"/>
      <c r="C539" s="117"/>
      <c r="V539" s="234"/>
      <c r="AC539" s="234"/>
      <c r="AJ539" s="234"/>
      <c r="AQ539" s="234"/>
      <c r="AX539" s="234"/>
      <c r="BD539" s="120"/>
      <c r="BE539" s="234"/>
      <c r="BK539" s="120"/>
      <c r="BT539" s="121"/>
    </row>
    <row r="540" spans="1:72" s="119" customFormat="1">
      <c r="A540" s="130"/>
      <c r="B540" s="117"/>
      <c r="C540" s="117"/>
      <c r="V540" s="234"/>
      <c r="AC540" s="234"/>
      <c r="AJ540" s="234"/>
      <c r="AQ540" s="234"/>
      <c r="AX540" s="234"/>
      <c r="BD540" s="120"/>
      <c r="BE540" s="234"/>
      <c r="BK540" s="120"/>
      <c r="BT540" s="121"/>
    </row>
    <row r="541" spans="1:72" s="119" customFormat="1">
      <c r="A541" s="130"/>
      <c r="B541" s="117"/>
      <c r="C541" s="117"/>
      <c r="V541" s="234"/>
      <c r="AC541" s="234"/>
      <c r="AJ541" s="234"/>
      <c r="AQ541" s="234"/>
      <c r="AX541" s="234"/>
      <c r="BD541" s="120"/>
      <c r="BE541" s="234"/>
      <c r="BK541" s="120"/>
      <c r="BT541" s="121"/>
    </row>
    <row r="542" spans="1:72" s="119" customFormat="1">
      <c r="A542" s="130"/>
      <c r="B542" s="117"/>
      <c r="C542" s="117"/>
      <c r="V542" s="234"/>
      <c r="AC542" s="234"/>
      <c r="AJ542" s="234"/>
      <c r="AQ542" s="234"/>
      <c r="AX542" s="234"/>
      <c r="BD542" s="120"/>
      <c r="BE542" s="234"/>
      <c r="BK542" s="120"/>
      <c r="BT542" s="121"/>
    </row>
    <row r="543" spans="1:72" s="119" customFormat="1">
      <c r="A543" s="130"/>
      <c r="B543" s="117"/>
      <c r="C543" s="117"/>
      <c r="V543" s="234"/>
      <c r="AC543" s="234"/>
      <c r="AJ543" s="234"/>
      <c r="AQ543" s="234"/>
      <c r="AX543" s="234"/>
      <c r="BD543" s="120"/>
      <c r="BE543" s="234"/>
      <c r="BK543" s="120"/>
      <c r="BT543" s="121"/>
    </row>
    <row r="544" spans="1:72" s="119" customFormat="1">
      <c r="A544" s="130"/>
      <c r="B544" s="117"/>
      <c r="C544" s="117"/>
      <c r="V544" s="234"/>
      <c r="AC544" s="234"/>
      <c r="AJ544" s="234"/>
      <c r="AQ544" s="234"/>
      <c r="AX544" s="234"/>
      <c r="BD544" s="120"/>
      <c r="BE544" s="234"/>
      <c r="BK544" s="120"/>
      <c r="BT544" s="121"/>
    </row>
    <row r="545" spans="1:72" s="119" customFormat="1">
      <c r="A545" s="130"/>
      <c r="B545" s="117"/>
      <c r="C545" s="117"/>
      <c r="V545" s="234"/>
      <c r="AC545" s="234"/>
      <c r="AJ545" s="234"/>
      <c r="AQ545" s="234"/>
      <c r="AX545" s="234"/>
      <c r="BD545" s="120"/>
      <c r="BE545" s="234"/>
      <c r="BK545" s="120"/>
      <c r="BT545" s="121"/>
    </row>
    <row r="546" spans="1:72" s="119" customFormat="1">
      <c r="A546" s="130"/>
      <c r="B546" s="117"/>
      <c r="C546" s="117"/>
      <c r="V546" s="234"/>
      <c r="AC546" s="234"/>
      <c r="AJ546" s="234"/>
      <c r="AQ546" s="234"/>
      <c r="AX546" s="234"/>
      <c r="BD546" s="120"/>
      <c r="BE546" s="234"/>
      <c r="BK546" s="120"/>
      <c r="BT546" s="121"/>
    </row>
    <row r="547" spans="1:72" s="119" customFormat="1">
      <c r="A547" s="130"/>
      <c r="B547" s="117"/>
      <c r="C547" s="117"/>
      <c r="V547" s="234"/>
      <c r="AC547" s="234"/>
      <c r="AJ547" s="234"/>
      <c r="AQ547" s="234"/>
      <c r="AX547" s="234"/>
      <c r="BD547" s="120"/>
      <c r="BE547" s="234"/>
      <c r="BK547" s="120"/>
      <c r="BT547" s="121"/>
    </row>
    <row r="548" spans="1:72" s="119" customFormat="1">
      <c r="A548" s="130"/>
      <c r="B548" s="117"/>
      <c r="C548" s="117"/>
      <c r="V548" s="234"/>
      <c r="AC548" s="234"/>
      <c r="AJ548" s="234"/>
      <c r="AQ548" s="234"/>
      <c r="AX548" s="234"/>
      <c r="BD548" s="120"/>
      <c r="BE548" s="234"/>
      <c r="BK548" s="120"/>
      <c r="BT548" s="121"/>
    </row>
    <row r="549" spans="1:72" s="119" customFormat="1">
      <c r="A549" s="130"/>
      <c r="B549" s="117"/>
      <c r="C549" s="117"/>
      <c r="V549" s="234"/>
      <c r="AC549" s="234"/>
      <c r="AJ549" s="234"/>
      <c r="AQ549" s="234"/>
      <c r="AX549" s="234"/>
      <c r="BD549" s="120"/>
      <c r="BE549" s="234"/>
      <c r="BK549" s="120"/>
      <c r="BT549" s="121"/>
    </row>
    <row r="550" spans="1:72" s="119" customFormat="1">
      <c r="A550" s="130"/>
      <c r="B550" s="117"/>
      <c r="C550" s="117"/>
      <c r="V550" s="234"/>
      <c r="AC550" s="234"/>
      <c r="AJ550" s="234"/>
      <c r="AQ550" s="234"/>
      <c r="AX550" s="234"/>
      <c r="BD550" s="120"/>
      <c r="BE550" s="234"/>
      <c r="BK550" s="120"/>
      <c r="BT550" s="121"/>
    </row>
    <row r="551" spans="1:72" s="119" customFormat="1">
      <c r="A551" s="130"/>
      <c r="B551" s="117"/>
      <c r="C551" s="117"/>
      <c r="V551" s="234"/>
      <c r="AC551" s="234"/>
      <c r="AJ551" s="234"/>
      <c r="AQ551" s="234"/>
      <c r="AX551" s="234"/>
      <c r="BD551" s="120"/>
      <c r="BE551" s="234"/>
      <c r="BK551" s="120"/>
      <c r="BT551" s="121"/>
    </row>
    <row r="552" spans="1:72" s="119" customFormat="1">
      <c r="A552" s="130"/>
      <c r="B552" s="117"/>
      <c r="C552" s="117"/>
      <c r="V552" s="234"/>
      <c r="AC552" s="234"/>
      <c r="AJ552" s="234"/>
      <c r="AQ552" s="234"/>
      <c r="AX552" s="234"/>
      <c r="BD552" s="120"/>
      <c r="BE552" s="234"/>
      <c r="BK552" s="120"/>
      <c r="BT552" s="121"/>
    </row>
    <row r="553" spans="1:72" s="119" customFormat="1">
      <c r="A553" s="130"/>
      <c r="B553" s="117"/>
      <c r="C553" s="117"/>
      <c r="V553" s="234"/>
      <c r="AC553" s="234"/>
      <c r="AJ553" s="234"/>
      <c r="AQ553" s="234"/>
      <c r="AX553" s="234"/>
      <c r="BD553" s="120"/>
      <c r="BE553" s="234"/>
      <c r="BK553" s="120"/>
      <c r="BT553" s="121"/>
    </row>
    <row r="554" spans="1:72" s="119" customFormat="1">
      <c r="A554" s="130"/>
      <c r="B554" s="117"/>
      <c r="C554" s="117"/>
      <c r="V554" s="234"/>
      <c r="AC554" s="234"/>
      <c r="AJ554" s="234"/>
      <c r="AQ554" s="234"/>
      <c r="AX554" s="234"/>
      <c r="BD554" s="120"/>
      <c r="BE554" s="234"/>
      <c r="BK554" s="120"/>
      <c r="BT554" s="121"/>
    </row>
    <row r="555" spans="1:72" s="119" customFormat="1">
      <c r="A555" s="130"/>
      <c r="B555" s="117"/>
      <c r="C555" s="117"/>
      <c r="V555" s="234"/>
      <c r="AC555" s="234"/>
      <c r="AJ555" s="234"/>
      <c r="AQ555" s="234"/>
      <c r="AX555" s="234"/>
      <c r="BD555" s="120"/>
      <c r="BE555" s="234"/>
      <c r="BK555" s="120"/>
      <c r="BT555" s="121"/>
    </row>
    <row r="556" spans="1:72" s="119" customFormat="1">
      <c r="A556" s="130"/>
      <c r="B556" s="117"/>
      <c r="C556" s="117"/>
      <c r="V556" s="234"/>
      <c r="AC556" s="234"/>
      <c r="AJ556" s="234"/>
      <c r="AQ556" s="234"/>
      <c r="AX556" s="234"/>
      <c r="BD556" s="120"/>
      <c r="BE556" s="234"/>
      <c r="BK556" s="120"/>
      <c r="BT556" s="121"/>
    </row>
    <row r="557" spans="1:72" s="119" customFormat="1">
      <c r="A557" s="130"/>
      <c r="B557" s="117"/>
      <c r="C557" s="117"/>
      <c r="V557" s="234"/>
      <c r="AC557" s="234"/>
      <c r="AJ557" s="234"/>
      <c r="AQ557" s="234"/>
      <c r="AX557" s="234"/>
      <c r="BD557" s="120"/>
      <c r="BE557" s="234"/>
      <c r="BK557" s="120"/>
      <c r="BT557" s="121"/>
    </row>
    <row r="558" spans="1:72" s="119" customFormat="1">
      <c r="A558" s="130"/>
      <c r="B558" s="117"/>
      <c r="C558" s="117"/>
      <c r="V558" s="234"/>
      <c r="AC558" s="234"/>
      <c r="AJ558" s="234"/>
      <c r="AQ558" s="234"/>
      <c r="AX558" s="234"/>
      <c r="BD558" s="120"/>
      <c r="BE558" s="234"/>
      <c r="BK558" s="120"/>
      <c r="BT558" s="121"/>
    </row>
    <row r="559" spans="1:72" s="119" customFormat="1">
      <c r="A559" s="130"/>
      <c r="B559" s="117"/>
      <c r="C559" s="117"/>
      <c r="V559" s="234"/>
      <c r="AC559" s="234"/>
      <c r="AJ559" s="234"/>
      <c r="AQ559" s="234"/>
      <c r="AX559" s="234"/>
      <c r="BD559" s="120"/>
      <c r="BE559" s="234"/>
      <c r="BK559" s="120"/>
      <c r="BT559" s="121"/>
    </row>
    <row r="560" spans="1:72" s="119" customFormat="1">
      <c r="A560" s="130"/>
      <c r="B560" s="117"/>
      <c r="C560" s="117"/>
      <c r="V560" s="234"/>
      <c r="AC560" s="234"/>
      <c r="AJ560" s="234"/>
      <c r="AQ560" s="234"/>
      <c r="AX560" s="234"/>
      <c r="BD560" s="120"/>
      <c r="BE560" s="234"/>
      <c r="BK560" s="120"/>
      <c r="BT560" s="121"/>
    </row>
    <row r="561" spans="1:72" s="119" customFormat="1">
      <c r="A561" s="130"/>
      <c r="B561" s="117"/>
      <c r="C561" s="117"/>
      <c r="V561" s="234"/>
      <c r="AC561" s="234"/>
      <c r="AJ561" s="234"/>
      <c r="AQ561" s="234"/>
      <c r="AX561" s="234"/>
      <c r="BD561" s="120"/>
      <c r="BE561" s="234"/>
      <c r="BK561" s="120"/>
      <c r="BT561" s="121"/>
    </row>
    <row r="562" spans="1:72" s="119" customFormat="1">
      <c r="A562" s="130"/>
      <c r="B562" s="117"/>
      <c r="C562" s="117"/>
      <c r="V562" s="234"/>
      <c r="AC562" s="234"/>
      <c r="AJ562" s="234"/>
      <c r="AQ562" s="234"/>
      <c r="AX562" s="234"/>
      <c r="BD562" s="120"/>
      <c r="BE562" s="234"/>
      <c r="BK562" s="120"/>
      <c r="BT562" s="121"/>
    </row>
    <row r="563" spans="1:72" s="119" customFormat="1">
      <c r="A563" s="130"/>
      <c r="B563" s="117"/>
      <c r="C563" s="117"/>
      <c r="V563" s="234"/>
      <c r="AC563" s="234"/>
      <c r="AJ563" s="234"/>
      <c r="AQ563" s="234"/>
      <c r="AX563" s="234"/>
      <c r="BD563" s="120"/>
      <c r="BE563" s="234"/>
      <c r="BK563" s="120"/>
      <c r="BT563" s="121"/>
    </row>
    <row r="564" spans="1:72" s="119" customFormat="1">
      <c r="A564" s="130"/>
      <c r="B564" s="117"/>
      <c r="C564" s="117"/>
      <c r="V564" s="234"/>
      <c r="AC564" s="234"/>
      <c r="AJ564" s="234"/>
      <c r="AQ564" s="234"/>
      <c r="AX564" s="234"/>
      <c r="BD564" s="120"/>
      <c r="BE564" s="234"/>
      <c r="BK564" s="120"/>
      <c r="BT564" s="121"/>
    </row>
    <row r="565" spans="1:72" s="119" customFormat="1">
      <c r="A565" s="130"/>
      <c r="B565" s="117"/>
      <c r="C565" s="117"/>
      <c r="V565" s="234"/>
      <c r="AC565" s="234"/>
      <c r="AJ565" s="234"/>
      <c r="AQ565" s="234"/>
      <c r="AX565" s="234"/>
      <c r="BD565" s="120"/>
      <c r="BE565" s="234"/>
      <c r="BK565" s="120"/>
      <c r="BT565" s="121"/>
    </row>
    <row r="566" spans="1:72" s="119" customFormat="1">
      <c r="A566" s="130"/>
      <c r="B566" s="117"/>
      <c r="C566" s="117"/>
      <c r="V566" s="234"/>
      <c r="AC566" s="234"/>
      <c r="AJ566" s="234"/>
      <c r="AQ566" s="234"/>
      <c r="AX566" s="234"/>
      <c r="BD566" s="120"/>
      <c r="BE566" s="234"/>
      <c r="BK566" s="120"/>
      <c r="BT566" s="121"/>
    </row>
    <row r="567" spans="1:72" s="119" customFormat="1">
      <c r="A567" s="130"/>
      <c r="B567" s="117"/>
      <c r="C567" s="117"/>
      <c r="V567" s="234"/>
      <c r="AC567" s="234"/>
      <c r="AJ567" s="234"/>
      <c r="AQ567" s="234"/>
      <c r="AX567" s="234"/>
      <c r="BD567" s="120"/>
      <c r="BE567" s="234"/>
      <c r="BK567" s="120"/>
      <c r="BT567" s="121"/>
    </row>
    <row r="568" spans="1:72" s="119" customFormat="1">
      <c r="A568" s="130"/>
      <c r="B568" s="117"/>
      <c r="C568" s="117"/>
      <c r="V568" s="234"/>
      <c r="AC568" s="234"/>
      <c r="AJ568" s="234"/>
      <c r="AQ568" s="234"/>
      <c r="AX568" s="234"/>
      <c r="BD568" s="120"/>
      <c r="BE568" s="234"/>
      <c r="BK568" s="120"/>
      <c r="BT568" s="121"/>
    </row>
    <row r="569" spans="1:72" s="119" customFormat="1">
      <c r="A569" s="130"/>
      <c r="B569" s="117"/>
      <c r="C569" s="117"/>
      <c r="V569" s="234"/>
      <c r="AC569" s="234"/>
      <c r="AJ569" s="234"/>
      <c r="AQ569" s="234"/>
      <c r="AX569" s="234"/>
      <c r="BD569" s="120"/>
      <c r="BE569" s="234"/>
      <c r="BK569" s="120"/>
      <c r="BT569" s="121"/>
    </row>
    <row r="570" spans="1:72" s="119" customFormat="1">
      <c r="A570" s="130"/>
      <c r="B570" s="117"/>
      <c r="C570" s="117"/>
      <c r="V570" s="234"/>
      <c r="AC570" s="234"/>
      <c r="AJ570" s="234"/>
      <c r="AQ570" s="234"/>
      <c r="AX570" s="234"/>
      <c r="BD570" s="120"/>
      <c r="BE570" s="234"/>
      <c r="BK570" s="120"/>
      <c r="BT570" s="121"/>
    </row>
    <row r="571" spans="1:72" s="119" customFormat="1">
      <c r="A571" s="130"/>
      <c r="B571" s="117"/>
      <c r="C571" s="117"/>
      <c r="V571" s="234"/>
      <c r="AC571" s="234"/>
      <c r="AJ571" s="234"/>
      <c r="AQ571" s="234"/>
      <c r="AX571" s="234"/>
      <c r="BD571" s="120"/>
      <c r="BE571" s="234"/>
      <c r="BK571" s="120"/>
      <c r="BT571" s="121"/>
    </row>
    <row r="572" spans="1:72" s="119" customFormat="1">
      <c r="A572" s="130"/>
      <c r="B572" s="117"/>
      <c r="C572" s="117"/>
      <c r="V572" s="234"/>
      <c r="AC572" s="234"/>
      <c r="AJ572" s="234"/>
      <c r="AQ572" s="234"/>
      <c r="AX572" s="234"/>
      <c r="BD572" s="120"/>
      <c r="BE572" s="234"/>
      <c r="BK572" s="120"/>
      <c r="BT572" s="121"/>
    </row>
    <row r="573" spans="1:72" s="119" customFormat="1">
      <c r="A573" s="130"/>
      <c r="B573" s="117"/>
      <c r="C573" s="117"/>
      <c r="V573" s="234"/>
      <c r="AC573" s="234"/>
      <c r="AJ573" s="234"/>
      <c r="AQ573" s="234"/>
      <c r="AX573" s="234"/>
      <c r="BD573" s="120"/>
      <c r="BE573" s="234"/>
      <c r="BK573" s="120"/>
      <c r="BT573" s="121"/>
    </row>
    <row r="574" spans="1:72" s="119" customFormat="1">
      <c r="A574" s="130"/>
      <c r="B574" s="117"/>
      <c r="C574" s="117"/>
      <c r="V574" s="234"/>
      <c r="AC574" s="234"/>
      <c r="AJ574" s="234"/>
      <c r="AQ574" s="234"/>
      <c r="AX574" s="234"/>
      <c r="BD574" s="120"/>
      <c r="BE574" s="234"/>
      <c r="BK574" s="120"/>
      <c r="BT574" s="121"/>
    </row>
    <row r="575" spans="1:72" s="119" customFormat="1">
      <c r="A575" s="130"/>
      <c r="B575" s="117"/>
      <c r="C575" s="117"/>
      <c r="V575" s="234"/>
      <c r="AC575" s="234"/>
      <c r="AJ575" s="234"/>
      <c r="AQ575" s="234"/>
      <c r="AX575" s="234"/>
      <c r="BD575" s="120"/>
      <c r="BE575" s="234"/>
      <c r="BK575" s="120"/>
      <c r="BT575" s="121"/>
    </row>
    <row r="576" spans="1:72" s="119" customFormat="1">
      <c r="A576" s="130"/>
      <c r="B576" s="117"/>
      <c r="C576" s="117"/>
      <c r="V576" s="234"/>
      <c r="AC576" s="234"/>
      <c r="AJ576" s="234"/>
      <c r="AQ576" s="234"/>
      <c r="AX576" s="234"/>
      <c r="BD576" s="120"/>
      <c r="BE576" s="234"/>
      <c r="BK576" s="120"/>
      <c r="BT576" s="121"/>
    </row>
    <row r="577" spans="1:72" s="119" customFormat="1">
      <c r="A577" s="130"/>
      <c r="B577" s="117"/>
      <c r="C577" s="117"/>
      <c r="V577" s="234"/>
      <c r="AC577" s="234"/>
      <c r="AJ577" s="234"/>
      <c r="AQ577" s="234"/>
      <c r="AX577" s="234"/>
      <c r="BD577" s="120"/>
      <c r="BE577" s="234"/>
      <c r="BK577" s="120"/>
      <c r="BT577" s="121"/>
    </row>
    <row r="578" spans="1:72" s="119" customFormat="1">
      <c r="A578" s="130"/>
      <c r="B578" s="117"/>
      <c r="C578" s="117"/>
      <c r="V578" s="234"/>
      <c r="AC578" s="234"/>
      <c r="AJ578" s="234"/>
      <c r="AQ578" s="234"/>
      <c r="AX578" s="234"/>
      <c r="BD578" s="120"/>
      <c r="BE578" s="234"/>
      <c r="BK578" s="120"/>
      <c r="BT578" s="121"/>
    </row>
    <row r="579" spans="1:72" s="119" customFormat="1">
      <c r="A579" s="130"/>
      <c r="B579" s="117"/>
      <c r="C579" s="117"/>
      <c r="V579" s="234"/>
      <c r="AC579" s="234"/>
      <c r="AJ579" s="234"/>
      <c r="AQ579" s="234"/>
      <c r="AX579" s="234"/>
      <c r="BD579" s="120"/>
      <c r="BE579" s="234"/>
      <c r="BK579" s="120"/>
      <c r="BT579" s="121"/>
    </row>
    <row r="580" spans="1:72" s="119" customFormat="1">
      <c r="A580" s="130"/>
      <c r="B580" s="117"/>
      <c r="C580" s="117"/>
      <c r="V580" s="234"/>
      <c r="AC580" s="234"/>
      <c r="AJ580" s="234"/>
      <c r="AQ580" s="234"/>
      <c r="AX580" s="234"/>
      <c r="BD580" s="120"/>
      <c r="BE580" s="234"/>
      <c r="BK580" s="120"/>
      <c r="BT580" s="121"/>
    </row>
    <row r="581" spans="1:72" s="119" customFormat="1">
      <c r="A581" s="130"/>
      <c r="B581" s="117"/>
      <c r="C581" s="117"/>
      <c r="V581" s="234"/>
      <c r="AC581" s="234"/>
      <c r="AJ581" s="234"/>
      <c r="AQ581" s="234"/>
      <c r="AX581" s="234"/>
      <c r="BD581" s="120"/>
      <c r="BE581" s="234"/>
      <c r="BK581" s="120"/>
      <c r="BT581" s="121"/>
    </row>
    <row r="582" spans="1:72" s="119" customFormat="1">
      <c r="A582" s="130"/>
      <c r="B582" s="117"/>
      <c r="C582" s="117"/>
      <c r="V582" s="234"/>
      <c r="AC582" s="234"/>
      <c r="AJ582" s="234"/>
      <c r="AQ582" s="234"/>
      <c r="AX582" s="234"/>
      <c r="BD582" s="120"/>
      <c r="BE582" s="234"/>
      <c r="BK582" s="120"/>
      <c r="BT582" s="121"/>
    </row>
    <row r="583" spans="1:72" s="119" customFormat="1">
      <c r="A583" s="130"/>
      <c r="B583" s="117"/>
      <c r="C583" s="117"/>
      <c r="V583" s="234"/>
      <c r="AC583" s="234"/>
      <c r="AJ583" s="234"/>
      <c r="AQ583" s="234"/>
      <c r="AX583" s="234"/>
      <c r="BD583" s="120"/>
      <c r="BE583" s="234"/>
      <c r="BK583" s="120"/>
      <c r="BT583" s="121"/>
    </row>
    <row r="584" spans="1:72" s="119" customFormat="1">
      <c r="A584" s="130"/>
      <c r="B584" s="117"/>
      <c r="C584" s="117"/>
      <c r="V584" s="234"/>
      <c r="AC584" s="234"/>
      <c r="AJ584" s="234"/>
      <c r="AQ584" s="234"/>
      <c r="AX584" s="234"/>
      <c r="BD584" s="120"/>
      <c r="BE584" s="234"/>
      <c r="BK584" s="120"/>
      <c r="BT584" s="121"/>
    </row>
    <row r="585" spans="1:72" s="119" customFormat="1">
      <c r="A585" s="130"/>
      <c r="B585" s="117"/>
      <c r="C585" s="117"/>
      <c r="V585" s="234"/>
      <c r="AC585" s="234"/>
      <c r="AJ585" s="234"/>
      <c r="AQ585" s="234"/>
      <c r="AX585" s="234"/>
      <c r="BD585" s="120"/>
      <c r="BE585" s="234"/>
      <c r="BK585" s="120"/>
      <c r="BT585" s="121"/>
    </row>
    <row r="586" spans="1:72" s="119" customFormat="1">
      <c r="A586" s="130"/>
      <c r="B586" s="117"/>
      <c r="C586" s="117"/>
      <c r="V586" s="234"/>
      <c r="AC586" s="234"/>
      <c r="AJ586" s="234"/>
      <c r="AQ586" s="234"/>
      <c r="AX586" s="234"/>
      <c r="BD586" s="120"/>
      <c r="BE586" s="234"/>
      <c r="BK586" s="120"/>
      <c r="BT586" s="121"/>
    </row>
    <row r="587" spans="1:72" s="119" customFormat="1">
      <c r="A587" s="130"/>
      <c r="B587" s="117"/>
      <c r="C587" s="117"/>
      <c r="V587" s="234"/>
      <c r="AC587" s="234"/>
      <c r="AJ587" s="234"/>
      <c r="AQ587" s="234"/>
      <c r="AX587" s="234"/>
      <c r="BD587" s="120"/>
      <c r="BE587" s="234"/>
      <c r="BK587" s="120"/>
      <c r="BT587" s="121"/>
    </row>
    <row r="588" spans="1:72" s="119" customFormat="1">
      <c r="A588" s="130"/>
      <c r="B588" s="117"/>
      <c r="C588" s="117"/>
      <c r="V588" s="234"/>
      <c r="AC588" s="234"/>
      <c r="AJ588" s="234"/>
      <c r="AQ588" s="234"/>
      <c r="AX588" s="234"/>
      <c r="BD588" s="120"/>
      <c r="BE588" s="234"/>
      <c r="BK588" s="120"/>
      <c r="BT588" s="121"/>
    </row>
    <row r="589" spans="1:72" s="119" customFormat="1">
      <c r="A589" s="130"/>
      <c r="B589" s="117"/>
      <c r="C589" s="117"/>
      <c r="V589" s="234"/>
      <c r="AC589" s="234"/>
      <c r="AJ589" s="234"/>
      <c r="AQ589" s="234"/>
      <c r="AX589" s="234"/>
      <c r="BD589" s="120"/>
      <c r="BE589" s="234"/>
      <c r="BK589" s="120"/>
      <c r="BT589" s="121"/>
    </row>
    <row r="590" spans="1:72" s="119" customFormat="1">
      <c r="A590" s="130"/>
      <c r="B590" s="117"/>
      <c r="C590" s="117"/>
      <c r="V590" s="234"/>
      <c r="AC590" s="234"/>
      <c r="AJ590" s="234"/>
      <c r="AQ590" s="234"/>
      <c r="AX590" s="234"/>
      <c r="BD590" s="120"/>
      <c r="BE590" s="234"/>
      <c r="BK590" s="120"/>
      <c r="BT590" s="121"/>
    </row>
    <row r="591" spans="1:72" s="119" customFormat="1">
      <c r="A591" s="130"/>
      <c r="B591" s="117"/>
      <c r="C591" s="117"/>
      <c r="V591" s="234"/>
      <c r="AC591" s="234"/>
      <c r="AJ591" s="234"/>
      <c r="AQ591" s="234"/>
      <c r="AX591" s="234"/>
      <c r="BD591" s="120"/>
      <c r="BE591" s="234"/>
      <c r="BK591" s="120"/>
      <c r="BT591" s="121"/>
    </row>
    <row r="592" spans="1:72" s="119" customFormat="1">
      <c r="A592" s="130"/>
      <c r="B592" s="117"/>
      <c r="C592" s="117"/>
      <c r="V592" s="234"/>
      <c r="AC592" s="234"/>
      <c r="AJ592" s="234"/>
      <c r="AQ592" s="234"/>
      <c r="AX592" s="234"/>
      <c r="BD592" s="120"/>
      <c r="BE592" s="234"/>
      <c r="BK592" s="120"/>
      <c r="BT592" s="121"/>
    </row>
    <row r="593" spans="1:72" s="119" customFormat="1">
      <c r="A593" s="130"/>
      <c r="B593" s="117"/>
      <c r="C593" s="117"/>
      <c r="V593" s="234"/>
      <c r="AC593" s="234"/>
      <c r="AJ593" s="234"/>
      <c r="AQ593" s="234"/>
      <c r="AX593" s="234"/>
      <c r="BD593" s="120"/>
      <c r="BE593" s="234"/>
      <c r="BK593" s="120"/>
      <c r="BT593" s="121"/>
    </row>
    <row r="594" spans="1:72" s="119" customFormat="1">
      <c r="A594" s="130"/>
      <c r="B594" s="117"/>
      <c r="C594" s="117"/>
      <c r="V594" s="234"/>
      <c r="AC594" s="234"/>
      <c r="AJ594" s="234"/>
      <c r="AQ594" s="234"/>
      <c r="AX594" s="234"/>
      <c r="BD594" s="120"/>
      <c r="BE594" s="234"/>
      <c r="BK594" s="120"/>
      <c r="BT594" s="121"/>
    </row>
    <row r="595" spans="1:72" s="119" customFormat="1">
      <c r="A595" s="130"/>
      <c r="B595" s="117"/>
      <c r="C595" s="117"/>
      <c r="V595" s="234"/>
      <c r="AC595" s="234"/>
      <c r="AJ595" s="234"/>
      <c r="AQ595" s="234"/>
      <c r="AX595" s="234"/>
      <c r="BD595" s="120"/>
      <c r="BE595" s="234"/>
      <c r="BK595" s="120"/>
      <c r="BT595" s="121"/>
    </row>
    <row r="596" spans="1:72" s="119" customFormat="1">
      <c r="A596" s="130"/>
      <c r="B596" s="117"/>
      <c r="C596" s="117"/>
      <c r="V596" s="234"/>
      <c r="AC596" s="234"/>
      <c r="AJ596" s="234"/>
      <c r="AQ596" s="234"/>
      <c r="AX596" s="234"/>
      <c r="BD596" s="120"/>
      <c r="BE596" s="234"/>
      <c r="BK596" s="120"/>
      <c r="BT596" s="121"/>
    </row>
    <row r="597" spans="1:72" s="119" customFormat="1">
      <c r="A597" s="130"/>
      <c r="B597" s="117"/>
      <c r="C597" s="117"/>
      <c r="V597" s="234"/>
      <c r="AC597" s="234"/>
      <c r="AJ597" s="234"/>
      <c r="AQ597" s="234"/>
      <c r="AX597" s="234"/>
      <c r="BD597" s="120"/>
      <c r="BE597" s="234"/>
      <c r="BK597" s="120"/>
      <c r="BT597" s="121"/>
    </row>
    <row r="598" spans="1:72" s="119" customFormat="1">
      <c r="A598" s="130"/>
      <c r="B598" s="117"/>
      <c r="C598" s="117"/>
      <c r="V598" s="234"/>
      <c r="AC598" s="234"/>
      <c r="AJ598" s="234"/>
      <c r="AQ598" s="234"/>
      <c r="AX598" s="234"/>
      <c r="BD598" s="120"/>
      <c r="BE598" s="234"/>
      <c r="BK598" s="120"/>
      <c r="BT598" s="121"/>
    </row>
    <row r="599" spans="1:72" s="119" customFormat="1">
      <c r="A599" s="130"/>
      <c r="B599" s="117"/>
      <c r="C599" s="117"/>
      <c r="V599" s="234"/>
      <c r="AC599" s="234"/>
      <c r="AJ599" s="234"/>
      <c r="AQ599" s="234"/>
      <c r="AX599" s="234"/>
      <c r="BD599" s="120"/>
      <c r="BE599" s="234"/>
      <c r="BK599" s="120"/>
      <c r="BT599" s="121"/>
    </row>
    <row r="600" spans="1:72" s="119" customFormat="1">
      <c r="A600" s="130"/>
      <c r="B600" s="117"/>
      <c r="C600" s="117"/>
      <c r="V600" s="234"/>
      <c r="AC600" s="234"/>
      <c r="AJ600" s="234"/>
      <c r="AQ600" s="234"/>
      <c r="AX600" s="234"/>
      <c r="BD600" s="120"/>
      <c r="BE600" s="234"/>
      <c r="BK600" s="120"/>
      <c r="BT600" s="121"/>
    </row>
    <row r="601" spans="1:72" s="119" customFormat="1">
      <c r="A601" s="130"/>
      <c r="B601" s="117"/>
      <c r="C601" s="117"/>
      <c r="V601" s="234"/>
      <c r="AC601" s="234"/>
      <c r="AJ601" s="234"/>
      <c r="AQ601" s="234"/>
      <c r="AX601" s="234"/>
      <c r="BD601" s="120"/>
      <c r="BE601" s="234"/>
      <c r="BK601" s="120"/>
      <c r="BT601" s="121"/>
    </row>
    <row r="602" spans="1:72" s="119" customFormat="1">
      <c r="A602" s="130"/>
      <c r="B602" s="117"/>
      <c r="C602" s="117"/>
      <c r="V602" s="234"/>
      <c r="AC602" s="234"/>
      <c r="AJ602" s="234"/>
      <c r="AQ602" s="234"/>
      <c r="AX602" s="234"/>
      <c r="BD602" s="120"/>
      <c r="BE602" s="234"/>
      <c r="BK602" s="120"/>
      <c r="BT602" s="121"/>
    </row>
    <row r="603" spans="1:72" s="119" customFormat="1">
      <c r="A603" s="130"/>
      <c r="B603" s="117"/>
      <c r="C603" s="117"/>
      <c r="V603" s="234"/>
      <c r="AC603" s="234"/>
      <c r="AJ603" s="234"/>
      <c r="AQ603" s="234"/>
      <c r="AX603" s="234"/>
      <c r="BD603" s="120"/>
      <c r="BE603" s="234"/>
      <c r="BK603" s="120"/>
      <c r="BT603" s="121"/>
    </row>
    <row r="604" spans="1:72" s="119" customFormat="1">
      <c r="A604" s="130"/>
      <c r="B604" s="117"/>
      <c r="C604" s="117"/>
      <c r="V604" s="234"/>
      <c r="AC604" s="234"/>
      <c r="AJ604" s="234"/>
      <c r="AQ604" s="234"/>
      <c r="AX604" s="234"/>
      <c r="BD604" s="120"/>
      <c r="BE604" s="234"/>
      <c r="BK604" s="120"/>
      <c r="BT604" s="121"/>
    </row>
    <row r="605" spans="1:72" s="119" customFormat="1">
      <c r="A605" s="130"/>
      <c r="B605" s="117"/>
      <c r="C605" s="117"/>
      <c r="V605" s="234"/>
      <c r="AC605" s="234"/>
      <c r="AJ605" s="234"/>
      <c r="AQ605" s="234"/>
      <c r="AX605" s="234"/>
      <c r="BD605" s="120"/>
      <c r="BE605" s="234"/>
      <c r="BK605" s="120"/>
      <c r="BT605" s="121"/>
    </row>
    <row r="606" spans="1:72" s="119" customFormat="1">
      <c r="A606" s="130"/>
      <c r="B606" s="117"/>
      <c r="C606" s="117"/>
      <c r="V606" s="234"/>
      <c r="AC606" s="234"/>
      <c r="AJ606" s="234"/>
      <c r="AQ606" s="234"/>
      <c r="AX606" s="234"/>
      <c r="BD606" s="120"/>
      <c r="BE606" s="234"/>
      <c r="BK606" s="120"/>
      <c r="BT606" s="121"/>
    </row>
    <row r="607" spans="1:72" s="119" customFormat="1">
      <c r="A607" s="130"/>
      <c r="B607" s="117"/>
      <c r="C607" s="117"/>
      <c r="V607" s="234"/>
      <c r="AC607" s="234"/>
      <c r="AJ607" s="234"/>
      <c r="AQ607" s="234"/>
      <c r="AX607" s="234"/>
      <c r="BD607" s="120"/>
      <c r="BE607" s="234"/>
      <c r="BK607" s="120"/>
      <c r="BT607" s="121"/>
    </row>
    <row r="608" spans="1:72" s="119" customFormat="1">
      <c r="A608" s="130"/>
      <c r="B608" s="117"/>
      <c r="C608" s="117"/>
      <c r="V608" s="234"/>
      <c r="AC608" s="234"/>
      <c r="AJ608" s="234"/>
      <c r="AQ608" s="234"/>
      <c r="AX608" s="234"/>
      <c r="BD608" s="120"/>
      <c r="BE608" s="234"/>
      <c r="BK608" s="120"/>
      <c r="BT608" s="121"/>
    </row>
    <row r="609" spans="1:72" s="119" customFormat="1">
      <c r="A609" s="130"/>
      <c r="B609" s="117"/>
      <c r="C609" s="117"/>
      <c r="V609" s="234"/>
      <c r="AC609" s="234"/>
      <c r="AJ609" s="234"/>
      <c r="AQ609" s="234"/>
      <c r="AX609" s="234"/>
      <c r="BD609" s="120"/>
      <c r="BE609" s="234"/>
      <c r="BK609" s="120"/>
      <c r="BT609" s="121"/>
    </row>
    <row r="610" spans="1:72" s="119" customFormat="1">
      <c r="A610" s="130"/>
      <c r="B610" s="117"/>
      <c r="C610" s="117"/>
      <c r="V610" s="234"/>
      <c r="AC610" s="234"/>
      <c r="AJ610" s="234"/>
      <c r="AQ610" s="234"/>
      <c r="AX610" s="234"/>
      <c r="BD610" s="120"/>
      <c r="BE610" s="234"/>
      <c r="BK610" s="120"/>
      <c r="BT610" s="121"/>
    </row>
    <row r="611" spans="1:72" s="119" customFormat="1">
      <c r="A611" s="130"/>
      <c r="B611" s="117"/>
      <c r="C611" s="117"/>
      <c r="V611" s="234"/>
      <c r="AC611" s="234"/>
      <c r="AJ611" s="234"/>
      <c r="AQ611" s="234"/>
      <c r="AX611" s="234"/>
      <c r="BD611" s="120"/>
      <c r="BE611" s="234"/>
      <c r="BK611" s="120"/>
      <c r="BT611" s="121"/>
    </row>
    <row r="612" spans="1:72" s="119" customFormat="1">
      <c r="A612" s="130"/>
      <c r="B612" s="117"/>
      <c r="C612" s="117"/>
      <c r="V612" s="234"/>
      <c r="AC612" s="234"/>
      <c r="AJ612" s="234"/>
      <c r="AQ612" s="234"/>
      <c r="AX612" s="234"/>
      <c r="BD612" s="120"/>
      <c r="BE612" s="234"/>
      <c r="BK612" s="120"/>
      <c r="BT612" s="121"/>
    </row>
    <row r="613" spans="1:72" s="119" customFormat="1">
      <c r="A613" s="130"/>
      <c r="B613" s="117"/>
      <c r="C613" s="117"/>
      <c r="V613" s="234"/>
      <c r="AC613" s="234"/>
      <c r="AJ613" s="234"/>
      <c r="AQ613" s="234"/>
      <c r="AX613" s="234"/>
      <c r="BD613" s="120"/>
      <c r="BE613" s="234"/>
      <c r="BK613" s="120"/>
      <c r="BT613" s="121"/>
    </row>
    <row r="614" spans="1:72" s="119" customFormat="1">
      <c r="A614" s="130"/>
      <c r="B614" s="117"/>
      <c r="C614" s="117"/>
      <c r="V614" s="234"/>
      <c r="AC614" s="234"/>
      <c r="AJ614" s="234"/>
      <c r="AQ614" s="234"/>
      <c r="AX614" s="234"/>
      <c r="BD614" s="120"/>
      <c r="BE614" s="234"/>
      <c r="BK614" s="120"/>
      <c r="BT614" s="121"/>
    </row>
    <row r="615" spans="1:72" s="119" customFormat="1">
      <c r="A615" s="130"/>
      <c r="B615" s="117"/>
      <c r="C615" s="117"/>
      <c r="V615" s="234"/>
      <c r="AC615" s="234"/>
      <c r="AJ615" s="234"/>
      <c r="AQ615" s="234"/>
      <c r="AX615" s="234"/>
      <c r="BD615" s="120"/>
      <c r="BE615" s="234"/>
      <c r="BK615" s="120"/>
      <c r="BT615" s="121"/>
    </row>
    <row r="616" spans="1:72" s="119" customFormat="1">
      <c r="A616" s="130"/>
      <c r="B616" s="117"/>
      <c r="C616" s="117"/>
      <c r="V616" s="234"/>
      <c r="AC616" s="234"/>
      <c r="AJ616" s="234"/>
      <c r="AQ616" s="234"/>
      <c r="AX616" s="234"/>
      <c r="BD616" s="120"/>
      <c r="BE616" s="234"/>
      <c r="BK616" s="120"/>
      <c r="BT616" s="121"/>
    </row>
    <row r="617" spans="1:72" s="119" customFormat="1">
      <c r="A617" s="130"/>
      <c r="B617" s="117"/>
      <c r="C617" s="117"/>
      <c r="V617" s="234"/>
      <c r="AC617" s="234"/>
      <c r="AJ617" s="234"/>
      <c r="AQ617" s="234"/>
      <c r="AX617" s="234"/>
      <c r="BD617" s="120"/>
      <c r="BE617" s="234"/>
      <c r="BK617" s="120"/>
      <c r="BT617" s="121"/>
    </row>
    <row r="618" spans="1:72" s="119" customFormat="1">
      <c r="A618" s="130"/>
      <c r="B618" s="117"/>
      <c r="C618" s="117"/>
      <c r="V618" s="234"/>
      <c r="AC618" s="234"/>
      <c r="AJ618" s="234"/>
      <c r="AQ618" s="234"/>
      <c r="AX618" s="234"/>
      <c r="BD618" s="120"/>
      <c r="BE618" s="234"/>
      <c r="BK618" s="120"/>
      <c r="BT618" s="121"/>
    </row>
    <row r="619" spans="1:72" s="119" customFormat="1">
      <c r="A619" s="130"/>
      <c r="B619" s="117"/>
      <c r="C619" s="117"/>
      <c r="V619" s="234"/>
      <c r="AC619" s="234"/>
      <c r="AJ619" s="234"/>
      <c r="AQ619" s="234"/>
      <c r="AX619" s="234"/>
      <c r="BD619" s="120"/>
      <c r="BE619" s="234"/>
      <c r="BK619" s="120"/>
      <c r="BT619" s="121"/>
    </row>
    <row r="620" spans="1:72" s="119" customFormat="1">
      <c r="A620" s="130"/>
      <c r="B620" s="117"/>
      <c r="C620" s="117"/>
      <c r="V620" s="234"/>
      <c r="AC620" s="234"/>
      <c r="AJ620" s="234"/>
      <c r="AQ620" s="234"/>
      <c r="AX620" s="234"/>
      <c r="BD620" s="120"/>
      <c r="BE620" s="234"/>
      <c r="BK620" s="120"/>
      <c r="BT620" s="121"/>
    </row>
    <row r="621" spans="1:72" s="119" customFormat="1">
      <c r="A621" s="130"/>
      <c r="B621" s="117"/>
      <c r="C621" s="117"/>
      <c r="V621" s="234"/>
      <c r="AC621" s="234"/>
      <c r="AJ621" s="234"/>
      <c r="AQ621" s="234"/>
      <c r="AX621" s="234"/>
      <c r="BD621" s="120"/>
      <c r="BE621" s="234"/>
      <c r="BK621" s="120"/>
      <c r="BT621" s="121"/>
    </row>
    <row r="622" spans="1:72" s="119" customFormat="1">
      <c r="A622" s="130"/>
      <c r="B622" s="117"/>
      <c r="C622" s="117"/>
      <c r="V622" s="234"/>
      <c r="AC622" s="234"/>
      <c r="AJ622" s="234"/>
      <c r="AQ622" s="234"/>
      <c r="AX622" s="234"/>
      <c r="BD622" s="120"/>
      <c r="BE622" s="234"/>
      <c r="BK622" s="120"/>
      <c r="BT622" s="121"/>
    </row>
    <row r="623" spans="1:72" s="119" customFormat="1">
      <c r="A623" s="130"/>
      <c r="B623" s="117"/>
      <c r="C623" s="117"/>
      <c r="V623" s="234"/>
      <c r="AC623" s="234"/>
      <c r="AJ623" s="234"/>
      <c r="AQ623" s="234"/>
      <c r="AX623" s="234"/>
      <c r="BD623" s="120"/>
      <c r="BE623" s="234"/>
      <c r="BK623" s="120"/>
      <c r="BT623" s="121"/>
    </row>
    <row r="624" spans="1:72" s="119" customFormat="1">
      <c r="A624" s="130"/>
      <c r="B624" s="117"/>
      <c r="C624" s="117"/>
      <c r="V624" s="234"/>
      <c r="AC624" s="234"/>
      <c r="AJ624" s="234"/>
      <c r="AQ624" s="234"/>
      <c r="AX624" s="234"/>
      <c r="BD624" s="120"/>
      <c r="BE624" s="234"/>
      <c r="BK624" s="120"/>
      <c r="BT624" s="121"/>
    </row>
    <row r="625" spans="1:72" s="119" customFormat="1">
      <c r="A625" s="130"/>
      <c r="B625" s="117"/>
      <c r="C625" s="117"/>
      <c r="V625" s="234"/>
      <c r="AC625" s="234"/>
      <c r="AJ625" s="234"/>
      <c r="AQ625" s="234"/>
      <c r="AX625" s="234"/>
      <c r="BD625" s="120"/>
      <c r="BE625" s="234"/>
      <c r="BK625" s="120"/>
      <c r="BT625" s="121"/>
    </row>
    <row r="626" spans="1:72" s="119" customFormat="1">
      <c r="A626" s="130"/>
      <c r="B626" s="117"/>
      <c r="C626" s="117"/>
      <c r="V626" s="234"/>
      <c r="AC626" s="234"/>
      <c r="AJ626" s="234"/>
      <c r="AQ626" s="234"/>
      <c r="AX626" s="234"/>
      <c r="BD626" s="120"/>
      <c r="BE626" s="234"/>
      <c r="BK626" s="120"/>
      <c r="BT626" s="121"/>
    </row>
    <row r="627" spans="1:72" s="119" customFormat="1">
      <c r="A627" s="130"/>
      <c r="B627" s="117"/>
      <c r="C627" s="117"/>
      <c r="V627" s="234"/>
      <c r="AC627" s="234"/>
      <c r="AJ627" s="234"/>
      <c r="AQ627" s="234"/>
      <c r="AX627" s="234"/>
      <c r="BD627" s="120"/>
      <c r="BE627" s="234"/>
      <c r="BK627" s="120"/>
      <c r="BT627" s="121"/>
    </row>
    <row r="628" spans="1:72" s="119" customFormat="1">
      <c r="A628" s="130"/>
      <c r="B628" s="117"/>
      <c r="C628" s="117"/>
      <c r="V628" s="234"/>
      <c r="AC628" s="234"/>
      <c r="AJ628" s="234"/>
      <c r="AQ628" s="234"/>
      <c r="AX628" s="234"/>
      <c r="BD628" s="120"/>
      <c r="BE628" s="234"/>
      <c r="BK628" s="120"/>
      <c r="BT628" s="121"/>
    </row>
    <row r="629" spans="1:72" s="119" customFormat="1">
      <c r="A629" s="130"/>
      <c r="B629" s="117"/>
      <c r="C629" s="117"/>
      <c r="V629" s="234"/>
      <c r="AC629" s="234"/>
      <c r="AJ629" s="234"/>
      <c r="AQ629" s="234"/>
      <c r="AX629" s="234"/>
      <c r="BD629" s="120"/>
      <c r="BE629" s="234"/>
      <c r="BK629" s="120"/>
      <c r="BT629" s="121"/>
    </row>
    <row r="630" spans="1:72" s="119" customFormat="1">
      <c r="A630" s="130"/>
      <c r="B630" s="117"/>
      <c r="C630" s="117"/>
      <c r="V630" s="234"/>
      <c r="AC630" s="234"/>
      <c r="AJ630" s="234"/>
      <c r="AQ630" s="234"/>
      <c r="AX630" s="234"/>
      <c r="BD630" s="120"/>
      <c r="BE630" s="234"/>
      <c r="BK630" s="120"/>
      <c r="BT630" s="121"/>
    </row>
    <row r="631" spans="1:72" s="119" customFormat="1">
      <c r="A631" s="130"/>
      <c r="B631" s="117"/>
      <c r="C631" s="117"/>
      <c r="V631" s="234"/>
      <c r="AC631" s="234"/>
      <c r="AJ631" s="234"/>
      <c r="AQ631" s="234"/>
      <c r="AX631" s="234"/>
      <c r="BD631" s="120"/>
      <c r="BE631" s="234"/>
      <c r="BK631" s="120"/>
      <c r="BT631" s="121"/>
    </row>
    <row r="632" spans="1:72" s="119" customFormat="1">
      <c r="A632" s="130"/>
      <c r="B632" s="117"/>
      <c r="C632" s="117"/>
      <c r="V632" s="234"/>
      <c r="AC632" s="234"/>
      <c r="AJ632" s="234"/>
      <c r="AQ632" s="234"/>
      <c r="AX632" s="234"/>
      <c r="BD632" s="120"/>
      <c r="BE632" s="234"/>
      <c r="BK632" s="120"/>
      <c r="BT632" s="121"/>
    </row>
    <row r="633" spans="1:72" s="119" customFormat="1">
      <c r="A633" s="130"/>
      <c r="B633" s="117"/>
      <c r="C633" s="117"/>
      <c r="V633" s="234"/>
      <c r="AC633" s="234"/>
      <c r="AJ633" s="234"/>
      <c r="AQ633" s="234"/>
      <c r="AX633" s="234"/>
      <c r="BD633" s="120"/>
      <c r="BE633" s="234"/>
      <c r="BK633" s="120"/>
      <c r="BT633" s="121"/>
    </row>
    <row r="634" spans="1:72" s="119" customFormat="1">
      <c r="A634" s="130"/>
      <c r="B634" s="117"/>
      <c r="C634" s="117"/>
      <c r="V634" s="234"/>
      <c r="AC634" s="234"/>
      <c r="AJ634" s="234"/>
      <c r="AQ634" s="234"/>
      <c r="AX634" s="234"/>
      <c r="BD634" s="120"/>
      <c r="BE634" s="234"/>
      <c r="BK634" s="120"/>
      <c r="BT634" s="121"/>
    </row>
    <row r="635" spans="1:72" s="119" customFormat="1">
      <c r="A635" s="130"/>
      <c r="B635" s="117"/>
      <c r="C635" s="117"/>
      <c r="V635" s="234"/>
      <c r="AC635" s="234"/>
      <c r="AJ635" s="234"/>
      <c r="AQ635" s="234"/>
      <c r="AX635" s="234"/>
      <c r="BD635" s="120"/>
      <c r="BE635" s="234"/>
      <c r="BK635" s="120"/>
      <c r="BT635" s="121"/>
    </row>
    <row r="636" spans="1:72" s="119" customFormat="1">
      <c r="A636" s="130"/>
      <c r="B636" s="117"/>
      <c r="C636" s="117"/>
      <c r="V636" s="234"/>
      <c r="AC636" s="234"/>
      <c r="AJ636" s="234"/>
      <c r="AQ636" s="234"/>
      <c r="AX636" s="234"/>
      <c r="BD636" s="120"/>
      <c r="BE636" s="234"/>
      <c r="BK636" s="120"/>
      <c r="BT636" s="121"/>
    </row>
    <row r="637" spans="1:72" s="119" customFormat="1">
      <c r="A637" s="130"/>
      <c r="B637" s="117"/>
      <c r="C637" s="117"/>
      <c r="V637" s="234"/>
      <c r="AC637" s="234"/>
      <c r="AJ637" s="234"/>
      <c r="AQ637" s="234"/>
      <c r="AX637" s="234"/>
      <c r="BD637" s="120"/>
      <c r="BE637" s="234"/>
      <c r="BK637" s="120"/>
      <c r="BT637" s="121"/>
    </row>
    <row r="638" spans="1:72" s="119" customFormat="1">
      <c r="A638" s="130"/>
      <c r="B638" s="117"/>
      <c r="C638" s="117"/>
      <c r="V638" s="234"/>
      <c r="AC638" s="234"/>
      <c r="AJ638" s="234"/>
      <c r="AQ638" s="234"/>
      <c r="AX638" s="234"/>
      <c r="BD638" s="120"/>
      <c r="BE638" s="234"/>
      <c r="BK638" s="120"/>
      <c r="BT638" s="121"/>
    </row>
    <row r="639" spans="1:72" s="119" customFormat="1">
      <c r="A639" s="130"/>
      <c r="B639" s="117"/>
      <c r="C639" s="117"/>
      <c r="V639" s="234"/>
      <c r="AC639" s="234"/>
      <c r="AJ639" s="234"/>
      <c r="AQ639" s="234"/>
      <c r="AX639" s="234"/>
      <c r="BD639" s="120"/>
      <c r="BE639" s="234"/>
      <c r="BK639" s="120"/>
      <c r="BT639" s="121"/>
    </row>
    <row r="640" spans="1:72" s="119" customFormat="1">
      <c r="A640" s="130"/>
      <c r="B640" s="117"/>
      <c r="C640" s="117"/>
      <c r="V640" s="234"/>
      <c r="AC640" s="234"/>
      <c r="AJ640" s="234"/>
      <c r="AQ640" s="234"/>
      <c r="AX640" s="234"/>
      <c r="BD640" s="120"/>
      <c r="BE640" s="234"/>
      <c r="BK640" s="120"/>
      <c r="BT640" s="121"/>
    </row>
    <row r="641" spans="1:72" s="119" customFormat="1">
      <c r="A641" s="130"/>
      <c r="B641" s="117"/>
      <c r="C641" s="117"/>
      <c r="V641" s="234"/>
      <c r="AC641" s="234"/>
      <c r="AJ641" s="234"/>
      <c r="AQ641" s="234"/>
      <c r="AX641" s="234"/>
      <c r="BD641" s="120"/>
      <c r="BE641" s="234"/>
      <c r="BK641" s="120"/>
      <c r="BT641" s="121"/>
    </row>
    <row r="642" spans="1:72" s="119" customFormat="1">
      <c r="A642" s="130"/>
      <c r="B642" s="117"/>
      <c r="C642" s="117"/>
      <c r="V642" s="234"/>
      <c r="AC642" s="234"/>
      <c r="AJ642" s="234"/>
      <c r="AQ642" s="234"/>
      <c r="AX642" s="234"/>
      <c r="BD642" s="120"/>
      <c r="BE642" s="234"/>
      <c r="BK642" s="120"/>
      <c r="BT642" s="121"/>
    </row>
    <row r="643" spans="1:72" s="119" customFormat="1">
      <c r="A643" s="130"/>
      <c r="B643" s="117"/>
      <c r="C643" s="117"/>
      <c r="V643" s="234"/>
      <c r="AC643" s="234"/>
      <c r="AJ643" s="234"/>
      <c r="AQ643" s="234"/>
      <c r="AX643" s="234"/>
      <c r="BD643" s="120"/>
      <c r="BE643" s="234"/>
      <c r="BK643" s="120"/>
      <c r="BT643" s="121"/>
    </row>
    <row r="644" spans="1:72" s="119" customFormat="1">
      <c r="A644" s="130"/>
      <c r="B644" s="117"/>
      <c r="C644" s="117"/>
      <c r="V644" s="234"/>
      <c r="AC644" s="234"/>
      <c r="AJ644" s="234"/>
      <c r="AQ644" s="234"/>
      <c r="AX644" s="234"/>
      <c r="BD644" s="120"/>
      <c r="BE644" s="234"/>
      <c r="BK644" s="120"/>
      <c r="BT644" s="121"/>
    </row>
    <row r="645" spans="1:72" s="119" customFormat="1">
      <c r="A645" s="130"/>
      <c r="B645" s="117"/>
      <c r="C645" s="117"/>
      <c r="V645" s="234"/>
      <c r="AC645" s="234"/>
      <c r="AJ645" s="234"/>
      <c r="AQ645" s="234"/>
      <c r="AX645" s="234"/>
      <c r="BD645" s="120"/>
      <c r="BE645" s="234"/>
      <c r="BK645" s="120"/>
      <c r="BT645" s="121"/>
    </row>
  </sheetData>
  <phoneticPr fontId="25" type="noConversion"/>
  <conditionalFormatting sqref="D8:BK8">
    <cfRule type="colorScale" priority="55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pageSetup paperSize="9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6" r:id="rId3" name="Drop Down 2">
              <controlPr defaultSize="0" autoLine="0" autoPict="0">
                <anchor moveWithCells="1">
                  <from>
                    <xdr:col>0</xdr:col>
                    <xdr:colOff>68580</xdr:colOff>
                    <xdr:row>33</xdr:row>
                    <xdr:rowOff>68580</xdr:rowOff>
                  </from>
                  <to>
                    <xdr:col>1</xdr:col>
                    <xdr:colOff>163830</xdr:colOff>
                    <xdr:row>36</xdr:row>
                    <xdr:rowOff>49530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DC5007-82CC-4B39-A9EC-1D8F579881C5}">
  <sheetPr codeName="Sheet5">
    <tabColor rgb="FFFFFF00"/>
  </sheetPr>
  <dimension ref="A1:Y82"/>
  <sheetViews>
    <sheetView zoomScaleNormal="100" workbookViewId="0">
      <selection activeCell="C28" sqref="C28"/>
    </sheetView>
  </sheetViews>
  <sheetFormatPr defaultRowHeight="12.3"/>
  <cols>
    <col min="1" max="1" width="9.1640625" style="96"/>
    <col min="2" max="2" width="31.5546875" customWidth="1"/>
    <col min="3" max="6" width="10.1640625" customWidth="1"/>
    <col min="7" max="8" width="11.1640625" customWidth="1"/>
    <col min="9" max="10" width="10.1640625" customWidth="1"/>
    <col min="13" max="13" width="9.83203125" bestFit="1" customWidth="1"/>
    <col min="21" max="22" width="8.44140625" bestFit="1" customWidth="1"/>
    <col min="23" max="23" width="10" customWidth="1"/>
    <col min="24" max="24" width="10.83203125" customWidth="1"/>
    <col min="25" max="25" width="10.1640625" bestFit="1" customWidth="1"/>
  </cols>
  <sheetData>
    <row r="1" spans="1:20" ht="22.2">
      <c r="B1" s="114" t="str">
        <f>_xlfn.CONCAT(Summary!B2,"-年度财务UE")</f>
        <v>0-年度财务UE</v>
      </c>
    </row>
    <row r="2" spans="1:20" ht="13.9" customHeight="1">
      <c r="B2" s="114"/>
      <c r="C2" s="409"/>
      <c r="D2" s="409"/>
      <c r="E2" s="409"/>
      <c r="F2" s="409"/>
      <c r="G2" s="410"/>
      <c r="H2" s="410"/>
      <c r="I2" s="410"/>
      <c r="J2" s="410"/>
    </row>
    <row r="3" spans="1:20">
      <c r="B3" s="415" t="s">
        <v>150</v>
      </c>
      <c r="C3" s="430">
        <v>2020</v>
      </c>
      <c r="D3" s="416">
        <v>2021</v>
      </c>
      <c r="E3" s="416">
        <v>2022</v>
      </c>
      <c r="F3" s="417">
        <v>2023</v>
      </c>
      <c r="G3" s="417">
        <v>2024</v>
      </c>
      <c r="H3" s="419">
        <v>2025</v>
      </c>
      <c r="I3" s="418">
        <v>2026</v>
      </c>
      <c r="J3" s="419">
        <v>2027</v>
      </c>
    </row>
    <row r="4" spans="1:20" ht="13.2">
      <c r="A4" s="113" t="s">
        <v>158</v>
      </c>
      <c r="B4" s="420" t="s">
        <v>218</v>
      </c>
      <c r="C4" s="431" t="e">
        <f>INDEX(#REF!, MATCH($A4,#REF!, 0), MATCH(C$3,#REF!, 0))</f>
        <v>#REF!</v>
      </c>
      <c r="D4" s="432" t="e">
        <f>INDEX(#REF!, MATCH($A4,#REF!, 0), MATCH(D$3,#REF!, 0))</f>
        <v>#REF!</v>
      </c>
      <c r="E4" s="432" t="e">
        <f>INDEX(#REF!, MATCH($A4,#REF!, 0), MATCH(E$3,#REF!, 0))</f>
        <v>#REF!</v>
      </c>
      <c r="F4" s="433" t="e">
        <f>INDEX(#REF!, MATCH($A4,#REF!, 0), MATCH(F$3,#REF!, 0))</f>
        <v>#REF!</v>
      </c>
      <c r="G4" s="433" t="e">
        <f>INDEX(#REF!, MATCH($A4,#REF!, 0), MATCH(G$3,#REF!, 0))</f>
        <v>#REF!</v>
      </c>
      <c r="H4" s="433" t="e">
        <f>INDEX(#REF!, MATCH($A4,#REF!, 0), MATCH(H$3,#REF!, 0))</f>
        <v>#REF!</v>
      </c>
      <c r="I4" s="432" t="e">
        <f>INDEX(#REF!, MATCH($A4,#REF!, 0), MATCH(I$3,#REF!, 0))</f>
        <v>#REF!</v>
      </c>
      <c r="J4" s="433" t="e">
        <f>INDEX(#REF!, MATCH($A4,#REF!, 0), MATCH(J$3,#REF!, 0))</f>
        <v>#REF!</v>
      </c>
    </row>
    <row r="5" spans="1:20" ht="12.9">
      <c r="A5" s="91" t="s">
        <v>428</v>
      </c>
      <c r="B5" s="421" t="s">
        <v>14</v>
      </c>
      <c r="C5" s="434" t="e">
        <f>INDEX(#REF!, MATCH($A5,#REF!, 0), MATCH(C$3,#REF!, 0))</f>
        <v>#REF!</v>
      </c>
      <c r="D5" s="435" t="e">
        <f>INDEX(#REF!, MATCH($A5,#REF!, 0), MATCH(D$3,#REF!, 0))</f>
        <v>#REF!</v>
      </c>
      <c r="E5" s="435" t="e">
        <f>INDEX(#REF!, MATCH($A5,#REF!, 0), MATCH(E$3,#REF!, 0))</f>
        <v>#REF!</v>
      </c>
      <c r="F5" s="436" t="e">
        <f>INDEX(#REF!, MATCH($A5,#REF!, 0), MATCH(F$3,#REF!, 0))</f>
        <v>#REF!</v>
      </c>
      <c r="G5" s="436" t="e">
        <f>INDEX(#REF!, MATCH($A5,#REF!, 0), MATCH(G$3,#REF!, 0))</f>
        <v>#REF!</v>
      </c>
      <c r="H5" s="436" t="e">
        <f>INDEX(#REF!, MATCH($A5,#REF!, 0), MATCH(H$3,#REF!, 0))</f>
        <v>#REF!</v>
      </c>
      <c r="I5" s="435" t="e">
        <f>INDEX(#REF!, MATCH($A5,#REF!, 0), MATCH(I$3,#REF!, 0))</f>
        <v>#REF!</v>
      </c>
      <c r="J5" s="436" t="e">
        <f>INDEX(#REF!, MATCH($A5,#REF!, 0), MATCH(J$3,#REF!, 0))</f>
        <v>#REF!</v>
      </c>
    </row>
    <row r="6" spans="1:20" ht="13.2">
      <c r="A6" s="105" t="s">
        <v>159</v>
      </c>
      <c r="B6" s="422" t="s">
        <v>219</v>
      </c>
      <c r="C6" s="437" t="e">
        <f>INDEX(#REF!, MATCH($A6,#REF!, 0), MATCH(C$3,#REF!, 0))</f>
        <v>#REF!</v>
      </c>
      <c r="D6" s="203" t="e">
        <f>INDEX(#REF!, MATCH($A6,#REF!, 0), MATCH(D$3,#REF!, 0))</f>
        <v>#REF!</v>
      </c>
      <c r="E6" s="203" t="e">
        <f>INDEX(#REF!, MATCH($A6,#REF!, 0), MATCH(E$3,#REF!, 0))</f>
        <v>#REF!</v>
      </c>
      <c r="F6" s="438" t="e">
        <f>INDEX(#REF!, MATCH($A6,#REF!, 0), MATCH(F$3,#REF!, 0))</f>
        <v>#REF!</v>
      </c>
      <c r="G6" s="438" t="e">
        <f>INDEX(#REF!, MATCH($A6,#REF!, 0), MATCH(G$3,#REF!, 0))</f>
        <v>#REF!</v>
      </c>
      <c r="H6" s="438" t="e">
        <f>INDEX(#REF!, MATCH($A6,#REF!, 0), MATCH(H$3,#REF!, 0))</f>
        <v>#REF!</v>
      </c>
      <c r="I6" s="203" t="e">
        <f>INDEX(#REF!, MATCH($A6,#REF!, 0), MATCH(I$3,#REF!, 0))</f>
        <v>#REF!</v>
      </c>
      <c r="J6" s="438" t="e">
        <f>INDEX(#REF!, MATCH($A6,#REF!, 0), MATCH(J$3,#REF!, 0))</f>
        <v>#REF!</v>
      </c>
    </row>
    <row r="7" spans="1:20">
      <c r="A7" s="115" t="s">
        <v>429</v>
      </c>
      <c r="B7" s="423" t="s">
        <v>383</v>
      </c>
      <c r="C7" s="434" t="e">
        <f>INDEX(#REF!, MATCH($A7,#REF!, 0), MATCH(C$3,#REF!, 0))</f>
        <v>#REF!</v>
      </c>
      <c r="D7" s="435" t="e">
        <f>INDEX(#REF!, MATCH($A7,#REF!, 0), MATCH(D$3,#REF!, 0))</f>
        <v>#REF!</v>
      </c>
      <c r="E7" s="435" t="e">
        <f>INDEX(#REF!, MATCH($A7,#REF!, 0), MATCH(E$3,#REF!, 0))</f>
        <v>#REF!</v>
      </c>
      <c r="F7" s="436" t="e">
        <f>INDEX(#REF!, MATCH($A7,#REF!, 0), MATCH(F$3,#REF!, 0))</f>
        <v>#REF!</v>
      </c>
      <c r="G7" s="436" t="e">
        <f>INDEX(#REF!, MATCH($A7,#REF!, 0), MATCH(G$3,#REF!, 0))</f>
        <v>#REF!</v>
      </c>
      <c r="H7" s="436" t="e">
        <f>H6/G6-1</f>
        <v>#REF!</v>
      </c>
      <c r="I7" s="435" t="e">
        <f>INDEX(#REF!, MATCH($A7,#REF!, 0), MATCH(I$3,#REF!, 0))</f>
        <v>#REF!</v>
      </c>
      <c r="J7" s="436" t="e">
        <f>INDEX(#REF!, MATCH($A7,#REF!, 0), MATCH(J$3,#REF!, 0))</f>
        <v>#REF!</v>
      </c>
    </row>
    <row r="8" spans="1:20" ht="12.9">
      <c r="A8" s="110" t="s">
        <v>171</v>
      </c>
      <c r="B8" s="424" t="s">
        <v>220</v>
      </c>
      <c r="C8" s="437" t="e">
        <f>INDEX(#REF!, MATCH($A8,#REF!, 0), MATCH(C$3,#REF!, 0))</f>
        <v>#REF!</v>
      </c>
      <c r="D8" s="203" t="e">
        <f>INDEX(#REF!, MATCH($A8,#REF!, 0), MATCH(D$3,#REF!, 0))</f>
        <v>#REF!</v>
      </c>
      <c r="E8" s="203" t="e">
        <f>INDEX(#REF!, MATCH($A8,#REF!, 0), MATCH(E$3,#REF!, 0))</f>
        <v>#REF!</v>
      </c>
      <c r="F8" s="438" t="e">
        <f>INDEX(#REF!, MATCH($A8,#REF!, 0), MATCH(F$3,#REF!, 0))</f>
        <v>#REF!</v>
      </c>
      <c r="G8" s="438" t="e">
        <f>INDEX(#REF!, MATCH($A8,#REF!, 0), MATCH(G$3,#REF!, 0))</f>
        <v>#REF!</v>
      </c>
      <c r="H8" s="438" t="e">
        <f>INDEX(#REF!, MATCH($A8,#REF!, 0), MATCH(H$3,#REF!, 0))</f>
        <v>#REF!</v>
      </c>
      <c r="I8" s="203" t="e">
        <f>INDEX(#REF!, MATCH($A8,#REF!, 0), MATCH(I$3,#REF!, 0))</f>
        <v>#REF!</v>
      </c>
      <c r="J8" s="438" t="e">
        <f>INDEX(#REF!, MATCH($A8,#REF!, 0), MATCH(J$3,#REF!, 0))</f>
        <v>#REF!</v>
      </c>
    </row>
    <row r="9" spans="1:20" ht="12.9">
      <c r="A9" s="91" t="s">
        <v>430</v>
      </c>
      <c r="B9" s="425" t="s">
        <v>14</v>
      </c>
      <c r="C9" s="434" t="e">
        <f>INDEX(#REF!, MATCH($A9,#REF!, 0), MATCH(C$3,#REF!, 0))</f>
        <v>#REF!</v>
      </c>
      <c r="D9" s="435" t="e">
        <f>INDEX(#REF!, MATCH($A9,#REF!, 0), MATCH(D$3,#REF!, 0))</f>
        <v>#REF!</v>
      </c>
      <c r="E9" s="435" t="e">
        <f>INDEX(#REF!, MATCH($A9,#REF!, 0), MATCH(E$3,#REF!, 0))</f>
        <v>#REF!</v>
      </c>
      <c r="F9" s="436" t="e">
        <f>INDEX(#REF!, MATCH($A9,#REF!, 0), MATCH(F$3,#REF!, 0))</f>
        <v>#REF!</v>
      </c>
      <c r="G9" s="436" t="e">
        <f>INDEX(#REF!, MATCH($A9,#REF!, 0), MATCH(G$3,#REF!, 0))</f>
        <v>#REF!</v>
      </c>
      <c r="H9" s="436" t="e">
        <f>INDEX(#REF!, MATCH($A9,#REF!, 0), MATCH(H$3,#REF!, 0))</f>
        <v>#REF!</v>
      </c>
      <c r="I9" s="435" t="e">
        <f>INDEX(#REF!, MATCH($A9,#REF!, 0), MATCH(I$3,#REF!, 0))</f>
        <v>#REF!</v>
      </c>
      <c r="J9" s="436" t="e">
        <f>INDEX(#REF!, MATCH($A9,#REF!, 0), MATCH(J$3,#REF!, 0))</f>
        <v>#REF!</v>
      </c>
    </row>
    <row r="10" spans="1:20" ht="12.9">
      <c r="A10" s="412" t="s">
        <v>431</v>
      </c>
      <c r="B10" s="424" t="s">
        <v>476</v>
      </c>
      <c r="C10" s="437" t="e">
        <f>INDEX(#REF!, MATCH($A10,#REF!, 0), MATCH(C$3,#REF!, 0))</f>
        <v>#REF!</v>
      </c>
      <c r="D10" s="203" t="e">
        <f>INDEX(#REF!, MATCH($A10,#REF!, 0), MATCH(D$3,#REF!, 0))</f>
        <v>#REF!</v>
      </c>
      <c r="E10" s="203" t="e">
        <f>INDEX(#REF!, MATCH($A10,#REF!, 0), MATCH(E$3,#REF!, 0))</f>
        <v>#REF!</v>
      </c>
      <c r="F10" s="438" t="e">
        <f>INDEX(#REF!, MATCH($A10,#REF!, 0), MATCH(F$3,#REF!, 0))</f>
        <v>#REF!</v>
      </c>
      <c r="G10" s="438" t="e">
        <f>INDEX(#REF!, MATCH($A10,#REF!, 0), MATCH(G$3,#REF!, 0))</f>
        <v>#REF!</v>
      </c>
      <c r="H10" s="438" t="e">
        <f>INDEX(#REF!, MATCH($A10,#REF!, 0), MATCH(H$3,#REF!, 0))</f>
        <v>#REF!</v>
      </c>
      <c r="I10" s="203" t="e">
        <f>INDEX(#REF!, MATCH($A10,#REF!, 0), MATCH(I$3,#REF!, 0))</f>
        <v>#REF!</v>
      </c>
      <c r="J10" s="438" t="e">
        <f>INDEX(#REF!, MATCH($A10,#REF!, 0), MATCH(J$3,#REF!, 0))</f>
        <v>#REF!</v>
      </c>
    </row>
    <row r="11" spans="1:20" ht="12.9">
      <c r="A11" s="413" t="s">
        <v>433</v>
      </c>
      <c r="B11" s="425" t="s">
        <v>14</v>
      </c>
      <c r="C11" s="434" t="e">
        <f>INDEX(#REF!, MATCH($A11,#REF!, 0), MATCH(C$3,#REF!, 0))</f>
        <v>#REF!</v>
      </c>
      <c r="D11" s="435" t="e">
        <f>INDEX(#REF!, MATCH($A11,#REF!, 0), MATCH(D$3,#REF!, 0))</f>
        <v>#REF!</v>
      </c>
      <c r="E11" s="435" t="e">
        <f>INDEX(#REF!, MATCH($A11,#REF!, 0), MATCH(E$3,#REF!, 0))</f>
        <v>#REF!</v>
      </c>
      <c r="F11" s="436" t="e">
        <f>INDEX(#REF!, MATCH($A11,#REF!, 0), MATCH(F$3,#REF!, 0))</f>
        <v>#REF!</v>
      </c>
      <c r="G11" s="436" t="e">
        <f>INDEX(#REF!, MATCH($A11,#REF!, 0), MATCH(G$3,#REF!, 0))</f>
        <v>#REF!</v>
      </c>
      <c r="H11" s="436" t="e">
        <f>INDEX(#REF!, MATCH($A11,#REF!, 0), MATCH(H$3,#REF!, 0))</f>
        <v>#REF!</v>
      </c>
      <c r="I11" s="435" t="e">
        <f>INDEX(#REF!, MATCH($A11,#REF!, 0), MATCH(I$3,#REF!, 0))</f>
        <v>#REF!</v>
      </c>
      <c r="J11" s="436" t="e">
        <f>INDEX(#REF!, MATCH($A11,#REF!, 0), MATCH(J$3,#REF!, 0))</f>
        <v>#REF!</v>
      </c>
    </row>
    <row r="12" spans="1:20" ht="14.1">
      <c r="A12" s="103" t="s">
        <v>20</v>
      </c>
      <c r="B12" s="429" t="s">
        <v>364</v>
      </c>
      <c r="C12" s="445" t="e">
        <f>INDEX(#REF!, MATCH($A12,#REF!, 0), MATCH(C$3,#REF!, 0))</f>
        <v>#REF!</v>
      </c>
      <c r="D12" s="446" t="e">
        <f>INDEX(#REF!, MATCH($A12,#REF!, 0), MATCH(D$3,#REF!, 0))</f>
        <v>#REF!</v>
      </c>
      <c r="E12" s="446" t="e">
        <f>INDEX(#REF!, MATCH($A12,#REF!, 0), MATCH(E$3,#REF!, 0))</f>
        <v>#REF!</v>
      </c>
      <c r="F12" s="447" t="e">
        <f>INDEX(#REF!, MATCH($A12,#REF!, 0), MATCH(F$3,#REF!, 0))</f>
        <v>#REF!</v>
      </c>
      <c r="G12" s="447" t="e">
        <f>INDEX(#REF!, MATCH($A12,#REF!, 0), MATCH(G$3,#REF!, 0))</f>
        <v>#REF!</v>
      </c>
      <c r="H12" s="447" t="e">
        <f>INDEX(#REF!, MATCH($A12,#REF!, 0), MATCH(H$3,#REF!, 0))</f>
        <v>#REF!</v>
      </c>
      <c r="I12" s="446" t="e">
        <f>INDEX(#REF!, MATCH($A12,#REF!, 0), MATCH(I$3,#REF!, 0))</f>
        <v>#REF!</v>
      </c>
      <c r="J12" s="447" t="e">
        <f>INDEX(#REF!, MATCH($A12,#REF!, 0), MATCH(J$3,#REF!, 0))</f>
        <v>#REF!</v>
      </c>
    </row>
    <row r="13" spans="1:20" ht="15.4" customHeight="1">
      <c r="A13" s="414" t="s">
        <v>422</v>
      </c>
      <c r="B13" s="426" t="s">
        <v>422</v>
      </c>
      <c r="C13" s="434" t="e">
        <f>INDEX(#REF!, MATCH($A13,#REF!, 0), MATCH(C$3,#REF!, 0))</f>
        <v>#REF!</v>
      </c>
      <c r="D13" s="435" t="e">
        <f>INDEX(#REF!, MATCH($A13,#REF!, 0), MATCH(D$3,#REF!, 0))</f>
        <v>#REF!</v>
      </c>
      <c r="E13" s="435" t="e">
        <f>INDEX(#REF!, MATCH($A13,#REF!, 0), MATCH(E$3,#REF!, 0))</f>
        <v>#REF!</v>
      </c>
      <c r="F13" s="436" t="e">
        <f>INDEX(#REF!, MATCH($A13,#REF!, 0), MATCH(F$3,#REF!, 0))</f>
        <v>#REF!</v>
      </c>
      <c r="G13" s="436" t="e">
        <f>INDEX(#REF!, MATCH($A13,#REF!, 0), MATCH(G$3,#REF!, 0))</f>
        <v>#REF!</v>
      </c>
      <c r="H13" s="436" t="e">
        <f>INDEX(#REF!, MATCH($A13,#REF!, 0), MATCH(H$3,#REF!, 0))</f>
        <v>#REF!</v>
      </c>
      <c r="I13" s="435" t="e">
        <f>INDEX(#REF!, MATCH($A13,#REF!, 0), MATCH(I$3,#REF!, 0))</f>
        <v>#REF!</v>
      </c>
      <c r="J13" s="436" t="e">
        <f>INDEX(#REF!, MATCH($A13,#REF!, 0), MATCH(J$3,#REF!, 0))</f>
        <v>#REF!</v>
      </c>
      <c r="M13" s="435"/>
      <c r="N13" s="435"/>
      <c r="O13" s="435"/>
      <c r="P13" s="435"/>
      <c r="Q13" s="435"/>
      <c r="R13" s="435"/>
      <c r="S13" s="435"/>
      <c r="T13" s="435"/>
    </row>
    <row r="14" spans="1:20" ht="14.1">
      <c r="A14" s="414" t="s">
        <v>424</v>
      </c>
      <c r="B14" s="426" t="s">
        <v>424</v>
      </c>
      <c r="C14" s="434" t="e">
        <f>C12-C13</f>
        <v>#REF!</v>
      </c>
      <c r="D14" s="435" t="e">
        <f t="shared" ref="D14:J14" si="0">D12-D13</f>
        <v>#REF!</v>
      </c>
      <c r="E14" s="435" t="e">
        <f t="shared" si="0"/>
        <v>#REF!</v>
      </c>
      <c r="F14" s="436" t="e">
        <f t="shared" si="0"/>
        <v>#REF!</v>
      </c>
      <c r="G14" s="436" t="e">
        <f t="shared" ref="G14" si="1">G12-G13</f>
        <v>#REF!</v>
      </c>
      <c r="H14" s="436" t="e">
        <f t="shared" si="0"/>
        <v>#REF!</v>
      </c>
      <c r="I14" s="435" t="e">
        <f t="shared" si="0"/>
        <v>#REF!</v>
      </c>
      <c r="J14" s="436" t="e">
        <f t="shared" si="0"/>
        <v>#REF!</v>
      </c>
    </row>
    <row r="15" spans="1:20" ht="14.1">
      <c r="A15" s="414" t="s">
        <v>423</v>
      </c>
      <c r="B15" s="426" t="s">
        <v>423</v>
      </c>
      <c r="C15" s="434" t="e">
        <f>INDEX(#REF!, MATCH($A15,#REF!, 0), MATCH(C$3,#REF!, 0))</f>
        <v>#REF!</v>
      </c>
      <c r="D15" s="435" t="e">
        <f>INDEX(#REF!, MATCH($A15,#REF!, 0), MATCH(D$3,#REF!, 0))</f>
        <v>#REF!</v>
      </c>
      <c r="E15" s="435" t="e">
        <f>INDEX(#REF!, MATCH($A15,#REF!, 0), MATCH(E$3,#REF!, 0))</f>
        <v>#REF!</v>
      </c>
      <c r="F15" s="436" t="e">
        <f>INDEX(#REF!, MATCH($A15,#REF!, 0), MATCH(F$3,#REF!, 0))</f>
        <v>#REF!</v>
      </c>
      <c r="G15" s="436" t="e">
        <f>INDEX(#REF!, MATCH($A15,#REF!, 0), MATCH(G$3,#REF!, 0))</f>
        <v>#REF!</v>
      </c>
      <c r="H15" s="436" t="e">
        <f>INDEX(#REF!, MATCH($A15,#REF!, 0), MATCH(H$3,#REF!, 0))</f>
        <v>#REF!</v>
      </c>
      <c r="I15" s="435" t="e">
        <f>INDEX(#REF!, MATCH($A15,#REF!, 0), MATCH(I$3,#REF!, 0))</f>
        <v>#REF!</v>
      </c>
      <c r="J15" s="436" t="e">
        <f>INDEX(#REF!, MATCH($A15,#REF!, 0), MATCH(J$3,#REF!, 0))</f>
        <v>#REF!</v>
      </c>
    </row>
    <row r="16" spans="1:20" ht="14.1">
      <c r="A16" s="414" t="s">
        <v>425</v>
      </c>
      <c r="B16" s="426" t="s">
        <v>425</v>
      </c>
      <c r="C16" s="434" t="e">
        <f>INDEX(#REF!, MATCH($A16,#REF!, 0), MATCH(C$3,#REF!, 0))</f>
        <v>#REF!</v>
      </c>
      <c r="D16" s="435" t="e">
        <f>INDEX(#REF!, MATCH($A16,#REF!, 0), MATCH(D$3,#REF!, 0))</f>
        <v>#REF!</v>
      </c>
      <c r="E16" s="435" t="e">
        <f>INDEX(#REF!, MATCH($A16,#REF!, 0), MATCH(E$3,#REF!, 0))</f>
        <v>#REF!</v>
      </c>
      <c r="F16" s="436" t="e">
        <f>INDEX(#REF!, MATCH($A16,#REF!, 0), MATCH(F$3,#REF!, 0))</f>
        <v>#REF!</v>
      </c>
      <c r="G16" s="436" t="e">
        <f>INDEX(#REF!, MATCH($A16,#REF!, 0), MATCH(G$3,#REF!, 0))</f>
        <v>#REF!</v>
      </c>
      <c r="H16" s="436" t="e">
        <f>INDEX(#REF!, MATCH($A16,#REF!, 0), MATCH(H$3,#REF!, 0))</f>
        <v>#REF!</v>
      </c>
      <c r="I16" s="435" t="e">
        <f>INDEX(#REF!, MATCH($A16,#REF!, 0), MATCH(I$3,#REF!, 0))</f>
        <v>#REF!</v>
      </c>
      <c r="J16" s="436" t="e">
        <f>INDEX(#REF!, MATCH($A16,#REF!, 0), MATCH(J$3,#REF!, 0))</f>
        <v>#REF!</v>
      </c>
    </row>
    <row r="17" spans="1:24" ht="14.1">
      <c r="A17" s="414" t="s">
        <v>426</v>
      </c>
      <c r="B17" s="426" t="s">
        <v>426</v>
      </c>
      <c r="C17" s="434" t="e">
        <f>INDEX(#REF!, MATCH($A17,#REF!, 0), MATCH(C$3,#REF!, 0))</f>
        <v>#REF!</v>
      </c>
      <c r="D17" s="435" t="e">
        <f>INDEX(#REF!, MATCH($A17,#REF!, 0), MATCH(D$3,#REF!, 0))</f>
        <v>#REF!</v>
      </c>
      <c r="E17" s="435" t="e">
        <f>INDEX(#REF!, MATCH($A17,#REF!, 0), MATCH(E$3,#REF!, 0))</f>
        <v>#REF!</v>
      </c>
      <c r="F17" s="436" t="e">
        <f>INDEX(#REF!, MATCH($A17,#REF!, 0), MATCH(F$3,#REF!, 0))</f>
        <v>#REF!</v>
      </c>
      <c r="G17" s="436" t="e">
        <f>INDEX(#REF!, MATCH($A17,#REF!, 0), MATCH(G$3,#REF!, 0))</f>
        <v>#REF!</v>
      </c>
      <c r="H17" s="436" t="e">
        <f>INDEX(#REF!, MATCH($A17,#REF!, 0), MATCH(H$3,#REF!, 0))</f>
        <v>#REF!</v>
      </c>
      <c r="I17" s="435" t="e">
        <f>INDEX(#REF!, MATCH($A17,#REF!, 0), MATCH(I$3,#REF!, 0))</f>
        <v>#REF!</v>
      </c>
      <c r="J17" s="436" t="e">
        <f>INDEX(#REF!, MATCH($A17,#REF!, 0), MATCH(J$3,#REF!, 0))</f>
        <v>#REF!</v>
      </c>
    </row>
    <row r="18" spans="1:24" ht="14.1">
      <c r="A18" s="110" t="s">
        <v>227</v>
      </c>
      <c r="B18" s="428" t="s">
        <v>427</v>
      </c>
      <c r="C18" s="439" t="e">
        <f>INDEX(#REF!, MATCH($A18,#REF!, 0), MATCH(C$3,#REF!, 0))</f>
        <v>#REF!</v>
      </c>
      <c r="D18" s="440" t="e">
        <f>INDEX(#REF!, MATCH($A18,#REF!, 0), MATCH(D$3,#REF!, 0))</f>
        <v>#REF!</v>
      </c>
      <c r="E18" s="440" t="e">
        <f>INDEX(#REF!, MATCH($A18,#REF!, 0), MATCH(E$3,#REF!, 0))</f>
        <v>#REF!</v>
      </c>
      <c r="F18" s="441" t="e">
        <f>INDEX(#REF!, MATCH($A18,#REF!, 0), MATCH(F$3,#REF!, 0))</f>
        <v>#REF!</v>
      </c>
      <c r="G18" s="441" t="e">
        <f>INDEX(#REF!, MATCH($A18,#REF!, 0), MATCH(G$3,#REF!, 0))</f>
        <v>#REF!</v>
      </c>
      <c r="H18" s="441" t="e">
        <f>INDEX(#REF!, MATCH($A18,#REF!, 0), MATCH(H$3,#REF!, 0))</f>
        <v>#REF!</v>
      </c>
      <c r="I18" s="440" t="e">
        <f>INDEX(#REF!, MATCH($A18,#REF!, 0), MATCH(I$3,#REF!, 0))</f>
        <v>#REF!</v>
      </c>
      <c r="J18" s="441" t="e">
        <f>INDEX(#REF!, MATCH($A18,#REF!, 0), MATCH(J$3,#REF!, 0))</f>
        <v>#REF!</v>
      </c>
    </row>
    <row r="19" spans="1:24">
      <c r="B19" s="427"/>
      <c r="C19" s="442"/>
      <c r="D19" s="443"/>
      <c r="E19" s="443"/>
      <c r="F19" s="444"/>
      <c r="G19" s="444"/>
      <c r="H19" s="444"/>
      <c r="I19" s="443"/>
      <c r="J19" s="444"/>
    </row>
    <row r="20" spans="1:24" ht="14.1">
      <c r="A20" s="411" t="s">
        <v>421</v>
      </c>
      <c r="B20" s="429" t="s">
        <v>434</v>
      </c>
      <c r="C20" s="445" t="e">
        <f>INDEX(#REF!, MATCH($A20,#REF!, 0), MATCH(C$3,#REF!, 0))</f>
        <v>#REF!</v>
      </c>
      <c r="D20" s="446" t="e">
        <f>INDEX(#REF!, MATCH($A20,#REF!, 0), MATCH(D$3,#REF!, 0))</f>
        <v>#REF!</v>
      </c>
      <c r="E20" s="446" t="e">
        <f>INDEX(#REF!, MATCH($A20,#REF!, 0), MATCH(E$3,#REF!, 0))</f>
        <v>#REF!</v>
      </c>
      <c r="F20" s="447" t="e">
        <f>INDEX(#REF!, MATCH($A20,#REF!, 0), MATCH(F$3,#REF!, 0))</f>
        <v>#REF!</v>
      </c>
      <c r="G20" s="447" t="e">
        <f>INDEX(#REF!, MATCH($A20,#REF!, 0), MATCH(G$3,#REF!, 0))</f>
        <v>#REF!</v>
      </c>
      <c r="H20" s="447" t="e">
        <f>INDEX(#REF!, MATCH($A20,#REF!, 0), MATCH(H$3,#REF!, 0))</f>
        <v>#REF!</v>
      </c>
      <c r="I20" s="446" t="e">
        <f>INDEX(#REF!, MATCH($A20,#REF!, 0), MATCH(I$3,#REF!, 0))</f>
        <v>#REF!</v>
      </c>
      <c r="J20" s="447" t="e">
        <f>INDEX(#REF!, MATCH($A20,#REF!, 0), MATCH(J$3,#REF!, 0))</f>
        <v>#REF!</v>
      </c>
    </row>
    <row r="21" spans="1:24" ht="14.1">
      <c r="A21" s="412" t="s">
        <v>432</v>
      </c>
      <c r="B21" s="428" t="s">
        <v>435</v>
      </c>
      <c r="C21" s="439" t="e">
        <f>INDEX(#REF!, MATCH($A21,#REF!, 0), MATCH(C$3,#REF!, 0))</f>
        <v>#REF!</v>
      </c>
      <c r="D21" s="440" t="e">
        <f>INDEX(#REF!, MATCH($A21,#REF!, 0), MATCH(D$3,#REF!, 0))</f>
        <v>#REF!</v>
      </c>
      <c r="E21" s="440" t="e">
        <f>INDEX(#REF!, MATCH($A21,#REF!, 0), MATCH(E$3,#REF!, 0))</f>
        <v>#REF!</v>
      </c>
      <c r="F21" s="441" t="e">
        <f>INDEX(#REF!, MATCH($A21,#REF!, 0), MATCH(F$3,#REF!, 0))</f>
        <v>#REF!</v>
      </c>
      <c r="G21" s="441" t="e">
        <f>INDEX(#REF!, MATCH($A21,#REF!, 0), MATCH(G$3,#REF!, 0))</f>
        <v>#REF!</v>
      </c>
      <c r="H21" s="441" t="e">
        <f>INDEX(#REF!, MATCH($A21,#REF!, 0), MATCH(H$3,#REF!, 0))</f>
        <v>#REF!</v>
      </c>
      <c r="I21" s="440" t="e">
        <f>INDEX(#REF!, MATCH($A21,#REF!, 0), MATCH(I$3,#REF!, 0))</f>
        <v>#REF!</v>
      </c>
      <c r="J21" s="441" t="e">
        <f>INDEX(#REF!, MATCH($A21,#REF!, 0), MATCH(J$3,#REF!, 0))</f>
        <v>#REF!</v>
      </c>
    </row>
    <row r="22" spans="1:24" ht="14.1">
      <c r="A22" s="412"/>
      <c r="B22" s="488"/>
      <c r="C22" s="489"/>
      <c r="D22" s="486"/>
      <c r="E22" s="486"/>
      <c r="F22" s="487"/>
      <c r="G22" s="487"/>
      <c r="H22" s="487"/>
      <c r="I22" s="486"/>
      <c r="J22" s="487"/>
    </row>
    <row r="23" spans="1:24" ht="14.1">
      <c r="A23" s="147" t="s">
        <v>461</v>
      </c>
      <c r="B23" s="460" t="s">
        <v>472</v>
      </c>
      <c r="C23" s="446" t="e">
        <f>INDEX('Model-BS'!$A:$AAA, MATCH($A23, 'Model-BS'!$A:$A, 0), MATCH(C$3, 'Model-BS'!$4:$4, 0))</f>
        <v>#REF!</v>
      </c>
      <c r="D23" s="446" t="e">
        <f>INDEX('Model-BS'!$A:$AAA, MATCH($A23, 'Model-BS'!$A:$A, 0), MATCH(D$3, 'Model-BS'!$4:$4, 0))</f>
        <v>#REF!</v>
      </c>
      <c r="E23" s="446" t="e">
        <f>INDEX('Model-BS'!$A:$AAA, MATCH($A23, 'Model-BS'!$A:$A, 0), MATCH(E$3, 'Model-BS'!$4:$4, 0))</f>
        <v>#REF!</v>
      </c>
      <c r="F23" s="447" t="e">
        <f>INDEX('Model-BS'!$A:$AAA, MATCH($A23, 'Model-BS'!$A:$A, 0), MATCH(F$3, 'Model-BS'!$4:$4, 0))</f>
        <v>#REF!</v>
      </c>
      <c r="G23" s="447" t="e">
        <f>INDEX('Model-BS'!$A:$AAA, MATCH($A23, 'Model-BS'!$A:$A, 0), MATCH(G$3, 'Model-BS'!$4:$4, 0))</f>
        <v>#REF!</v>
      </c>
      <c r="H23" s="447"/>
      <c r="I23" s="446"/>
      <c r="J23" s="447"/>
    </row>
    <row r="24" spans="1:24" ht="14.1">
      <c r="A24" s="147" t="s">
        <v>462</v>
      </c>
      <c r="B24" s="458" t="s">
        <v>473</v>
      </c>
      <c r="C24" s="435" t="e">
        <f>INDEX('Model-BS'!$A:$AAA, MATCH($A24, 'Model-BS'!$A:$A, 0), MATCH(C$3, 'Model-BS'!$4:$4, 0))</f>
        <v>#REF!</v>
      </c>
      <c r="D24" s="435" t="e">
        <f>INDEX('Model-BS'!$A:$AAA, MATCH($A24, 'Model-BS'!$A:$A, 0), MATCH(D$3, 'Model-BS'!$4:$4, 0))</f>
        <v>#REF!</v>
      </c>
      <c r="E24" s="435" t="e">
        <f>INDEX('Model-BS'!$A:$AAA, MATCH($A24, 'Model-BS'!$A:$A, 0), MATCH(E$3, 'Model-BS'!$4:$4, 0))</f>
        <v>#REF!</v>
      </c>
      <c r="F24" s="436" t="e">
        <f>INDEX('Model-BS'!$A:$AAA, MATCH($A24, 'Model-BS'!$A:$A, 0), MATCH(F$3, 'Model-BS'!$4:$4, 0))</f>
        <v>#REF!</v>
      </c>
      <c r="G24" s="436" t="e">
        <f>INDEX('Model-BS'!$A:$AAA, MATCH($A24, 'Model-BS'!$A:$A, 0), MATCH(G$3, 'Model-BS'!$4:$4, 0))</f>
        <v>#REF!</v>
      </c>
      <c r="H24" s="436"/>
      <c r="I24" s="435"/>
      <c r="J24" s="436"/>
    </row>
    <row r="25" spans="1:24" ht="14.1">
      <c r="A25" s="147" t="s">
        <v>463</v>
      </c>
      <c r="B25" s="458" t="s">
        <v>468</v>
      </c>
      <c r="C25" s="435" t="e">
        <f>INDEX('Model-BS'!$A:$AAA, MATCH($A25, 'Model-BS'!$A:$A, 0), MATCH(C$3, 'Model-BS'!$4:$4, 0))</f>
        <v>#REF!</v>
      </c>
      <c r="D25" s="435" t="e">
        <f>INDEX('Model-BS'!$A:$AAA, MATCH($A25, 'Model-BS'!$A:$A, 0), MATCH(D$3, 'Model-BS'!$4:$4, 0))</f>
        <v>#REF!</v>
      </c>
      <c r="E25" s="435" t="e">
        <f>INDEX('Model-BS'!$A:$AAA, MATCH($A25, 'Model-BS'!$A:$A, 0), MATCH(E$3, 'Model-BS'!$4:$4, 0))</f>
        <v>#REF!</v>
      </c>
      <c r="F25" s="436" t="e">
        <f>INDEX('Model-BS'!$A:$AAA, MATCH($A25, 'Model-BS'!$A:$A, 0), MATCH(F$3, 'Model-BS'!$4:$4, 0))</f>
        <v>#REF!</v>
      </c>
      <c r="G25" s="436" t="e">
        <f>INDEX('Model-BS'!$A:$AAA, MATCH($A25, 'Model-BS'!$A:$A, 0), MATCH(G$3, 'Model-BS'!$4:$4, 0))</f>
        <v>#REF!</v>
      </c>
      <c r="H25" s="436"/>
      <c r="I25" s="435"/>
      <c r="J25" s="436"/>
    </row>
    <row r="26" spans="1:24" ht="14.1">
      <c r="A26" s="147" t="s">
        <v>464</v>
      </c>
      <c r="B26" s="459" t="s">
        <v>470</v>
      </c>
      <c r="C26" s="440" t="e">
        <f>INDEX('Model-BS'!$A:$AAA, MATCH($A26, 'Model-BS'!$A:$A, 0), MATCH(C$3, 'Model-BS'!$4:$4, 0))</f>
        <v>#REF!</v>
      </c>
      <c r="D26" s="440" t="e">
        <f>INDEX('Model-BS'!$A:$AAA, MATCH($A26, 'Model-BS'!$A:$A, 0), MATCH(D$3, 'Model-BS'!$4:$4, 0))</f>
        <v>#REF!</v>
      </c>
      <c r="E26" s="440" t="e">
        <f>INDEX('Model-BS'!$A:$AAA, MATCH($A26, 'Model-BS'!$A:$A, 0), MATCH(E$3, 'Model-BS'!$4:$4, 0))</f>
        <v>#REF!</v>
      </c>
      <c r="F26" s="441" t="e">
        <f>INDEX('Model-BS'!$A:$AAA, MATCH($A26, 'Model-BS'!$A:$A, 0), MATCH(F$3, 'Model-BS'!$4:$4, 0))</f>
        <v>#REF!</v>
      </c>
      <c r="G26" s="441" t="e">
        <f>INDEX('Model-BS'!$A:$AAA, MATCH($A26, 'Model-BS'!$A:$A, 0), MATCH(G$3, 'Model-BS'!$4:$4, 0))</f>
        <v>#REF!</v>
      </c>
      <c r="H26" s="441"/>
      <c r="I26" s="440"/>
      <c r="J26" s="441"/>
    </row>
    <row r="28" spans="1:24" ht="22.2">
      <c r="B28" s="114" t="str">
        <f>_xlfn.CONCAT(Summary!$B$2,"-季度财务UE")</f>
        <v>0-季度财务UE</v>
      </c>
      <c r="X28" t="str">
        <f ca="1">X31</f>
        <v>0Model输出20260623</v>
      </c>
    </row>
    <row r="29" spans="1:24">
      <c r="W29" t="s">
        <v>439</v>
      </c>
      <c r="X29" s="90">
        <f ca="1">TODAY()</f>
        <v>46196</v>
      </c>
    </row>
    <row r="30" spans="1:24">
      <c r="B30" s="415" t="s">
        <v>150</v>
      </c>
      <c r="C30" s="430" t="s">
        <v>151</v>
      </c>
      <c r="D30" s="416" t="s">
        <v>152</v>
      </c>
      <c r="E30" s="416" t="s">
        <v>153</v>
      </c>
      <c r="F30" s="417" t="s">
        <v>226</v>
      </c>
      <c r="G30" s="416" t="s">
        <v>154</v>
      </c>
      <c r="H30" s="416" t="s">
        <v>155</v>
      </c>
      <c r="I30" s="416" t="s">
        <v>156</v>
      </c>
      <c r="J30" s="417" t="s">
        <v>157</v>
      </c>
      <c r="K30" s="416" t="s">
        <v>222</v>
      </c>
      <c r="L30" s="416" t="s">
        <v>223</v>
      </c>
      <c r="M30" s="416" t="s">
        <v>224</v>
      </c>
      <c r="N30" s="416" t="s">
        <v>225</v>
      </c>
      <c r="O30" s="416" t="s">
        <v>377</v>
      </c>
      <c r="P30" s="416" t="s">
        <v>378</v>
      </c>
      <c r="Q30" s="416" t="s">
        <v>379</v>
      </c>
      <c r="R30" s="416" t="s">
        <v>380</v>
      </c>
      <c r="X30" s="467" t="str">
        <f ca="1">TEXT(X29, "yyyymmdd")</f>
        <v>20260623</v>
      </c>
    </row>
    <row r="31" spans="1:24">
      <c r="A31" s="113" t="s">
        <v>158</v>
      </c>
      <c r="B31" s="452" t="s">
        <v>218</v>
      </c>
      <c r="C31" s="94" t="e">
        <f>INDEX(#REF!, MATCH($A31,#REF!, 0), MATCH(C$30,#REF!, 0))</f>
        <v>#REF!</v>
      </c>
      <c r="D31" s="94" t="e">
        <f>INDEX(#REF!, MATCH($A31,#REF!, 0), MATCH(D$30,#REF!, 0))</f>
        <v>#REF!</v>
      </c>
      <c r="E31" s="94" t="e">
        <f>INDEX(#REF!, MATCH($A31,#REF!, 0), MATCH(E$30,#REF!, 0))</f>
        <v>#REF!</v>
      </c>
      <c r="F31" s="229" t="e">
        <f>INDEX(#REF!, MATCH($A31,#REF!, 0), MATCH(F$30,#REF!, 0))</f>
        <v>#REF!</v>
      </c>
      <c r="G31" s="94" t="e">
        <f>INDEX(#REF!, MATCH($A31,#REF!, 0), MATCH(G$30,#REF!, 0))</f>
        <v>#REF!</v>
      </c>
      <c r="H31" s="94" t="e">
        <f>INDEX(#REF!, MATCH($A31,#REF!, 0), MATCH(H$30,#REF!, 0))</f>
        <v>#REF!</v>
      </c>
      <c r="I31" s="94" t="e">
        <f>INDEX(#REF!, MATCH($A31,#REF!, 0), MATCH(I$30,#REF!, 0))</f>
        <v>#REF!</v>
      </c>
      <c r="J31" s="229" t="e">
        <f>INDEX(#REF!, MATCH($A31,#REF!, 0), MATCH(J$30,#REF!, 0))</f>
        <v>#REF!</v>
      </c>
      <c r="K31" s="94" t="e">
        <f>INDEX(#REF!, MATCH($A31,#REF!, 0), MATCH(K$30,#REF!, 0))</f>
        <v>#REF!</v>
      </c>
      <c r="L31" s="94" t="e">
        <f>INDEX(#REF!, MATCH($A31,#REF!, 0), MATCH(L$30,#REF!, 0))</f>
        <v>#REF!</v>
      </c>
      <c r="M31" s="94" t="e">
        <f>INDEX(#REF!, MATCH($A31,#REF!, 0), MATCH(M$30,#REF!, 0))</f>
        <v>#REF!</v>
      </c>
      <c r="N31" s="229" t="e">
        <f>INDEX(#REF!, MATCH($A31,#REF!, 0), MATCH(N$30,#REF!, 0))</f>
        <v>#REF!</v>
      </c>
      <c r="O31" s="94" t="e">
        <f>INDEX(#REF!, MATCH($A31,#REF!, 0), MATCH(O$30,#REF!, 0))</f>
        <v>#REF!</v>
      </c>
      <c r="P31" s="94" t="e">
        <f>INDEX(#REF!, MATCH($A31,#REF!, 0), MATCH(P$30,#REF!, 0))</f>
        <v>#REF!</v>
      </c>
      <c r="Q31" s="94" t="e">
        <f>INDEX(#REF!, MATCH($A31,#REF!, 0), MATCH(Q$30,#REF!, 0))</f>
        <v>#REF!</v>
      </c>
      <c r="R31" s="229" t="e">
        <f>INDEX(#REF!, MATCH($A31,#REF!, 0), MATCH(R$30,#REF!, 0))</f>
        <v>#REF!</v>
      </c>
      <c r="X31" t="str">
        <f ca="1">_xlfn.CONCAT(Summary!B2,"Model输出",X30)</f>
        <v>0Model输出20260623</v>
      </c>
    </row>
    <row r="32" spans="1:24" ht="12.9">
      <c r="A32" s="91" t="s">
        <v>428</v>
      </c>
      <c r="B32" s="453" t="s">
        <v>14</v>
      </c>
      <c r="C32" s="2" t="e">
        <f>INDEX(#REF!, MATCH($A32,#REF!, 0), MATCH(C$30,#REF!, 0))</f>
        <v>#REF!</v>
      </c>
      <c r="D32" s="2" t="e">
        <f>INDEX(#REF!, MATCH($A32,#REF!, 0), MATCH(D$30,#REF!, 0))</f>
        <v>#REF!</v>
      </c>
      <c r="E32" s="2" t="e">
        <f>INDEX(#REF!, MATCH($A32,#REF!, 0), MATCH(E$30,#REF!, 0))</f>
        <v>#REF!</v>
      </c>
      <c r="F32" s="231" t="e">
        <f>INDEX(#REF!, MATCH($A32,#REF!, 0), MATCH(F$30,#REF!, 0))</f>
        <v>#REF!</v>
      </c>
      <c r="G32" s="2" t="e">
        <f>INDEX(#REF!, MATCH($A32,#REF!, 0), MATCH(G$30,#REF!, 0))</f>
        <v>#REF!</v>
      </c>
      <c r="H32" s="2" t="e">
        <f>INDEX(#REF!, MATCH($A32,#REF!, 0), MATCH(H$30,#REF!, 0))</f>
        <v>#REF!</v>
      </c>
      <c r="I32" s="2" t="e">
        <f>INDEX(#REF!, MATCH($A32,#REF!, 0), MATCH(I$30,#REF!, 0))</f>
        <v>#REF!</v>
      </c>
      <c r="J32" s="231" t="e">
        <f>INDEX(#REF!, MATCH($A32,#REF!, 0), MATCH(J$30,#REF!, 0))</f>
        <v>#REF!</v>
      </c>
      <c r="K32" s="2" t="e">
        <f>INDEX(#REF!, MATCH($A32,#REF!, 0), MATCH(K$30,#REF!, 0))</f>
        <v>#REF!</v>
      </c>
      <c r="L32" s="2" t="e">
        <f>INDEX(#REF!, MATCH($A32,#REF!, 0), MATCH(L$30,#REF!, 0))</f>
        <v>#REF!</v>
      </c>
      <c r="M32" s="2" t="e">
        <f>INDEX(#REF!, MATCH($A32,#REF!, 0), MATCH(M$30,#REF!, 0))</f>
        <v>#REF!</v>
      </c>
      <c r="N32" s="231" t="e">
        <f>INDEX(#REF!, MATCH($A32,#REF!, 0), MATCH(N$30,#REF!, 0))</f>
        <v>#REF!</v>
      </c>
      <c r="O32" s="2" t="e">
        <f>INDEX(#REF!, MATCH($A32,#REF!, 0), MATCH(O$30,#REF!, 0))</f>
        <v>#REF!</v>
      </c>
      <c r="P32" s="2" t="e">
        <f>INDEX(#REF!, MATCH($A32,#REF!, 0), MATCH(P$30,#REF!, 0))</f>
        <v>#REF!</v>
      </c>
      <c r="Q32" s="2" t="e">
        <f>INDEX(#REF!, MATCH($A32,#REF!, 0), MATCH(Q$30,#REF!, 0))</f>
        <v>#REF!</v>
      </c>
      <c r="R32" s="231" t="e">
        <f>INDEX(#REF!, MATCH($A32,#REF!, 0), MATCH(R$30,#REF!, 0))</f>
        <v>#REF!</v>
      </c>
      <c r="W32" s="292" t="s">
        <v>457</v>
      </c>
    </row>
    <row r="33" spans="1:25" ht="12.9">
      <c r="A33" s="105" t="s">
        <v>159</v>
      </c>
      <c r="B33" s="454" t="s">
        <v>219</v>
      </c>
      <c r="C33" s="93" t="e">
        <f>INDEX(#REF!, MATCH($A33,#REF!, 0), MATCH(C$30,#REF!, 0))</f>
        <v>#REF!</v>
      </c>
      <c r="D33" s="93" t="e">
        <f>INDEX(#REF!, MATCH($A33,#REF!, 0), MATCH(D$30,#REF!, 0))</f>
        <v>#REF!</v>
      </c>
      <c r="E33" s="93" t="e">
        <f>INDEX(#REF!, MATCH($A33,#REF!, 0), MATCH(E$30,#REF!, 0))</f>
        <v>#REF!</v>
      </c>
      <c r="F33" s="139" t="e">
        <f>INDEX(#REF!, MATCH($A33,#REF!, 0), MATCH(F$30,#REF!, 0))</f>
        <v>#REF!</v>
      </c>
      <c r="G33" s="93" t="e">
        <f>INDEX(#REF!, MATCH($A33,#REF!, 0), MATCH(G$30,#REF!, 0))</f>
        <v>#REF!</v>
      </c>
      <c r="H33" s="93" t="e">
        <f>INDEX(#REF!, MATCH($A33,#REF!, 0), MATCH(H$30,#REF!, 0))</f>
        <v>#REF!</v>
      </c>
      <c r="I33" s="93" t="e">
        <f>INDEX(#REF!, MATCH($A33,#REF!, 0), MATCH(I$30,#REF!, 0))</f>
        <v>#REF!</v>
      </c>
      <c r="J33" s="139" t="e">
        <f>INDEX(#REF!, MATCH($A33,#REF!, 0), MATCH(J$30,#REF!, 0))</f>
        <v>#REF!</v>
      </c>
      <c r="K33" s="93" t="e">
        <f>INDEX(#REF!, MATCH($A33,#REF!, 0), MATCH(K$30,#REF!, 0))</f>
        <v>#REF!</v>
      </c>
      <c r="L33" s="93" t="e">
        <f>INDEX(#REF!, MATCH($A33,#REF!, 0), MATCH(L$30,#REF!, 0))</f>
        <v>#REF!</v>
      </c>
      <c r="M33" s="93" t="e">
        <f>INDEX(#REF!, MATCH($A33,#REF!, 0), MATCH(M$30,#REF!, 0))</f>
        <v>#REF!</v>
      </c>
      <c r="N33" s="139" t="e">
        <f>INDEX(#REF!, MATCH($A33,#REF!, 0), MATCH(N$30,#REF!, 0))</f>
        <v>#REF!</v>
      </c>
      <c r="O33" s="93" t="e">
        <f>INDEX(#REF!, MATCH($A33,#REF!, 0), MATCH(O$30,#REF!, 0))</f>
        <v>#REF!</v>
      </c>
      <c r="P33" s="93" t="e">
        <f>INDEX(#REF!, MATCH($A33,#REF!, 0), MATCH(P$30,#REF!, 0))</f>
        <v>#REF!</v>
      </c>
      <c r="Q33" s="93" t="e">
        <f>INDEX(#REF!, MATCH($A33,#REF!, 0), MATCH(Q$30,#REF!, 0))</f>
        <v>#REF!</v>
      </c>
      <c r="R33" s="139" t="e">
        <f>INDEX(#REF!, MATCH($A33,#REF!, 0), MATCH(R$30,#REF!, 0))</f>
        <v>#REF!</v>
      </c>
      <c r="W33" s="292" t="s">
        <v>447</v>
      </c>
      <c r="X33" s="292" t="s">
        <v>458</v>
      </c>
      <c r="Y33" t="s">
        <v>459</v>
      </c>
    </row>
    <row r="34" spans="1:25">
      <c r="A34" s="115" t="s">
        <v>429</v>
      </c>
      <c r="B34" s="455" t="s">
        <v>383</v>
      </c>
      <c r="C34" s="2" t="e">
        <f>INDEX(#REF!, MATCH($A34,#REF!, 0), MATCH(C$30,#REF!, 0))</f>
        <v>#REF!</v>
      </c>
      <c r="D34" s="2" t="e">
        <f>INDEX(#REF!, MATCH($A34,#REF!, 0), MATCH(D$30,#REF!, 0))</f>
        <v>#REF!</v>
      </c>
      <c r="E34" s="2" t="e">
        <f>INDEX(#REF!, MATCH($A34,#REF!, 0), MATCH(E$30,#REF!, 0))</f>
        <v>#REF!</v>
      </c>
      <c r="F34" s="231" t="e">
        <f>INDEX(#REF!, MATCH($A34,#REF!, 0), MATCH(F$30,#REF!, 0))</f>
        <v>#REF!</v>
      </c>
      <c r="G34" s="2" t="e">
        <f>INDEX(#REF!, MATCH($A34,#REF!, 0), MATCH(G$30,#REF!, 0))</f>
        <v>#REF!</v>
      </c>
      <c r="H34" s="2" t="e">
        <f>INDEX(#REF!, MATCH($A34,#REF!, 0), MATCH(H$30,#REF!, 0))</f>
        <v>#REF!</v>
      </c>
      <c r="I34" s="2" t="e">
        <f>INDEX(#REF!, MATCH($A34,#REF!, 0), MATCH(I$30,#REF!, 0))</f>
        <v>#REF!</v>
      </c>
      <c r="J34" s="231" t="e">
        <f>INDEX(#REF!, MATCH($A34,#REF!, 0), MATCH(J$30,#REF!, 0))</f>
        <v>#REF!</v>
      </c>
      <c r="K34" s="2" t="e">
        <f>INDEX(#REF!, MATCH($A34,#REF!, 0), MATCH(K$30,#REF!, 0))</f>
        <v>#REF!</v>
      </c>
      <c r="L34" s="2" t="e">
        <f>INDEX(#REF!, MATCH($A34,#REF!, 0), MATCH(L$30,#REF!, 0))</f>
        <v>#REF!</v>
      </c>
      <c r="M34" s="2" t="e">
        <f>INDEX(#REF!, MATCH($A34,#REF!, 0), MATCH(M$30,#REF!, 0))</f>
        <v>#REF!</v>
      </c>
      <c r="N34" s="231" t="e">
        <f>INDEX(#REF!, MATCH($A34,#REF!, 0), MATCH(N$30,#REF!, 0))</f>
        <v>#REF!</v>
      </c>
      <c r="O34" s="2" t="e">
        <f>INDEX(#REF!, MATCH($A34,#REF!, 0), MATCH(O$30,#REF!, 0))</f>
        <v>#REF!</v>
      </c>
      <c r="P34" s="2" t="e">
        <f>INDEX(#REF!, MATCH($A34,#REF!, 0), MATCH(P$30,#REF!, 0))</f>
        <v>#REF!</v>
      </c>
      <c r="Q34" s="2" t="e">
        <f>INDEX(#REF!, MATCH($A34,#REF!, 0), MATCH(Q$30,#REF!, 0))</f>
        <v>#REF!</v>
      </c>
      <c r="R34" s="231" t="e">
        <f>INDEX(#REF!, MATCH($A34,#REF!, 0), MATCH(R$30,#REF!, 0))</f>
        <v>#REF!</v>
      </c>
      <c r="W34" s="90" t="e">
        <f>#REF!</f>
        <v>#REF!</v>
      </c>
      <c r="X34" s="93" t="e">
        <f>#REF!</f>
        <v>#REF!</v>
      </c>
      <c r="Y34" s="93" t="e">
        <f t="shared" ref="Y34:Y45" si="2">X34</f>
        <v>#REF!</v>
      </c>
    </row>
    <row r="35" spans="1:25">
      <c r="A35" s="110" t="s">
        <v>171</v>
      </c>
      <c r="B35" s="456" t="s">
        <v>220</v>
      </c>
      <c r="C35" s="93" t="e">
        <f>INDEX(#REF!, MATCH($A35,#REF!, 0), MATCH(C$30,#REF!, 0))</f>
        <v>#REF!</v>
      </c>
      <c r="D35" s="93" t="e">
        <f>INDEX(#REF!, MATCH($A35,#REF!, 0), MATCH(D$30,#REF!, 0))</f>
        <v>#REF!</v>
      </c>
      <c r="E35" s="93" t="e">
        <f>INDEX(#REF!, MATCH($A35,#REF!, 0), MATCH(E$30,#REF!, 0))</f>
        <v>#REF!</v>
      </c>
      <c r="F35" s="139" t="e">
        <f>INDEX(#REF!, MATCH($A35,#REF!, 0), MATCH(F$30,#REF!, 0))</f>
        <v>#REF!</v>
      </c>
      <c r="G35" s="93" t="e">
        <f>INDEX(#REF!, MATCH($A35,#REF!, 0), MATCH(G$30,#REF!, 0))</f>
        <v>#REF!</v>
      </c>
      <c r="H35" s="93" t="e">
        <f>INDEX(#REF!, MATCH($A35,#REF!, 0), MATCH(H$30,#REF!, 0))</f>
        <v>#REF!</v>
      </c>
      <c r="I35" s="93" t="e">
        <f>INDEX(#REF!, MATCH($A35,#REF!, 0), MATCH(I$30,#REF!, 0))</f>
        <v>#REF!</v>
      </c>
      <c r="J35" s="139" t="e">
        <f>INDEX(#REF!, MATCH($A35,#REF!, 0), MATCH(J$30,#REF!, 0))</f>
        <v>#REF!</v>
      </c>
      <c r="K35" s="93" t="e">
        <f>INDEX(#REF!, MATCH($A35,#REF!, 0), MATCH(K$30,#REF!, 0))</f>
        <v>#REF!</v>
      </c>
      <c r="L35" s="93" t="e">
        <f>INDEX(#REF!, MATCH($A35,#REF!, 0), MATCH(L$30,#REF!, 0))</f>
        <v>#REF!</v>
      </c>
      <c r="M35" s="93" t="e">
        <f>INDEX(#REF!, MATCH($A35,#REF!, 0), MATCH(M$30,#REF!, 0))</f>
        <v>#REF!</v>
      </c>
      <c r="N35" s="139" t="e">
        <f>INDEX(#REF!, MATCH($A35,#REF!, 0), MATCH(N$30,#REF!, 0))</f>
        <v>#REF!</v>
      </c>
      <c r="O35" s="93" t="e">
        <f>INDEX(#REF!, MATCH($A35,#REF!, 0), MATCH(O$30,#REF!, 0))</f>
        <v>#REF!</v>
      </c>
      <c r="P35" s="93" t="e">
        <f>INDEX(#REF!, MATCH($A35,#REF!, 0), MATCH(P$30,#REF!, 0))</f>
        <v>#REF!</v>
      </c>
      <c r="Q35" s="93" t="e">
        <f>INDEX(#REF!, MATCH($A35,#REF!, 0), MATCH(Q$30,#REF!, 0))</f>
        <v>#REF!</v>
      </c>
      <c r="R35" s="139" t="e">
        <f>INDEX(#REF!, MATCH($A35,#REF!, 0), MATCH(R$30,#REF!, 0))</f>
        <v>#REF!</v>
      </c>
      <c r="W35" s="90" t="e">
        <f>#REF!</f>
        <v>#REF!</v>
      </c>
      <c r="X35" s="93" t="e">
        <f>#REF!</f>
        <v>#REF!</v>
      </c>
      <c r="Y35" s="93" t="e">
        <f t="shared" si="2"/>
        <v>#REF!</v>
      </c>
    </row>
    <row r="36" spans="1:25" ht="12.9">
      <c r="A36" s="91" t="s">
        <v>430</v>
      </c>
      <c r="B36" s="457" t="s">
        <v>14</v>
      </c>
      <c r="C36" s="2" t="e">
        <f>INDEX(#REF!, MATCH($A36,#REF!, 0), MATCH(C$30,#REF!, 0))</f>
        <v>#REF!</v>
      </c>
      <c r="D36" s="2" t="e">
        <f>INDEX(#REF!, MATCH($A36,#REF!, 0), MATCH(D$30,#REF!, 0))</f>
        <v>#REF!</v>
      </c>
      <c r="E36" s="2" t="e">
        <f>INDEX(#REF!, MATCH($A36,#REF!, 0), MATCH(E$30,#REF!, 0))</f>
        <v>#REF!</v>
      </c>
      <c r="F36" s="231" t="e">
        <f>INDEX(#REF!, MATCH($A36,#REF!, 0), MATCH(F$30,#REF!, 0))</f>
        <v>#REF!</v>
      </c>
      <c r="G36" s="2" t="e">
        <f>INDEX(#REF!, MATCH($A36,#REF!, 0), MATCH(G$30,#REF!, 0))</f>
        <v>#REF!</v>
      </c>
      <c r="H36" s="2" t="e">
        <f>INDEX(#REF!, MATCH($A36,#REF!, 0), MATCH(H$30,#REF!, 0))</f>
        <v>#REF!</v>
      </c>
      <c r="I36" s="2" t="e">
        <f>INDEX(#REF!, MATCH($A36,#REF!, 0), MATCH(I$30,#REF!, 0))</f>
        <v>#REF!</v>
      </c>
      <c r="J36" s="231" t="e">
        <f>INDEX(#REF!, MATCH($A36,#REF!, 0), MATCH(J$30,#REF!, 0))</f>
        <v>#REF!</v>
      </c>
      <c r="K36" s="2" t="e">
        <f>INDEX(#REF!, MATCH($A36,#REF!, 0), MATCH(K$30,#REF!, 0))</f>
        <v>#REF!</v>
      </c>
      <c r="L36" s="2" t="e">
        <f>INDEX(#REF!, MATCH($A36,#REF!, 0), MATCH(L$30,#REF!, 0))</f>
        <v>#REF!</v>
      </c>
      <c r="M36" s="2" t="e">
        <f>INDEX(#REF!, MATCH($A36,#REF!, 0), MATCH(M$30,#REF!, 0))</f>
        <v>#REF!</v>
      </c>
      <c r="N36" s="231" t="e">
        <f>INDEX(#REF!, MATCH($A36,#REF!, 0), MATCH(N$30,#REF!, 0))</f>
        <v>#REF!</v>
      </c>
      <c r="O36" s="2" t="e">
        <f>INDEX(#REF!, MATCH($A36,#REF!, 0), MATCH(O$30,#REF!, 0))</f>
        <v>#REF!</v>
      </c>
      <c r="P36" s="2" t="e">
        <f>INDEX(#REF!, MATCH($A36,#REF!, 0), MATCH(P$30,#REF!, 0))</f>
        <v>#REF!</v>
      </c>
      <c r="Q36" s="2" t="e">
        <f>INDEX(#REF!, MATCH($A36,#REF!, 0), MATCH(Q$30,#REF!, 0))</f>
        <v>#REF!</v>
      </c>
      <c r="R36" s="231" t="e">
        <f>INDEX(#REF!, MATCH($A36,#REF!, 0), MATCH(R$30,#REF!, 0))</f>
        <v>#REF!</v>
      </c>
      <c r="W36" s="90" t="e">
        <f>#REF!</f>
        <v>#REF!</v>
      </c>
      <c r="X36" s="93" t="e">
        <f>#REF!</f>
        <v>#REF!</v>
      </c>
      <c r="Y36" s="93" t="e">
        <f t="shared" si="2"/>
        <v>#REF!</v>
      </c>
    </row>
    <row r="37" spans="1:25" ht="14.1">
      <c r="A37" s="412" t="s">
        <v>431</v>
      </c>
      <c r="B37" s="458" t="s">
        <v>436</v>
      </c>
      <c r="C37" s="93" t="e">
        <f>INDEX(#REF!, MATCH($A37,#REF!, 0), MATCH(C$30,#REF!, 0))</f>
        <v>#REF!</v>
      </c>
      <c r="D37" s="93" t="e">
        <f>INDEX(#REF!, MATCH($A37,#REF!, 0), MATCH(D$30,#REF!, 0))</f>
        <v>#REF!</v>
      </c>
      <c r="E37" s="93" t="e">
        <f>INDEX(#REF!, MATCH($A37,#REF!, 0), MATCH(E$30,#REF!, 0))</f>
        <v>#REF!</v>
      </c>
      <c r="F37" s="139" t="e">
        <f>INDEX(#REF!, MATCH($A37,#REF!, 0), MATCH(F$30,#REF!, 0))</f>
        <v>#REF!</v>
      </c>
      <c r="G37" s="93" t="e">
        <f>INDEX(#REF!, MATCH($A37,#REF!, 0), MATCH(G$30,#REF!, 0))</f>
        <v>#REF!</v>
      </c>
      <c r="H37" s="93" t="e">
        <f>INDEX(#REF!, MATCH($A37,#REF!, 0), MATCH(H$30,#REF!, 0))</f>
        <v>#REF!</v>
      </c>
      <c r="I37" s="93" t="e">
        <f>INDEX(#REF!, MATCH($A37,#REF!, 0), MATCH(I$30,#REF!, 0))</f>
        <v>#REF!</v>
      </c>
      <c r="J37" s="139" t="e">
        <f>INDEX(#REF!, MATCH($A37,#REF!, 0), MATCH(J$30,#REF!, 0))</f>
        <v>#REF!</v>
      </c>
      <c r="K37" s="93" t="e">
        <f>INDEX(#REF!, MATCH($A37,#REF!, 0), MATCH(K$30,#REF!, 0))</f>
        <v>#REF!</v>
      </c>
      <c r="L37" s="93" t="e">
        <f>INDEX(#REF!, MATCH($A37,#REF!, 0), MATCH(L$30,#REF!, 0))</f>
        <v>#REF!</v>
      </c>
      <c r="M37" s="93" t="e">
        <f>INDEX(#REF!, MATCH($A37,#REF!, 0), MATCH(M$30,#REF!, 0))</f>
        <v>#REF!</v>
      </c>
      <c r="N37" s="139" t="e">
        <f>INDEX(#REF!, MATCH($A37,#REF!, 0), MATCH(N$30,#REF!, 0))</f>
        <v>#REF!</v>
      </c>
      <c r="O37" s="93" t="e">
        <f>INDEX(#REF!, MATCH($A37,#REF!, 0), MATCH(O$30,#REF!, 0))</f>
        <v>#REF!</v>
      </c>
      <c r="P37" s="93" t="e">
        <f>INDEX(#REF!, MATCH($A37,#REF!, 0), MATCH(P$30,#REF!, 0))</f>
        <v>#REF!</v>
      </c>
      <c r="Q37" s="93" t="e">
        <f>INDEX(#REF!, MATCH($A37,#REF!, 0), MATCH(Q$30,#REF!, 0))</f>
        <v>#REF!</v>
      </c>
      <c r="R37" s="139" t="e">
        <f>INDEX(#REF!, MATCH($A37,#REF!, 0), MATCH(R$30,#REF!, 0))</f>
        <v>#REF!</v>
      </c>
      <c r="W37" s="90" t="e">
        <f>#REF!</f>
        <v>#REF!</v>
      </c>
      <c r="X37" s="93" t="e">
        <f>#REF!</f>
        <v>#REF!</v>
      </c>
      <c r="Y37" s="93" t="e">
        <f t="shared" si="2"/>
        <v>#REF!</v>
      </c>
    </row>
    <row r="38" spans="1:25" ht="14.1">
      <c r="A38" s="413" t="s">
        <v>433</v>
      </c>
      <c r="B38" s="459" t="s">
        <v>420</v>
      </c>
      <c r="C38" s="226" t="e">
        <f>INDEX(#REF!, MATCH($A38,#REF!, 0), MATCH(C$30,#REF!, 0))</f>
        <v>#REF!</v>
      </c>
      <c r="D38" s="226" t="e">
        <f>INDEX(#REF!, MATCH($A38,#REF!, 0), MATCH(D$30,#REF!, 0))</f>
        <v>#REF!</v>
      </c>
      <c r="E38" s="226" t="e">
        <f>INDEX(#REF!, MATCH($A38,#REF!, 0), MATCH(E$30,#REF!, 0))</f>
        <v>#REF!</v>
      </c>
      <c r="F38" s="449" t="e">
        <f>INDEX(#REF!, MATCH($A38,#REF!, 0), MATCH(F$30,#REF!, 0))</f>
        <v>#REF!</v>
      </c>
      <c r="G38" s="226" t="e">
        <f>INDEX(#REF!, MATCH($A38,#REF!, 0), MATCH(G$30,#REF!, 0))</f>
        <v>#REF!</v>
      </c>
      <c r="H38" s="226" t="e">
        <f>INDEX(#REF!, MATCH($A38,#REF!, 0), MATCH(H$30,#REF!, 0))</f>
        <v>#REF!</v>
      </c>
      <c r="I38" s="226" t="e">
        <f>INDEX(#REF!, MATCH($A38,#REF!, 0), MATCH(I$30,#REF!, 0))</f>
        <v>#REF!</v>
      </c>
      <c r="J38" s="449" t="e">
        <f>INDEX(#REF!, MATCH($A38,#REF!, 0), MATCH(J$30,#REF!, 0))</f>
        <v>#REF!</v>
      </c>
      <c r="K38" s="226" t="e">
        <f>INDEX(#REF!, MATCH($A38,#REF!, 0), MATCH(K$30,#REF!, 0))</f>
        <v>#REF!</v>
      </c>
      <c r="L38" s="226" t="e">
        <f>INDEX(#REF!, MATCH($A38,#REF!, 0), MATCH(L$30,#REF!, 0))</f>
        <v>#REF!</v>
      </c>
      <c r="M38" s="226" t="e">
        <f>INDEX(#REF!, MATCH($A38,#REF!, 0), MATCH(M$30,#REF!, 0))</f>
        <v>#REF!</v>
      </c>
      <c r="N38" s="449" t="e">
        <f>INDEX(#REF!, MATCH($A38,#REF!, 0), MATCH(N$30,#REF!, 0))</f>
        <v>#REF!</v>
      </c>
      <c r="O38" s="226" t="e">
        <f>INDEX(#REF!, MATCH($A38,#REF!, 0), MATCH(O$30,#REF!, 0))</f>
        <v>#REF!</v>
      </c>
      <c r="P38" s="226" t="e">
        <f>INDEX(#REF!, MATCH($A38,#REF!, 0), MATCH(P$30,#REF!, 0))</f>
        <v>#REF!</v>
      </c>
      <c r="Q38" s="226" t="e">
        <f>INDEX(#REF!, MATCH($A38,#REF!, 0), MATCH(Q$30,#REF!, 0))</f>
        <v>#REF!</v>
      </c>
      <c r="R38" s="449" t="e">
        <f>INDEX(#REF!, MATCH($A38,#REF!, 0), MATCH(R$30,#REF!, 0))</f>
        <v>#REF!</v>
      </c>
      <c r="W38" s="90" t="e">
        <f>#REF!</f>
        <v>#REF!</v>
      </c>
      <c r="X38" s="93" t="e">
        <f>#REF!</f>
        <v>#REF!</v>
      </c>
      <c r="Y38" s="93" t="e">
        <f t="shared" si="2"/>
        <v>#REF!</v>
      </c>
    </row>
    <row r="39" spans="1:25" ht="14.1">
      <c r="B39" s="458"/>
      <c r="F39" s="95"/>
      <c r="J39" s="95"/>
      <c r="N39" s="95"/>
      <c r="R39" s="95"/>
      <c r="W39" s="90" t="e">
        <f>#REF!</f>
        <v>#REF!</v>
      </c>
      <c r="X39" s="93" t="e">
        <f>#REF!</f>
        <v>#REF!</v>
      </c>
      <c r="Y39" s="93" t="e">
        <f t="shared" si="2"/>
        <v>#REF!</v>
      </c>
    </row>
    <row r="40" spans="1:25" ht="14.1">
      <c r="A40" s="448" t="s">
        <v>364</v>
      </c>
      <c r="B40" s="460" t="s">
        <v>364</v>
      </c>
      <c r="C40" s="450" t="e">
        <f>INDEX(#REF!, MATCH($A40,#REF!, 0), MATCH(C$30,#REF!, 0))</f>
        <v>#REF!</v>
      </c>
      <c r="D40" s="450" t="e">
        <f>INDEX(#REF!, MATCH($A40,#REF!, 0), MATCH(D$30,#REF!, 0))</f>
        <v>#REF!</v>
      </c>
      <c r="E40" s="450" t="e">
        <f>INDEX(#REF!, MATCH($A40,#REF!, 0), MATCH(E$30,#REF!, 0))</f>
        <v>#REF!</v>
      </c>
      <c r="F40" s="451" t="e">
        <f>INDEX(#REF!, MATCH($A40,#REF!, 0), MATCH(F$30,#REF!, 0))</f>
        <v>#REF!</v>
      </c>
      <c r="G40" s="450" t="e">
        <f>INDEX(#REF!, MATCH($A40,#REF!, 0), MATCH(G$30,#REF!, 0))</f>
        <v>#REF!</v>
      </c>
      <c r="H40" s="450" t="e">
        <f>INDEX(#REF!, MATCH($A40,#REF!, 0), MATCH(H$30,#REF!, 0))</f>
        <v>#REF!</v>
      </c>
      <c r="I40" s="450" t="e">
        <f>INDEX(#REF!, MATCH($A40,#REF!, 0), MATCH(I$30,#REF!, 0))</f>
        <v>#REF!</v>
      </c>
      <c r="J40" s="451" t="e">
        <f>INDEX(#REF!, MATCH($A40,#REF!, 0), MATCH(J$30,#REF!, 0))</f>
        <v>#REF!</v>
      </c>
      <c r="K40" s="450" t="e">
        <f>INDEX(#REF!, MATCH($A40,#REF!, 0), MATCH(K$30,#REF!, 0))</f>
        <v>#REF!</v>
      </c>
      <c r="L40" s="450" t="e">
        <f>INDEX(#REF!, MATCH($A40,#REF!, 0), MATCH(L$30,#REF!, 0))</f>
        <v>#REF!</v>
      </c>
      <c r="M40" s="450" t="e">
        <f>INDEX(#REF!, MATCH($A40,#REF!, 0), MATCH(M$30,#REF!, 0))</f>
        <v>#REF!</v>
      </c>
      <c r="N40" s="451" t="e">
        <f>INDEX(#REF!, MATCH($A40,#REF!, 0), MATCH(N$30,#REF!, 0))</f>
        <v>#REF!</v>
      </c>
      <c r="O40" s="450" t="e">
        <f>INDEX(#REF!, MATCH($A40,#REF!, 0), MATCH(O$30,#REF!, 0))</f>
        <v>#REF!</v>
      </c>
      <c r="P40" s="450" t="e">
        <f>INDEX(#REF!, MATCH($A40,#REF!, 0), MATCH(P$30,#REF!, 0))</f>
        <v>#REF!</v>
      </c>
      <c r="Q40" s="450" t="e">
        <f>INDEX(#REF!, MATCH($A40,#REF!, 0), MATCH(Q$30,#REF!, 0))</f>
        <v>#REF!</v>
      </c>
      <c r="R40" s="451" t="e">
        <f>INDEX(#REF!, MATCH($A40,#REF!, 0), MATCH(R$30,#REF!, 0))</f>
        <v>#REF!</v>
      </c>
      <c r="W40" s="90" t="e">
        <f>#REF!</f>
        <v>#REF!</v>
      </c>
      <c r="X40" s="93" t="e">
        <f>#REF!</f>
        <v>#REF!</v>
      </c>
      <c r="Y40" s="93" t="e">
        <f t="shared" si="2"/>
        <v>#REF!</v>
      </c>
    </row>
    <row r="41" spans="1:25" ht="14.1">
      <c r="A41" s="448" t="s">
        <v>422</v>
      </c>
      <c r="B41" s="458" t="s">
        <v>422</v>
      </c>
      <c r="C41" s="2" t="e">
        <f>INDEX(#REF!, MATCH($A41,#REF!, 0), MATCH(C$30,#REF!, 0))</f>
        <v>#REF!</v>
      </c>
      <c r="D41" s="2" t="e">
        <f>INDEX(#REF!, MATCH($A41,#REF!, 0), MATCH(D$30,#REF!, 0))</f>
        <v>#REF!</v>
      </c>
      <c r="E41" s="2" t="e">
        <f>INDEX(#REF!, MATCH($A41,#REF!, 0), MATCH(E$30,#REF!, 0))</f>
        <v>#REF!</v>
      </c>
      <c r="F41" s="231" t="e">
        <f>INDEX(#REF!, MATCH($A41,#REF!, 0), MATCH(F$30,#REF!, 0))</f>
        <v>#REF!</v>
      </c>
      <c r="G41" s="2" t="e">
        <f>INDEX(#REF!, MATCH($A41,#REF!, 0), MATCH(G$30,#REF!, 0))</f>
        <v>#REF!</v>
      </c>
      <c r="H41" s="2" t="e">
        <f>INDEX(#REF!, MATCH($A41,#REF!, 0), MATCH(H$30,#REF!, 0))</f>
        <v>#REF!</v>
      </c>
      <c r="I41" s="2" t="e">
        <f>INDEX(#REF!, MATCH($A41,#REF!, 0), MATCH(I$30,#REF!, 0))</f>
        <v>#REF!</v>
      </c>
      <c r="J41" s="231" t="e">
        <f>INDEX(#REF!, MATCH($A41,#REF!, 0), MATCH(J$30,#REF!, 0))</f>
        <v>#REF!</v>
      </c>
      <c r="K41" s="2" t="e">
        <f>INDEX(#REF!, MATCH($A41,#REF!, 0), MATCH(K$30,#REF!, 0))</f>
        <v>#REF!</v>
      </c>
      <c r="L41" s="2" t="e">
        <f>INDEX(#REF!, MATCH($A41,#REF!, 0), MATCH(L$30,#REF!, 0))</f>
        <v>#REF!</v>
      </c>
      <c r="M41" s="2" t="e">
        <f>INDEX(#REF!, MATCH($A41,#REF!, 0), MATCH(M$30,#REF!, 0))</f>
        <v>#REF!</v>
      </c>
      <c r="N41" s="231" t="e">
        <f>INDEX(#REF!, MATCH($A41,#REF!, 0), MATCH(N$30,#REF!, 0))</f>
        <v>#REF!</v>
      </c>
      <c r="O41" s="2" t="e">
        <f>INDEX(#REF!, MATCH($A41,#REF!, 0), MATCH(O$30,#REF!, 0))</f>
        <v>#REF!</v>
      </c>
      <c r="P41" s="2" t="e">
        <f>INDEX(#REF!, MATCH($A41,#REF!, 0), MATCH(P$30,#REF!, 0))</f>
        <v>#REF!</v>
      </c>
      <c r="Q41" s="2" t="e">
        <f>INDEX(#REF!, MATCH($A41,#REF!, 0), MATCH(Q$30,#REF!, 0))</f>
        <v>#REF!</v>
      </c>
      <c r="R41" s="231" t="e">
        <f>INDEX(#REF!, MATCH($A41,#REF!, 0), MATCH(R$30,#REF!, 0))</f>
        <v>#REF!</v>
      </c>
      <c r="W41" s="90" t="e">
        <f>#REF!</f>
        <v>#REF!</v>
      </c>
      <c r="X41" s="93" t="e">
        <f>#REF!</f>
        <v>#REF!</v>
      </c>
      <c r="Y41" s="93" t="e">
        <f t="shared" si="2"/>
        <v>#REF!</v>
      </c>
    </row>
    <row r="42" spans="1:25" ht="14.1">
      <c r="A42" s="448" t="s">
        <v>424</v>
      </c>
      <c r="B42" s="458" t="s">
        <v>424</v>
      </c>
      <c r="C42" s="2" t="e">
        <f>C40-C41</f>
        <v>#REF!</v>
      </c>
      <c r="D42" s="2" t="e">
        <f t="shared" ref="D42:R42" si="3">D40-D41</f>
        <v>#REF!</v>
      </c>
      <c r="E42" s="2" t="e">
        <f t="shared" si="3"/>
        <v>#REF!</v>
      </c>
      <c r="F42" s="231" t="e">
        <f t="shared" si="3"/>
        <v>#REF!</v>
      </c>
      <c r="G42" s="2" t="e">
        <f t="shared" si="3"/>
        <v>#REF!</v>
      </c>
      <c r="H42" s="2" t="e">
        <f t="shared" si="3"/>
        <v>#REF!</v>
      </c>
      <c r="I42" s="2" t="e">
        <f t="shared" si="3"/>
        <v>#REF!</v>
      </c>
      <c r="J42" s="231" t="e">
        <f t="shared" si="3"/>
        <v>#REF!</v>
      </c>
      <c r="K42" s="2" t="e">
        <f t="shared" ref="K42:N42" si="4">K40-K41</f>
        <v>#REF!</v>
      </c>
      <c r="L42" s="2" t="e">
        <f t="shared" si="4"/>
        <v>#REF!</v>
      </c>
      <c r="M42" s="2" t="e">
        <f t="shared" si="4"/>
        <v>#REF!</v>
      </c>
      <c r="N42" s="231" t="e">
        <f t="shared" si="4"/>
        <v>#REF!</v>
      </c>
      <c r="O42" s="2" t="e">
        <f t="shared" ref="O42" si="5">O40-O41</f>
        <v>#REF!</v>
      </c>
      <c r="P42" s="2" t="e">
        <f t="shared" si="3"/>
        <v>#REF!</v>
      </c>
      <c r="Q42" s="2" t="e">
        <f t="shared" si="3"/>
        <v>#REF!</v>
      </c>
      <c r="R42" s="231" t="e">
        <f t="shared" si="3"/>
        <v>#REF!</v>
      </c>
      <c r="W42" s="90" t="e">
        <f>#REF!</f>
        <v>#REF!</v>
      </c>
      <c r="X42" s="93" t="e">
        <f>#REF!</f>
        <v>#REF!</v>
      </c>
      <c r="Y42" s="93" t="e">
        <f t="shared" si="2"/>
        <v>#REF!</v>
      </c>
    </row>
    <row r="43" spans="1:25" ht="14.1">
      <c r="A43" s="448" t="s">
        <v>423</v>
      </c>
      <c r="B43" s="458" t="s">
        <v>423</v>
      </c>
      <c r="C43" s="2" t="e">
        <f>INDEX(#REF!, MATCH($A43,#REF!, 0), MATCH(C$30,#REF!, 0))</f>
        <v>#REF!</v>
      </c>
      <c r="D43" s="2" t="e">
        <f>INDEX(#REF!, MATCH($A43,#REF!, 0), MATCH(D$30,#REF!, 0))</f>
        <v>#REF!</v>
      </c>
      <c r="E43" s="2" t="e">
        <f>INDEX(#REF!, MATCH($A43,#REF!, 0), MATCH(E$30,#REF!, 0))</f>
        <v>#REF!</v>
      </c>
      <c r="F43" s="231" t="e">
        <f>INDEX(#REF!, MATCH($A43,#REF!, 0), MATCH(F$30,#REF!, 0))</f>
        <v>#REF!</v>
      </c>
      <c r="G43" s="2" t="e">
        <f>INDEX(#REF!, MATCH($A43,#REF!, 0), MATCH(G$30,#REF!, 0))</f>
        <v>#REF!</v>
      </c>
      <c r="H43" s="2" t="e">
        <f>INDEX(#REF!, MATCH($A43,#REF!, 0), MATCH(H$30,#REF!, 0))</f>
        <v>#REF!</v>
      </c>
      <c r="I43" s="2" t="e">
        <f>INDEX(#REF!, MATCH($A43,#REF!, 0), MATCH(I$30,#REF!, 0))</f>
        <v>#REF!</v>
      </c>
      <c r="J43" s="231" t="e">
        <f>INDEX(#REF!, MATCH($A43,#REF!, 0), MATCH(J$30,#REF!, 0))</f>
        <v>#REF!</v>
      </c>
      <c r="K43" s="2" t="e">
        <f>INDEX(#REF!, MATCH($A43,#REF!, 0), MATCH(K$30,#REF!, 0))</f>
        <v>#REF!</v>
      </c>
      <c r="L43" s="2" t="e">
        <f>INDEX(#REF!, MATCH($A43,#REF!, 0), MATCH(L$30,#REF!, 0))</f>
        <v>#REF!</v>
      </c>
      <c r="M43" s="2" t="e">
        <f>INDEX(#REF!, MATCH($A43,#REF!, 0), MATCH(M$30,#REF!, 0))</f>
        <v>#REF!</v>
      </c>
      <c r="N43" s="231" t="e">
        <f>INDEX(#REF!, MATCH($A43,#REF!, 0), MATCH(N$30,#REF!, 0))</f>
        <v>#REF!</v>
      </c>
      <c r="O43" s="2" t="e">
        <f>INDEX(#REF!, MATCH($A43,#REF!, 0), MATCH(O$30,#REF!, 0))</f>
        <v>#REF!</v>
      </c>
      <c r="P43" s="2" t="e">
        <f>INDEX(#REF!, MATCH($A43,#REF!, 0), MATCH(P$30,#REF!, 0))</f>
        <v>#REF!</v>
      </c>
      <c r="Q43" s="2" t="e">
        <f>INDEX(#REF!, MATCH($A43,#REF!, 0), MATCH(Q$30,#REF!, 0))</f>
        <v>#REF!</v>
      </c>
      <c r="R43" s="231" t="e">
        <f>INDEX(#REF!, MATCH($A43,#REF!, 0), MATCH(R$30,#REF!, 0))</f>
        <v>#REF!</v>
      </c>
      <c r="W43" s="90" t="e">
        <f>#REF!</f>
        <v>#REF!</v>
      </c>
      <c r="X43" s="93" t="e">
        <f>#REF!</f>
        <v>#REF!</v>
      </c>
      <c r="Y43" s="93" t="e">
        <f t="shared" si="2"/>
        <v>#REF!</v>
      </c>
    </row>
    <row r="44" spans="1:25" ht="14.1">
      <c r="A44" s="448" t="s">
        <v>425</v>
      </c>
      <c r="B44" s="458" t="s">
        <v>425</v>
      </c>
      <c r="C44" s="2" t="e">
        <f>INDEX(#REF!, MATCH($A44,#REF!, 0), MATCH(C$30,#REF!, 0))</f>
        <v>#REF!</v>
      </c>
      <c r="D44" s="2" t="e">
        <f>INDEX(#REF!, MATCH($A44,#REF!, 0), MATCH(D$30,#REF!, 0))</f>
        <v>#REF!</v>
      </c>
      <c r="E44" s="2" t="e">
        <f>INDEX(#REF!, MATCH($A44,#REF!, 0), MATCH(E$30,#REF!, 0))</f>
        <v>#REF!</v>
      </c>
      <c r="F44" s="231" t="e">
        <f>INDEX(#REF!, MATCH($A44,#REF!, 0), MATCH(F$30,#REF!, 0))</f>
        <v>#REF!</v>
      </c>
      <c r="G44" s="2" t="e">
        <f>INDEX(#REF!, MATCH($A44,#REF!, 0), MATCH(G$30,#REF!, 0))</f>
        <v>#REF!</v>
      </c>
      <c r="H44" s="2" t="e">
        <f>INDEX(#REF!, MATCH($A44,#REF!, 0), MATCH(H$30,#REF!, 0))</f>
        <v>#REF!</v>
      </c>
      <c r="I44" s="2" t="e">
        <f>INDEX(#REF!, MATCH($A44,#REF!, 0), MATCH(I$30,#REF!, 0))</f>
        <v>#REF!</v>
      </c>
      <c r="J44" s="231" t="e">
        <f>INDEX(#REF!, MATCH($A44,#REF!, 0), MATCH(J$30,#REF!, 0))</f>
        <v>#REF!</v>
      </c>
      <c r="K44" s="2" t="e">
        <f>INDEX(#REF!, MATCH($A44,#REF!, 0), MATCH(K$30,#REF!, 0))</f>
        <v>#REF!</v>
      </c>
      <c r="L44" s="2" t="e">
        <f>INDEX(#REF!, MATCH($A44,#REF!, 0), MATCH(L$30,#REF!, 0))</f>
        <v>#REF!</v>
      </c>
      <c r="M44" s="2" t="e">
        <f>INDEX(#REF!, MATCH($A44,#REF!, 0), MATCH(M$30,#REF!, 0))</f>
        <v>#REF!</v>
      </c>
      <c r="N44" s="231" t="e">
        <f>INDEX(#REF!, MATCH($A44,#REF!, 0), MATCH(N$30,#REF!, 0))</f>
        <v>#REF!</v>
      </c>
      <c r="O44" s="2" t="e">
        <f>INDEX(#REF!, MATCH($A44,#REF!, 0), MATCH(O$30,#REF!, 0))</f>
        <v>#REF!</v>
      </c>
      <c r="P44" s="2" t="e">
        <f>INDEX(#REF!, MATCH($A44,#REF!, 0), MATCH(P$30,#REF!, 0))</f>
        <v>#REF!</v>
      </c>
      <c r="Q44" s="2" t="e">
        <f>INDEX(#REF!, MATCH($A44,#REF!, 0), MATCH(Q$30,#REF!, 0))</f>
        <v>#REF!</v>
      </c>
      <c r="R44" s="231" t="e">
        <f>INDEX(#REF!, MATCH($A44,#REF!, 0), MATCH(R$30,#REF!, 0))</f>
        <v>#REF!</v>
      </c>
      <c r="W44" s="90" t="e">
        <f>#REF!</f>
        <v>#REF!</v>
      </c>
      <c r="X44" s="93" t="e">
        <f>#REF!</f>
        <v>#REF!</v>
      </c>
      <c r="Y44" s="93" t="e">
        <f t="shared" si="2"/>
        <v>#REF!</v>
      </c>
    </row>
    <row r="45" spans="1:25" ht="14.1">
      <c r="A45" s="448" t="s">
        <v>426</v>
      </c>
      <c r="B45" s="458" t="s">
        <v>426</v>
      </c>
      <c r="C45" s="2" t="e">
        <f>INDEX(#REF!, MATCH($A45,#REF!, 0), MATCH(C$30,#REF!, 0))</f>
        <v>#REF!</v>
      </c>
      <c r="D45" s="2" t="e">
        <f>INDEX(#REF!, MATCH($A45,#REF!, 0), MATCH(D$30,#REF!, 0))</f>
        <v>#REF!</v>
      </c>
      <c r="E45" s="2" t="e">
        <f>INDEX(#REF!, MATCH($A45,#REF!, 0), MATCH(E$30,#REF!, 0))</f>
        <v>#REF!</v>
      </c>
      <c r="F45" s="231" t="e">
        <f>INDEX(#REF!, MATCH($A45,#REF!, 0), MATCH(F$30,#REF!, 0))</f>
        <v>#REF!</v>
      </c>
      <c r="G45" s="2" t="e">
        <f>INDEX(#REF!, MATCH($A45,#REF!, 0), MATCH(G$30,#REF!, 0))</f>
        <v>#REF!</v>
      </c>
      <c r="H45" s="2" t="e">
        <f>INDEX(#REF!, MATCH($A45,#REF!, 0), MATCH(H$30,#REF!, 0))</f>
        <v>#REF!</v>
      </c>
      <c r="I45" s="2" t="e">
        <f>INDEX(#REF!, MATCH($A45,#REF!, 0), MATCH(I$30,#REF!, 0))</f>
        <v>#REF!</v>
      </c>
      <c r="J45" s="231" t="e">
        <f>INDEX(#REF!, MATCH($A45,#REF!, 0), MATCH(J$30,#REF!, 0))</f>
        <v>#REF!</v>
      </c>
      <c r="K45" s="2" t="e">
        <f>INDEX(#REF!, MATCH($A45,#REF!, 0), MATCH(K$30,#REF!, 0))</f>
        <v>#REF!</v>
      </c>
      <c r="L45" s="2" t="e">
        <f>INDEX(#REF!, MATCH($A45,#REF!, 0), MATCH(L$30,#REF!, 0))</f>
        <v>#REF!</v>
      </c>
      <c r="M45" s="2" t="e">
        <f>INDEX(#REF!, MATCH($A45,#REF!, 0), MATCH(M$30,#REF!, 0))</f>
        <v>#REF!</v>
      </c>
      <c r="N45" s="231" t="e">
        <f>INDEX(#REF!, MATCH($A45,#REF!, 0), MATCH(N$30,#REF!, 0))</f>
        <v>#REF!</v>
      </c>
      <c r="O45" s="2" t="e">
        <f>INDEX(#REF!, MATCH($A45,#REF!, 0), MATCH(O$30,#REF!, 0))</f>
        <v>#REF!</v>
      </c>
      <c r="P45" s="2" t="e">
        <f>INDEX(#REF!, MATCH($A45,#REF!, 0), MATCH(P$30,#REF!, 0))</f>
        <v>#REF!</v>
      </c>
      <c r="Q45" s="2" t="e">
        <f>INDEX(#REF!, MATCH($A45,#REF!, 0), MATCH(Q$30,#REF!, 0))</f>
        <v>#REF!</v>
      </c>
      <c r="R45" s="231" t="e">
        <f>INDEX(#REF!, MATCH($A45,#REF!, 0), MATCH(R$30,#REF!, 0))</f>
        <v>#REF!</v>
      </c>
      <c r="W45" s="90" t="e">
        <f>#REF!</f>
        <v>#REF!</v>
      </c>
      <c r="X45" s="93" t="e">
        <f>#REF!</f>
        <v>#REF!</v>
      </c>
      <c r="Y45" s="93" t="e">
        <f t="shared" si="2"/>
        <v>#REF!</v>
      </c>
    </row>
    <row r="46" spans="1:25" ht="14.1">
      <c r="A46" s="448" t="s">
        <v>427</v>
      </c>
      <c r="B46" s="459" t="s">
        <v>427</v>
      </c>
      <c r="C46" s="226" t="e">
        <f>INDEX(#REF!, MATCH($A46,#REF!, 0), MATCH(C$30,#REF!, 0))</f>
        <v>#REF!</v>
      </c>
      <c r="D46" s="226" t="e">
        <f>INDEX(#REF!, MATCH($A46,#REF!, 0), MATCH(D$30,#REF!, 0))</f>
        <v>#REF!</v>
      </c>
      <c r="E46" s="226" t="e">
        <f>INDEX(#REF!, MATCH($A46,#REF!, 0), MATCH(E$30,#REF!, 0))</f>
        <v>#REF!</v>
      </c>
      <c r="F46" s="449" t="e">
        <f>INDEX(#REF!, MATCH($A46,#REF!, 0), MATCH(F$30,#REF!, 0))</f>
        <v>#REF!</v>
      </c>
      <c r="G46" s="226" t="e">
        <f>INDEX(#REF!, MATCH($A46,#REF!, 0), MATCH(G$30,#REF!, 0))</f>
        <v>#REF!</v>
      </c>
      <c r="H46" s="226" t="e">
        <f>INDEX(#REF!, MATCH($A46,#REF!, 0), MATCH(H$30,#REF!, 0))</f>
        <v>#REF!</v>
      </c>
      <c r="I46" s="226" t="e">
        <f>INDEX(#REF!, MATCH($A46,#REF!, 0), MATCH(I$30,#REF!, 0))</f>
        <v>#REF!</v>
      </c>
      <c r="J46" s="449" t="e">
        <f>INDEX(#REF!, MATCH($A46,#REF!, 0), MATCH(J$30,#REF!, 0))</f>
        <v>#REF!</v>
      </c>
      <c r="K46" s="226" t="e">
        <f>INDEX(#REF!, MATCH($A46,#REF!, 0), MATCH(K$30,#REF!, 0))</f>
        <v>#REF!</v>
      </c>
      <c r="L46" s="226" t="e">
        <f>INDEX(#REF!, MATCH($A46,#REF!, 0), MATCH(L$30,#REF!, 0))</f>
        <v>#REF!</v>
      </c>
      <c r="M46" s="226" t="e">
        <f>INDEX(#REF!, MATCH($A46,#REF!, 0), MATCH(M$30,#REF!, 0))</f>
        <v>#REF!</v>
      </c>
      <c r="N46" s="449" t="e">
        <f>INDEX(#REF!, MATCH($A46,#REF!, 0), MATCH(N$30,#REF!, 0))</f>
        <v>#REF!</v>
      </c>
      <c r="O46" s="226" t="e">
        <f>INDEX(#REF!, MATCH($A46,#REF!, 0), MATCH(O$30,#REF!, 0))</f>
        <v>#REF!</v>
      </c>
      <c r="P46" s="226" t="e">
        <f>INDEX(#REF!, MATCH($A46,#REF!, 0), MATCH(P$30,#REF!, 0))</f>
        <v>#REF!</v>
      </c>
      <c r="Q46" s="226" t="e">
        <f>INDEX(#REF!, MATCH($A46,#REF!, 0), MATCH(Q$30,#REF!, 0))</f>
        <v>#REF!</v>
      </c>
      <c r="R46" s="449" t="e">
        <f>INDEX(#REF!, MATCH($A46,#REF!, 0), MATCH(R$30,#REF!, 0))</f>
        <v>#REF!</v>
      </c>
      <c r="W46" s="90" t="e">
        <f>#REF!</f>
        <v>#REF!</v>
      </c>
      <c r="X46" s="93" t="e">
        <f>#REF!</f>
        <v>#REF!</v>
      </c>
      <c r="Y46" s="93" t="e">
        <f>#REF!</f>
        <v>#REF!</v>
      </c>
    </row>
    <row r="47" spans="1:25">
      <c r="B47" s="461"/>
      <c r="F47" s="95"/>
      <c r="J47" s="95"/>
      <c r="N47" s="95"/>
      <c r="R47" s="95"/>
    </row>
    <row r="48" spans="1:25" ht="14.1">
      <c r="A48" s="411" t="s">
        <v>421</v>
      </c>
      <c r="B48" s="460" t="s">
        <v>434</v>
      </c>
      <c r="C48" s="450" t="e">
        <f>INDEX(#REF!, MATCH($A48,#REF!, 0), MATCH(C$30,#REF!, 0))</f>
        <v>#REF!</v>
      </c>
      <c r="D48" s="450" t="e">
        <f>INDEX(#REF!, MATCH($A48,#REF!, 0), MATCH(D$30,#REF!, 0))</f>
        <v>#REF!</v>
      </c>
      <c r="E48" s="450" t="e">
        <f>INDEX(#REF!, MATCH($A48,#REF!, 0), MATCH(E$30,#REF!, 0))</f>
        <v>#REF!</v>
      </c>
      <c r="F48" s="451" t="e">
        <f>INDEX(#REF!, MATCH($A48,#REF!, 0), MATCH(F$30,#REF!, 0))</f>
        <v>#REF!</v>
      </c>
      <c r="G48" s="450" t="e">
        <f>INDEX(#REF!, MATCH($A48,#REF!, 0), MATCH(G$30,#REF!, 0))</f>
        <v>#REF!</v>
      </c>
      <c r="H48" s="450" t="e">
        <f>INDEX(#REF!, MATCH($A48,#REF!, 0), MATCH(H$30,#REF!, 0))</f>
        <v>#REF!</v>
      </c>
      <c r="I48" s="450" t="e">
        <f>INDEX(#REF!, MATCH($A48,#REF!, 0), MATCH(I$30,#REF!, 0))</f>
        <v>#REF!</v>
      </c>
      <c r="J48" s="451" t="e">
        <f>INDEX(#REF!, MATCH($A48,#REF!, 0), MATCH(J$30,#REF!, 0))</f>
        <v>#REF!</v>
      </c>
      <c r="K48" s="450" t="e">
        <f>INDEX(#REF!, MATCH($A48,#REF!, 0), MATCH(K$30,#REF!, 0))</f>
        <v>#REF!</v>
      </c>
      <c r="L48" s="450" t="e">
        <f>INDEX(#REF!, MATCH($A48,#REF!, 0), MATCH(L$30,#REF!, 0))</f>
        <v>#REF!</v>
      </c>
      <c r="M48" s="450" t="e">
        <f>INDEX(#REF!, MATCH($A48,#REF!, 0), MATCH(M$30,#REF!, 0))</f>
        <v>#REF!</v>
      </c>
      <c r="N48" s="451" t="e">
        <f>INDEX(#REF!, MATCH($A48,#REF!, 0), MATCH(N$30,#REF!, 0))</f>
        <v>#REF!</v>
      </c>
      <c r="O48" s="450" t="e">
        <f>INDEX(#REF!, MATCH($A48,#REF!, 0), MATCH(O$30,#REF!, 0))</f>
        <v>#REF!</v>
      </c>
      <c r="P48" s="450" t="e">
        <f>INDEX(#REF!, MATCH($A48,#REF!, 0), MATCH(P$30,#REF!, 0))</f>
        <v>#REF!</v>
      </c>
      <c r="Q48" s="450" t="e">
        <f>INDEX(#REF!, MATCH($A48,#REF!, 0), MATCH(Q$30,#REF!, 0))</f>
        <v>#REF!</v>
      </c>
      <c r="R48" s="451" t="e">
        <f>INDEX(#REF!, MATCH($A48,#REF!, 0), MATCH(R$30,#REF!, 0))</f>
        <v>#REF!</v>
      </c>
    </row>
    <row r="49" spans="1:25" ht="14.1">
      <c r="A49" s="412" t="s">
        <v>437</v>
      </c>
      <c r="B49" s="459" t="s">
        <v>438</v>
      </c>
      <c r="C49" s="226" t="e">
        <f>INDEX(#REF!, MATCH($A49,#REF!, 0), MATCH(C$30,#REF!, 0))</f>
        <v>#REF!</v>
      </c>
      <c r="D49" s="226" t="e">
        <f>INDEX(#REF!, MATCH($A49,#REF!, 0), MATCH(D$30,#REF!, 0))</f>
        <v>#REF!</v>
      </c>
      <c r="E49" s="226" t="e">
        <f>INDEX(#REF!, MATCH($A49,#REF!, 0), MATCH(E$30,#REF!, 0))</f>
        <v>#REF!</v>
      </c>
      <c r="F49" s="449" t="e">
        <f>INDEX(#REF!, MATCH($A49,#REF!, 0), MATCH(F$30,#REF!, 0))</f>
        <v>#REF!</v>
      </c>
      <c r="G49" s="226" t="e">
        <f>INDEX(#REF!, MATCH($A49,#REF!, 0), MATCH(G$30,#REF!, 0))</f>
        <v>#REF!</v>
      </c>
      <c r="H49" s="226" t="e">
        <f>INDEX(#REF!, MATCH($A49,#REF!, 0), MATCH(H$30,#REF!, 0))</f>
        <v>#REF!</v>
      </c>
      <c r="I49" s="226" t="e">
        <f>INDEX(#REF!, MATCH($A49,#REF!, 0), MATCH(I$30,#REF!, 0))</f>
        <v>#REF!</v>
      </c>
      <c r="J49" s="449" t="e">
        <f>INDEX(#REF!, MATCH($A49,#REF!, 0), MATCH(J$30,#REF!, 0))</f>
        <v>#REF!</v>
      </c>
      <c r="K49" s="226" t="e">
        <f>INDEX(#REF!, MATCH($A49,#REF!, 0), MATCH(K$30,#REF!, 0))</f>
        <v>#REF!</v>
      </c>
      <c r="L49" s="226" t="e">
        <f>INDEX(#REF!, MATCH($A49,#REF!, 0), MATCH(L$30,#REF!, 0))</f>
        <v>#REF!</v>
      </c>
      <c r="M49" s="226" t="e">
        <f>INDEX(#REF!, MATCH($A49,#REF!, 0), MATCH(M$30,#REF!, 0))</f>
        <v>#REF!</v>
      </c>
      <c r="N49" s="449" t="e">
        <f>INDEX(#REF!, MATCH($A49,#REF!, 0), MATCH(N$30,#REF!, 0))</f>
        <v>#REF!</v>
      </c>
      <c r="O49" s="226" t="e">
        <f>INDEX(#REF!, MATCH($A49,#REF!, 0), MATCH(O$30,#REF!, 0))</f>
        <v>#REF!</v>
      </c>
      <c r="P49" s="226" t="e">
        <f>INDEX(#REF!, MATCH($A49,#REF!, 0), MATCH(P$30,#REF!, 0))</f>
        <v>#REF!</v>
      </c>
      <c r="Q49" s="226" t="e">
        <f>INDEX(#REF!, MATCH($A49,#REF!, 0), MATCH(Q$30,#REF!, 0))</f>
        <v>#REF!</v>
      </c>
      <c r="R49" s="449" t="e">
        <f>INDEX(#REF!, MATCH($A49,#REF!, 0), MATCH(R$30,#REF!, 0))</f>
        <v>#REF!</v>
      </c>
    </row>
    <row r="50" spans="1:25" ht="14.1">
      <c r="A50" s="412"/>
      <c r="B50" s="488"/>
      <c r="C50" s="489"/>
      <c r="D50" s="486"/>
      <c r="E50" s="486"/>
      <c r="F50" s="487"/>
      <c r="G50" s="486"/>
      <c r="H50" s="486"/>
      <c r="I50" s="486"/>
      <c r="J50" s="487"/>
      <c r="K50" s="486"/>
      <c r="L50" s="486"/>
      <c r="M50" s="486"/>
      <c r="N50" s="487"/>
      <c r="O50" s="486"/>
      <c r="P50" s="490"/>
      <c r="Q50" s="490"/>
      <c r="R50" s="491"/>
    </row>
    <row r="51" spans="1:25" ht="14.1">
      <c r="A51" s="147" t="s">
        <v>461</v>
      </c>
      <c r="B51" s="460" t="s">
        <v>472</v>
      </c>
      <c r="C51" s="445" t="e">
        <f>INDEX('Model-BS'!$A:$AAA, MATCH($A51, 'Model-BS'!$A:$A, 0), MATCH(C$30, 'Model-BS'!$4:$4, 0))</f>
        <v>#N/A</v>
      </c>
      <c r="D51" s="446" t="e">
        <f>INDEX('Model-BS'!$A:$AAA, MATCH($A51, 'Model-BS'!$A:$A, 0), MATCH(D$30, 'Model-BS'!$4:$4, 0))</f>
        <v>#N/A</v>
      </c>
      <c r="E51" s="446" t="e">
        <f>INDEX('Model-BS'!$A:$AAA, MATCH($A51, 'Model-BS'!$A:$A, 0), MATCH(E$30, 'Model-BS'!$4:$4, 0))</f>
        <v>#N/A</v>
      </c>
      <c r="F51" s="447" t="e">
        <f>INDEX('Model-BS'!$A:$AAA, MATCH($A51, 'Model-BS'!$A:$A, 0), MATCH(F$30, 'Model-BS'!$4:$4, 0))</f>
        <v>#N/A</v>
      </c>
      <c r="G51" s="445" t="e">
        <f>INDEX('Model-BS'!$A:$AAA, MATCH($A51, 'Model-BS'!$A:$A, 0), MATCH(G$30, 'Model-BS'!$4:$4, 0))</f>
        <v>#N/A</v>
      </c>
      <c r="H51" s="446" t="e">
        <f>INDEX('Model-BS'!$A:$AAA, MATCH($A51, 'Model-BS'!$A:$A, 0), MATCH(H$30, 'Model-BS'!$4:$4, 0))</f>
        <v>#N/A</v>
      </c>
      <c r="I51" s="446" t="e">
        <f>INDEX('Model-BS'!$A:$AAA, MATCH($A51, 'Model-BS'!$A:$A, 0), MATCH(I$30, 'Model-BS'!$4:$4, 0))</f>
        <v>#N/A</v>
      </c>
      <c r="J51" s="447" t="e">
        <f>INDEX('Model-BS'!$A:$AAA, MATCH($A51, 'Model-BS'!$A:$A, 0), MATCH(J$30, 'Model-BS'!$4:$4, 0))</f>
        <v>#N/A</v>
      </c>
      <c r="K51" s="445" t="e">
        <f>INDEX('Model-BS'!$A:$AAA, MATCH($A51, 'Model-BS'!$A:$A, 0), MATCH(K$30, 'Model-BS'!$4:$4, 0))</f>
        <v>#N/A</v>
      </c>
      <c r="L51" s="446" t="e">
        <f>INDEX('Model-BS'!$A:$AAA, MATCH($A51, 'Model-BS'!$A:$A, 0), MATCH(L$30, 'Model-BS'!$4:$4, 0))</f>
        <v>#N/A</v>
      </c>
      <c r="M51" s="446" t="e">
        <f>INDEX('Model-BS'!$A:$AAA, MATCH($A51, 'Model-BS'!$A:$A, 0), MATCH(M$30, 'Model-BS'!$4:$4, 0))</f>
        <v>#N/A</v>
      </c>
      <c r="N51" s="447" t="e">
        <f>INDEX('Model-BS'!$A:$AAA, MATCH($A51, 'Model-BS'!$A:$A, 0), MATCH(N$30, 'Model-BS'!$4:$4, 0))</f>
        <v>#N/A</v>
      </c>
      <c r="O51" s="445"/>
      <c r="P51" s="446"/>
      <c r="Q51" s="446"/>
      <c r="R51" s="447"/>
    </row>
    <row r="52" spans="1:25" ht="14.1">
      <c r="A52" s="147" t="s">
        <v>462</v>
      </c>
      <c r="B52" s="458" t="s">
        <v>473</v>
      </c>
      <c r="C52" s="434" t="e">
        <f>INDEX('Model-BS'!$A:$AAA, MATCH($A52, 'Model-BS'!$A:$A, 0), MATCH(C$30, 'Model-BS'!$4:$4, 0))</f>
        <v>#N/A</v>
      </c>
      <c r="D52" s="435" t="e">
        <f>INDEX('Model-BS'!$A:$AAA, MATCH($A52, 'Model-BS'!$A:$A, 0), MATCH(D$30, 'Model-BS'!$4:$4, 0))</f>
        <v>#N/A</v>
      </c>
      <c r="E52" s="435" t="e">
        <f>INDEX('Model-BS'!$A:$AAA, MATCH($A52, 'Model-BS'!$A:$A, 0), MATCH(E$30, 'Model-BS'!$4:$4, 0))</f>
        <v>#N/A</v>
      </c>
      <c r="F52" s="436" t="e">
        <f>INDEX('Model-BS'!$A:$AAA, MATCH($A52, 'Model-BS'!$A:$A, 0), MATCH(F$30, 'Model-BS'!$4:$4, 0))</f>
        <v>#N/A</v>
      </c>
      <c r="G52" s="434" t="e">
        <f>INDEX('Model-BS'!$A:$AAA, MATCH($A52, 'Model-BS'!$A:$A, 0), MATCH(G$30, 'Model-BS'!$4:$4, 0))</f>
        <v>#N/A</v>
      </c>
      <c r="H52" s="435" t="e">
        <f>INDEX('Model-BS'!$A:$AAA, MATCH($A52, 'Model-BS'!$A:$A, 0), MATCH(H$30, 'Model-BS'!$4:$4, 0))</f>
        <v>#N/A</v>
      </c>
      <c r="I52" s="435" t="e">
        <f>INDEX('Model-BS'!$A:$AAA, MATCH($A52, 'Model-BS'!$A:$A, 0), MATCH(I$30, 'Model-BS'!$4:$4, 0))</f>
        <v>#N/A</v>
      </c>
      <c r="J52" s="436" t="e">
        <f>INDEX('Model-BS'!$A:$AAA, MATCH($A52, 'Model-BS'!$A:$A, 0), MATCH(J$30, 'Model-BS'!$4:$4, 0))</f>
        <v>#N/A</v>
      </c>
      <c r="K52" s="434" t="e">
        <f>INDEX('Model-BS'!$A:$AAA, MATCH($A52, 'Model-BS'!$A:$A, 0), MATCH(K$30, 'Model-BS'!$4:$4, 0))</f>
        <v>#N/A</v>
      </c>
      <c r="L52" s="435" t="e">
        <f>INDEX('Model-BS'!$A:$AAA, MATCH($A52, 'Model-BS'!$A:$A, 0), MATCH(L$30, 'Model-BS'!$4:$4, 0))</f>
        <v>#N/A</v>
      </c>
      <c r="M52" s="435" t="e">
        <f>INDEX('Model-BS'!$A:$AAA, MATCH($A52, 'Model-BS'!$A:$A, 0), MATCH(M$30, 'Model-BS'!$4:$4, 0))</f>
        <v>#N/A</v>
      </c>
      <c r="N52" s="436" t="e">
        <f>INDEX('Model-BS'!$A:$AAA, MATCH($A52, 'Model-BS'!$A:$A, 0), MATCH(N$30, 'Model-BS'!$4:$4, 0))</f>
        <v>#N/A</v>
      </c>
      <c r="O52" s="434"/>
      <c r="P52" s="435"/>
      <c r="Q52" s="435"/>
      <c r="R52" s="436"/>
      <c r="V52" s="435"/>
      <c r="W52" s="435"/>
      <c r="X52" s="435"/>
      <c r="Y52" s="435"/>
    </row>
    <row r="53" spans="1:25" ht="14.1">
      <c r="A53" s="147" t="s">
        <v>463</v>
      </c>
      <c r="B53" s="458" t="s">
        <v>468</v>
      </c>
      <c r="C53" s="434" t="e">
        <f>INDEX('Model-BS'!$A:$AAA, MATCH($A53, 'Model-BS'!$A:$A, 0), MATCH(C$30, 'Model-BS'!$4:$4, 0))</f>
        <v>#N/A</v>
      </c>
      <c r="D53" s="435" t="e">
        <f>INDEX('Model-BS'!$A:$AAA, MATCH($A53, 'Model-BS'!$A:$A, 0), MATCH(D$30, 'Model-BS'!$4:$4, 0))</f>
        <v>#N/A</v>
      </c>
      <c r="E53" s="435" t="e">
        <f>INDEX('Model-BS'!$A:$AAA, MATCH($A53, 'Model-BS'!$A:$A, 0), MATCH(E$30, 'Model-BS'!$4:$4, 0))</f>
        <v>#N/A</v>
      </c>
      <c r="F53" s="436" t="e">
        <f>INDEX('Model-BS'!$A:$AAA, MATCH($A53, 'Model-BS'!$A:$A, 0), MATCH(F$30, 'Model-BS'!$4:$4, 0))</f>
        <v>#N/A</v>
      </c>
      <c r="G53" s="434" t="e">
        <f>INDEX('Model-BS'!$A:$AAA, MATCH($A53, 'Model-BS'!$A:$A, 0), MATCH(G$30, 'Model-BS'!$4:$4, 0))</f>
        <v>#N/A</v>
      </c>
      <c r="H53" s="435" t="e">
        <f>INDEX('Model-BS'!$A:$AAA, MATCH($A53, 'Model-BS'!$A:$A, 0), MATCH(H$30, 'Model-BS'!$4:$4, 0))</f>
        <v>#N/A</v>
      </c>
      <c r="I53" s="435" t="e">
        <f>INDEX('Model-BS'!$A:$AAA, MATCH($A53, 'Model-BS'!$A:$A, 0), MATCH(I$30, 'Model-BS'!$4:$4, 0))</f>
        <v>#N/A</v>
      </c>
      <c r="J53" s="436" t="e">
        <f>INDEX('Model-BS'!$A:$AAA, MATCH($A53, 'Model-BS'!$A:$A, 0), MATCH(J$30, 'Model-BS'!$4:$4, 0))</f>
        <v>#N/A</v>
      </c>
      <c r="K53" s="434" t="e">
        <f>INDEX('Model-BS'!$A:$AAA, MATCH($A53, 'Model-BS'!$A:$A, 0), MATCH(K$30, 'Model-BS'!$4:$4, 0))</f>
        <v>#N/A</v>
      </c>
      <c r="L53" s="435" t="e">
        <f>INDEX('Model-BS'!$A:$AAA, MATCH($A53, 'Model-BS'!$A:$A, 0), MATCH(L$30, 'Model-BS'!$4:$4, 0))</f>
        <v>#N/A</v>
      </c>
      <c r="M53" s="435" t="e">
        <f>INDEX('Model-BS'!$A:$AAA, MATCH($A53, 'Model-BS'!$A:$A, 0), MATCH(M$30, 'Model-BS'!$4:$4, 0))</f>
        <v>#N/A</v>
      </c>
      <c r="N53" s="436" t="e">
        <f>INDEX('Model-BS'!$A:$AAA, MATCH($A53, 'Model-BS'!$A:$A, 0), MATCH(N$30, 'Model-BS'!$4:$4, 0))</f>
        <v>#N/A</v>
      </c>
      <c r="O53" s="434"/>
      <c r="P53" s="435"/>
      <c r="Q53" s="435"/>
      <c r="R53" s="436"/>
      <c r="V53" s="435"/>
      <c r="W53" s="435"/>
      <c r="X53" s="435"/>
      <c r="Y53" s="435"/>
    </row>
    <row r="54" spans="1:25" ht="14.1">
      <c r="A54" s="147" t="s">
        <v>464</v>
      </c>
      <c r="B54" s="459" t="s">
        <v>470</v>
      </c>
      <c r="C54" s="439" t="e">
        <f>INDEX('Model-BS'!$A:$AAA, MATCH($A54, 'Model-BS'!$A:$A, 0), MATCH(C$30, 'Model-BS'!$4:$4, 0))</f>
        <v>#N/A</v>
      </c>
      <c r="D54" s="440" t="e">
        <f>INDEX('Model-BS'!$A:$AAA, MATCH($A54, 'Model-BS'!$A:$A, 0), MATCH(D$30, 'Model-BS'!$4:$4, 0))</f>
        <v>#N/A</v>
      </c>
      <c r="E54" s="440" t="e">
        <f>INDEX('Model-BS'!$A:$AAA, MATCH($A54, 'Model-BS'!$A:$A, 0), MATCH(E$30, 'Model-BS'!$4:$4, 0))</f>
        <v>#N/A</v>
      </c>
      <c r="F54" s="441" t="e">
        <f>INDEX('Model-BS'!$A:$AAA, MATCH($A54, 'Model-BS'!$A:$A, 0), MATCH(F$30, 'Model-BS'!$4:$4, 0))</f>
        <v>#N/A</v>
      </c>
      <c r="G54" s="439" t="e">
        <f>INDEX('Model-BS'!$A:$AAA, MATCH($A54, 'Model-BS'!$A:$A, 0), MATCH(G$30, 'Model-BS'!$4:$4, 0))</f>
        <v>#N/A</v>
      </c>
      <c r="H54" s="440" t="e">
        <f>INDEX('Model-BS'!$A:$AAA, MATCH($A54, 'Model-BS'!$A:$A, 0), MATCH(H$30, 'Model-BS'!$4:$4, 0))</f>
        <v>#N/A</v>
      </c>
      <c r="I54" s="440" t="e">
        <f>INDEX('Model-BS'!$A:$AAA, MATCH($A54, 'Model-BS'!$A:$A, 0), MATCH(I$30, 'Model-BS'!$4:$4, 0))</f>
        <v>#N/A</v>
      </c>
      <c r="J54" s="441" t="e">
        <f>INDEX('Model-BS'!$A:$AAA, MATCH($A54, 'Model-BS'!$A:$A, 0), MATCH(J$30, 'Model-BS'!$4:$4, 0))</f>
        <v>#N/A</v>
      </c>
      <c r="K54" s="439" t="e">
        <f>INDEX('Model-BS'!$A:$AAA, MATCH($A54, 'Model-BS'!$A:$A, 0), MATCH(K$30, 'Model-BS'!$4:$4, 0))</f>
        <v>#N/A</v>
      </c>
      <c r="L54" s="440" t="e">
        <f>INDEX('Model-BS'!$A:$AAA, MATCH($A54, 'Model-BS'!$A:$A, 0), MATCH(L$30, 'Model-BS'!$4:$4, 0))</f>
        <v>#N/A</v>
      </c>
      <c r="M54" s="440" t="e">
        <f>INDEX('Model-BS'!$A:$AAA, MATCH($A54, 'Model-BS'!$A:$A, 0), MATCH(M$30, 'Model-BS'!$4:$4, 0))</f>
        <v>#N/A</v>
      </c>
      <c r="N54" s="441" t="e">
        <f>INDEX('Model-BS'!$A:$AAA, MATCH($A54, 'Model-BS'!$A:$A, 0), MATCH(N$30, 'Model-BS'!$4:$4, 0))</f>
        <v>#N/A</v>
      </c>
      <c r="O54" s="439"/>
      <c r="P54" s="440"/>
      <c r="Q54" s="440"/>
      <c r="R54" s="441"/>
      <c r="V54" s="435"/>
      <c r="W54" s="435"/>
      <c r="X54" s="435"/>
      <c r="Y54" s="435"/>
    </row>
    <row r="55" spans="1:25" ht="14.1">
      <c r="A55" s="412"/>
      <c r="B55" s="288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V55" s="435"/>
      <c r="W55" s="435"/>
      <c r="X55" s="435"/>
      <c r="Y55" s="435"/>
    </row>
    <row r="57" spans="1:25">
      <c r="P57" s="2"/>
    </row>
    <row r="58" spans="1:25">
      <c r="P58" s="2"/>
    </row>
    <row r="59" spans="1:25" ht="22.2">
      <c r="B59" s="114" t="str">
        <f>_xlfn.CONCAT(Summary!$B$2,"-评级模板")</f>
        <v>0-评级模板</v>
      </c>
      <c r="P59" s="2"/>
    </row>
    <row r="60" spans="1:25">
      <c r="P60" s="2"/>
    </row>
    <row r="62" spans="1:25" ht="13.8">
      <c r="B62" s="287"/>
      <c r="C62" s="287">
        <f>评级报告模板!B1</f>
        <v>2021</v>
      </c>
      <c r="D62" s="287">
        <f>评级报告模板!C1</f>
        <v>2022</v>
      </c>
      <c r="E62" s="287">
        <f>评级报告模板!D1</f>
        <v>2023</v>
      </c>
      <c r="F62" s="287" t="str">
        <f>评级报告模板!E1</f>
        <v>2024E</v>
      </c>
      <c r="G62" s="287" t="str">
        <f>评级报告模板!F1</f>
        <v>2025E</v>
      </c>
      <c r="H62" s="287" t="str">
        <f>评级报告模板!G1</f>
        <v>2026E</v>
      </c>
      <c r="I62" s="287" t="str">
        <f>评级报告模板!H1</f>
        <v>2027E</v>
      </c>
    </row>
    <row r="63" spans="1:25" ht="14.1">
      <c r="B63" s="288" t="str">
        <f>评级报告模板!A2</f>
        <v>营业收入</v>
      </c>
      <c r="C63" s="203" t="e">
        <f>评级报告模板!B2</f>
        <v>#REF!</v>
      </c>
      <c r="D63" s="203" t="e">
        <f>评级报告模板!C2</f>
        <v>#REF!</v>
      </c>
      <c r="E63" s="203" t="e">
        <f>评级报告模板!D2</f>
        <v>#REF!</v>
      </c>
      <c r="F63" s="203" t="e">
        <f>评级报告模板!E2</f>
        <v>#REF!</v>
      </c>
      <c r="G63" s="203" t="e">
        <f>评级报告模板!F2</f>
        <v>#REF!</v>
      </c>
      <c r="H63" s="203" t="e">
        <f>评级报告模板!G2</f>
        <v>#REF!</v>
      </c>
      <c r="I63" s="203" t="e">
        <f>评级报告模板!H2</f>
        <v>#REF!</v>
      </c>
    </row>
    <row r="64" spans="1:25" ht="14.1">
      <c r="B64" s="288" t="str">
        <f>评级报告模板!A3</f>
        <v>营收YOY</v>
      </c>
      <c r="C64" s="289" t="e">
        <f>评级报告模板!B3</f>
        <v>#REF!</v>
      </c>
      <c r="D64" s="289" t="e">
        <f>评级报告模板!C3</f>
        <v>#REF!</v>
      </c>
      <c r="E64" s="289" t="e">
        <f>评级报告模板!D3</f>
        <v>#REF!</v>
      </c>
      <c r="F64" s="289" t="e">
        <f>评级报告模板!E3</f>
        <v>#REF!</v>
      </c>
      <c r="G64" s="289" t="e">
        <f>评级报告模板!F3</f>
        <v>#REF!</v>
      </c>
      <c r="H64" s="289" t="e">
        <f>评级报告模板!G3</f>
        <v>#REF!</v>
      </c>
      <c r="I64" s="289" t="e">
        <f>评级报告模板!H3</f>
        <v>#REF!</v>
      </c>
    </row>
    <row r="65" spans="2:25" ht="14.1">
      <c r="B65" s="288" t="str">
        <f>评级报告模板!A4</f>
        <v>毛利率</v>
      </c>
      <c r="C65" s="289" t="e">
        <f>评级报告模板!B4</f>
        <v>#REF!</v>
      </c>
      <c r="D65" s="289" t="e">
        <f>评级报告模板!C4</f>
        <v>#REF!</v>
      </c>
      <c r="E65" s="289" t="e">
        <f>评级报告模板!D4</f>
        <v>#REF!</v>
      </c>
      <c r="F65" s="289" t="e">
        <f>评级报告模板!E4</f>
        <v>#REF!</v>
      </c>
      <c r="G65" s="289" t="e">
        <f>评级报告模板!F4</f>
        <v>#REF!</v>
      </c>
      <c r="H65" s="289" t="e">
        <f>评级报告模板!G4</f>
        <v>#REF!</v>
      </c>
      <c r="I65" s="289" t="e">
        <f>评级报告模板!H4</f>
        <v>#REF!</v>
      </c>
    </row>
    <row r="66" spans="2:25" ht="14.1">
      <c r="B66" s="288" t="str">
        <f>评级报告模板!A5</f>
        <v>归母净利润</v>
      </c>
      <c r="C66" s="203" t="e">
        <f>评级报告模板!B5</f>
        <v>#REF!</v>
      </c>
      <c r="D66" s="203" t="e">
        <f>评级报告模板!C5</f>
        <v>#REF!</v>
      </c>
      <c r="E66" s="203" t="e">
        <f>评级报告模板!D5</f>
        <v>#REF!</v>
      </c>
      <c r="F66" s="203" t="e">
        <f>评级报告模板!E5</f>
        <v>#REF!</v>
      </c>
      <c r="G66" s="203" t="e">
        <f>评级报告模板!F5</f>
        <v>#REF!</v>
      </c>
      <c r="H66" s="203" t="e">
        <f>评级报告模板!G5</f>
        <v>#REF!</v>
      </c>
      <c r="I66" s="203" t="e">
        <f>评级报告模板!H5</f>
        <v>#REF!</v>
      </c>
    </row>
    <row r="67" spans="2:25" ht="14.1">
      <c r="B67" s="288" t="str">
        <f>评级报告模板!A6</f>
        <v>归母净利润YOY</v>
      </c>
      <c r="C67" s="289" t="e">
        <f>评级报告模板!B6</f>
        <v>#REF!</v>
      </c>
      <c r="D67" s="289" t="e">
        <f>评级报告模板!C6</f>
        <v>#REF!</v>
      </c>
      <c r="E67" s="289" t="e">
        <f>评级报告模板!D6</f>
        <v>#REF!</v>
      </c>
      <c r="F67" s="289" t="e">
        <f>评级报告模板!E6</f>
        <v>#REF!</v>
      </c>
      <c r="G67" s="289" t="e">
        <f>评级报告模板!F6</f>
        <v>#REF!</v>
      </c>
      <c r="H67" s="289" t="e">
        <f>评级报告模板!G6</f>
        <v>#REF!</v>
      </c>
      <c r="I67" s="289" t="e">
        <f>评级报告模板!H6</f>
        <v>#REF!</v>
      </c>
    </row>
    <row r="68" spans="2:25" ht="14.1">
      <c r="B68" s="288" t="str">
        <f>评级报告模板!A7</f>
        <v>ROE</v>
      </c>
      <c r="C68" s="289" t="e">
        <f>评级报告模板!B7</f>
        <v>#REF!</v>
      </c>
      <c r="D68" s="289" t="e">
        <f>评级报告模板!C7</f>
        <v>#REF!</v>
      </c>
      <c r="E68" s="289" t="e">
        <f>评级报告模板!D7</f>
        <v>#REF!</v>
      </c>
      <c r="F68" s="289" t="e">
        <f>评级报告模板!E7</f>
        <v>#REF!</v>
      </c>
      <c r="G68" s="289" t="e">
        <f>评级报告模板!F7</f>
        <v>#REF!</v>
      </c>
      <c r="H68" s="289" t="e">
        <f>评级报告模板!G7</f>
        <v>#REF!</v>
      </c>
      <c r="I68" s="289" t="e">
        <f>评级报告模板!H7</f>
        <v>#REF!</v>
      </c>
    </row>
    <row r="69" spans="2:25" ht="14.1">
      <c r="B69" s="288" t="str">
        <f>评级报告模板!A8</f>
        <v>EPS</v>
      </c>
      <c r="C69" s="290" t="e">
        <f>评级报告模板!B8</f>
        <v>#REF!</v>
      </c>
      <c r="D69" s="290" t="e">
        <f>评级报告模板!C8</f>
        <v>#REF!</v>
      </c>
      <c r="E69" s="290" t="e">
        <f>评级报告模板!D8</f>
        <v>#REF!</v>
      </c>
      <c r="F69" s="290" t="e">
        <f>评级报告模板!E8</f>
        <v>#REF!</v>
      </c>
      <c r="G69" s="290" t="e">
        <f>评级报告模板!F8</f>
        <v>#REF!</v>
      </c>
      <c r="H69" s="290" t="e">
        <f>评级报告模板!G8</f>
        <v>#REF!</v>
      </c>
      <c r="I69" s="290" t="e">
        <f>评级报告模板!H8</f>
        <v>#REF!</v>
      </c>
    </row>
    <row r="70" spans="2:25" ht="14.1">
      <c r="B70" s="288" t="str">
        <f>评级报告模板!A9</f>
        <v>PE</v>
      </c>
      <c r="C70" s="291" t="e">
        <f ca="1">评级报告模板!B9</f>
        <v>#REF!</v>
      </c>
      <c r="D70" s="291" t="e">
        <f ca="1">评级报告模板!C9</f>
        <v>#REF!</v>
      </c>
      <c r="E70" s="291" t="e">
        <f ca="1">评级报告模板!D9</f>
        <v>#REF!</v>
      </c>
      <c r="F70" s="291" t="e">
        <f ca="1">评级报告模板!E9</f>
        <v>#REF!</v>
      </c>
      <c r="G70" s="291" t="e">
        <f ca="1">评级报告模板!F9</f>
        <v>#REF!</v>
      </c>
      <c r="H70" s="291" t="e">
        <f ca="1">评级报告模板!G9</f>
        <v>#REF!</v>
      </c>
      <c r="I70" s="291" t="e">
        <f ca="1">评级报告模板!H9</f>
        <v>#REF!</v>
      </c>
    </row>
    <row r="71" spans="2:25" ht="14.1">
      <c r="B71" s="288" t="str">
        <f>评级报告模板!A10</f>
        <v>PB</v>
      </c>
      <c r="C71" s="291" t="e">
        <f ca="1">评级报告模板!B10</f>
        <v>#REF!</v>
      </c>
      <c r="D71" s="291" t="e">
        <f ca="1">评级报告模板!C10</f>
        <v>#REF!</v>
      </c>
      <c r="E71" s="291" t="e">
        <f ca="1">评级报告模板!D10</f>
        <v>#REF!</v>
      </c>
      <c r="F71" s="291" t="e">
        <f ca="1">评级报告模板!E10</f>
        <v>#REF!</v>
      </c>
      <c r="G71" s="291" t="e">
        <f ca="1">评级报告模板!F10</f>
        <v>#REF!</v>
      </c>
      <c r="H71" s="291" t="e">
        <f ca="1">评级报告模板!G10</f>
        <v>#REF!</v>
      </c>
      <c r="I71" s="291" t="e">
        <f ca="1">评级报告模板!H10</f>
        <v>#REF!</v>
      </c>
    </row>
    <row r="72" spans="2:25" ht="14.1">
      <c r="B72" s="288" t="str">
        <f>评级报告模板!A11</f>
        <v>EV/EBITDA</v>
      </c>
      <c r="C72" s="291" t="e">
        <f ca="1">评级报告模板!B11</f>
        <v>#REF!</v>
      </c>
      <c r="D72" s="291" t="e">
        <f ca="1">评级报告模板!C11</f>
        <v>#REF!</v>
      </c>
      <c r="E72" s="291" t="e">
        <f ca="1">评级报告模板!D11</f>
        <v>#REF!</v>
      </c>
      <c r="F72" s="291" t="e">
        <f ca="1">评级报告模板!E11</f>
        <v>#REF!</v>
      </c>
      <c r="G72" s="291" t="e">
        <f ca="1">评级报告模板!F11</f>
        <v>#REF!</v>
      </c>
      <c r="H72" s="291" t="e">
        <f ca="1">评级报告模板!G11</f>
        <v>#REF!</v>
      </c>
      <c r="I72" s="291" t="e">
        <f ca="1">评级报告模板!H11</f>
        <v>#REF!</v>
      </c>
    </row>
    <row r="75" spans="2:25" ht="22.2">
      <c r="B75" s="114" t="str">
        <f>_xlfn.CONCAT(Summary!$B$2,"-投资快速检查")</f>
        <v>0-投资快速检查</v>
      </c>
      <c r="C75" s="292" t="s">
        <v>444</v>
      </c>
      <c r="D75" s="113" t="s">
        <v>158</v>
      </c>
      <c r="E75" s="91" t="s">
        <v>428</v>
      </c>
      <c r="F75" s="110" t="s">
        <v>171</v>
      </c>
      <c r="G75" s="91" t="s">
        <v>430</v>
      </c>
      <c r="H75" s="113" t="s">
        <v>158</v>
      </c>
      <c r="I75" s="91" t="s">
        <v>428</v>
      </c>
      <c r="J75" s="110" t="s">
        <v>171</v>
      </c>
      <c r="K75" s="91" t="s">
        <v>430</v>
      </c>
      <c r="O75" s="113" t="s">
        <v>158</v>
      </c>
      <c r="P75" s="91" t="s">
        <v>428</v>
      </c>
      <c r="Q75" s="110" t="s">
        <v>171</v>
      </c>
      <c r="R75" s="91" t="s">
        <v>430</v>
      </c>
    </row>
    <row r="76" spans="2:25" ht="22.2">
      <c r="B76" s="114"/>
      <c r="C76" s="292" t="s">
        <v>443</v>
      </c>
      <c r="D76" s="464">
        <v>2024</v>
      </c>
      <c r="E76" s="464">
        <f>D76</f>
        <v>2024</v>
      </c>
      <c r="F76" s="464">
        <f t="shared" ref="F76:G76" si="6">E76</f>
        <v>2024</v>
      </c>
      <c r="G76" s="464">
        <f t="shared" si="6"/>
        <v>2024</v>
      </c>
      <c r="H76" s="464">
        <v>2025</v>
      </c>
      <c r="I76" s="464">
        <f>H76</f>
        <v>2025</v>
      </c>
      <c r="J76" s="464">
        <f t="shared" ref="J76:K76" si="7">I76</f>
        <v>2025</v>
      </c>
      <c r="K76" s="464">
        <f t="shared" si="7"/>
        <v>2025</v>
      </c>
      <c r="O76" t="s">
        <v>446</v>
      </c>
      <c r="P76" t="str">
        <f>O76</f>
        <v>3Q2024</v>
      </c>
      <c r="Q76" t="str">
        <f t="shared" ref="Q76:R76" si="8">P76</f>
        <v>3Q2024</v>
      </c>
      <c r="R76" t="str">
        <f t="shared" si="8"/>
        <v>3Q2024</v>
      </c>
    </row>
    <row r="77" spans="2:25" ht="22.2">
      <c r="B77" s="114"/>
      <c r="D77" s="463"/>
      <c r="E77" s="91"/>
    </row>
    <row r="78" spans="2:25" ht="14.1">
      <c r="B78" s="96"/>
      <c r="C78" s="462" t="s">
        <v>451</v>
      </c>
      <c r="D78" s="494">
        <f>D76</f>
        <v>2024</v>
      </c>
      <c r="E78" s="495"/>
      <c r="F78" s="495"/>
      <c r="G78" s="496"/>
      <c r="H78" s="494">
        <f>H76</f>
        <v>2025</v>
      </c>
      <c r="I78" s="495"/>
      <c r="J78" s="495"/>
      <c r="K78" s="496"/>
      <c r="L78" s="494" t="s">
        <v>368</v>
      </c>
      <c r="M78" s="496"/>
      <c r="N78" s="465" t="s">
        <v>442</v>
      </c>
      <c r="O78" s="494" t="str">
        <f>O76</f>
        <v>3Q2024</v>
      </c>
      <c r="P78" s="495"/>
      <c r="Q78" s="495"/>
      <c r="R78" s="495"/>
      <c r="S78" s="494" t="s">
        <v>445</v>
      </c>
      <c r="T78" s="495"/>
      <c r="U78" s="495"/>
      <c r="V78" s="495"/>
      <c r="W78" s="496"/>
      <c r="X78" s="483" t="s">
        <v>452</v>
      </c>
      <c r="Y78" s="484"/>
    </row>
    <row r="79" spans="2:25" ht="14.1">
      <c r="B79" s="96"/>
      <c r="C79" s="462"/>
      <c r="D79" s="468" t="s">
        <v>440</v>
      </c>
      <c r="E79" s="470" t="s">
        <v>420</v>
      </c>
      <c r="F79" s="470" t="s">
        <v>441</v>
      </c>
      <c r="G79" s="469" t="s">
        <v>420</v>
      </c>
      <c r="H79" s="468" t="s">
        <v>440</v>
      </c>
      <c r="I79" s="470" t="s">
        <v>420</v>
      </c>
      <c r="J79" s="470" t="s">
        <v>441</v>
      </c>
      <c r="K79" s="469" t="s">
        <v>420</v>
      </c>
      <c r="L79" s="468">
        <v>2024</v>
      </c>
      <c r="M79" s="469">
        <v>2025</v>
      </c>
      <c r="N79" s="471"/>
      <c r="O79" s="468" t="s">
        <v>440</v>
      </c>
      <c r="P79" s="470" t="s">
        <v>420</v>
      </c>
      <c r="Q79" s="470" t="s">
        <v>441</v>
      </c>
      <c r="R79" s="470" t="s">
        <v>420</v>
      </c>
      <c r="S79" s="468" t="s">
        <v>456</v>
      </c>
      <c r="T79" s="470" t="s">
        <v>448</v>
      </c>
      <c r="U79" s="470" t="s">
        <v>449</v>
      </c>
      <c r="V79" s="470" t="s">
        <v>450</v>
      </c>
      <c r="W79" s="469" t="s">
        <v>454</v>
      </c>
      <c r="X79" s="470" t="s">
        <v>455</v>
      </c>
      <c r="Y79" s="469" t="s">
        <v>453</v>
      </c>
    </row>
    <row r="80" spans="2:25" ht="14.1">
      <c r="B80" t="e">
        <f>#REF!</f>
        <v>#REF!</v>
      </c>
      <c r="C80" s="466">
        <f>Summary!$B$2</f>
        <v>0</v>
      </c>
      <c r="D80" s="474" t="e">
        <f>INDEX($B$3:$J$21,MATCH(D$75, $A$3:$A$21, 0), MATCH(D$76, $B$3:$J$3, 0))/100</f>
        <v>#REF!</v>
      </c>
      <c r="E80" s="475" t="e">
        <f>INDEX($B$3:$J$21,MATCH(E$75, $A$3:$A$21, 0), MATCH(E$76, $B$3:$J$3, 0))</f>
        <v>#REF!</v>
      </c>
      <c r="F80" s="476" t="e">
        <f>INDEX($B$3:$J$21,MATCH(F$75, $A$3:$A$21, 0), MATCH(F$76, $B$3:$J$3, 0))/100</f>
        <v>#REF!</v>
      </c>
      <c r="G80" s="477" t="e">
        <f>INDEX($B$3:$J$21,MATCH(G$75, $A$3:$A$21, 0), MATCH(G$76, $B$3:$J$3, 0))</f>
        <v>#REF!</v>
      </c>
      <c r="H80" s="474" t="e">
        <f>INDEX($B$3:$J$21,MATCH(H$75, $A$3:$A$21, 0), MATCH(H$76, $B$3:$J$3, 0))/100</f>
        <v>#REF!</v>
      </c>
      <c r="I80" s="475" t="e">
        <f>INDEX($B$3:$J$21,MATCH(I$75, $A$3:$A$21, 0), MATCH(I$76, $B$3:$J$3, 0))</f>
        <v>#REF!</v>
      </c>
      <c r="J80" s="476" t="e">
        <f>INDEX($B$3:$J$21,MATCH(J$75, $A$3:$A$21, 0), MATCH(J$76, $B$3:$J$3, 0))/100</f>
        <v>#REF!</v>
      </c>
      <c r="K80" s="477" t="e">
        <f>INDEX($B$3:$J$21,MATCH(K$75, $A$3:$A$21, 0), MATCH(K$76, $B$3:$J$3, 0))</f>
        <v>#REF!</v>
      </c>
      <c r="L80" s="472" t="e">
        <f ca="1">N80/F80</f>
        <v>#REF!</v>
      </c>
      <c r="M80" s="473" t="e">
        <f ca="1">N80/J80</f>
        <v>#REF!</v>
      </c>
      <c r="N80" s="478">
        <f ca="1">'Model-BS'!BR332/100</f>
        <v>0</v>
      </c>
      <c r="O80" s="474" t="e">
        <f>INDEX($B$30:$R$49,MATCH(O$75, $A$30:$A$49, 0), MATCH(O$76, $B$30:$R$30, 0))/100</f>
        <v>#REF!</v>
      </c>
      <c r="P80" s="479" t="e">
        <f>INDEX($B$30:$R$49,MATCH(P$75, $A$30:$A$49, 0), MATCH(P$76, $B$30:$R$30, 0))</f>
        <v>#REF!</v>
      </c>
      <c r="Q80" s="480" t="e">
        <f>INDEX($B$30:$R$49,MATCH(Q$75, $A$30:$A$49, 0), MATCH(Q$76, $B$30:$R$30, 0))/100</f>
        <v>#REF!</v>
      </c>
      <c r="R80" s="479" t="e">
        <f>INDEX($B$30:$R$49,MATCH(R$75, $A$30:$A$49, 0), MATCH(R$76, $B$30:$R$30, 0))</f>
        <v>#REF!</v>
      </c>
      <c r="S80" s="492" t="e">
        <f>#REF!</f>
        <v>#REF!</v>
      </c>
      <c r="T80" s="479" t="e">
        <f>#REF!</f>
        <v>#REF!</v>
      </c>
      <c r="U80" s="479" t="e">
        <f>#REF!</f>
        <v>#REF!</v>
      </c>
      <c r="V80" s="479" t="e">
        <f>#REF!</f>
        <v>#REF!</v>
      </c>
      <c r="W80" s="481" t="e">
        <f>#REF!</f>
        <v>#REF!</v>
      </c>
      <c r="X80" s="485" t="e">
        <f>#REF!/100</f>
        <v>#REF!</v>
      </c>
      <c r="Y80" s="482" t="e">
        <f>X80/F80</f>
        <v>#REF!</v>
      </c>
    </row>
    <row r="82" spans="4:4">
      <c r="D82" t="e">
        <f ca="1">"2024年利润 " &amp; TEXT(F80,"0.0") &amp; "亿，增速 " &amp; TEXT(G80,"0%") &amp; "；2025年利润 " &amp; TEXT(J80,"0.0") &amp; "亿，增速 " &amp; TEXT(K80,"0%") &amp; "；对应估值 " &amp; TEXT(L80,"0") &amp; "倍、" &amp; TEXT(M80,"0") &amp; "倍。"</f>
        <v>#REF!</v>
      </c>
    </row>
  </sheetData>
  <mergeCells count="5">
    <mergeCell ref="S78:W78"/>
    <mergeCell ref="D78:G78"/>
    <mergeCell ref="H78:K78"/>
    <mergeCell ref="L78:M78"/>
    <mergeCell ref="O78:R78"/>
  </mergeCells>
  <phoneticPr fontId="20" type="noConversion"/>
  <pageMargins left="0.7" right="0.7" top="0.75" bottom="0.75" header="0.3" footer="0.3"/>
  <ignoredErrors>
    <ignoredError sqref="C4:F6 C15:F21 C33:J33 C32:J32 P32:R32 C12:F13 C7:F7 I7:J7 D80:R80 P33:R33 C34:J49 C31:J31 C8:F9 H4:J6 H15:J21 H12:J13 H8:J9 P34:R49 P31:R31" unlockedFormula="1"/>
    <ignoredError sqref="C14:F14 H14:J14" formula="1" unlockedFormula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2" r:id="rId3" name="Button 2">
              <controlPr defaultSize="0" print="0" autoFill="0" autoPict="0" macro="[0]!输出模板">
                <anchor moveWithCells="1" sizeWithCells="1">
                  <from>
                    <xdr:col>10</xdr:col>
                    <xdr:colOff>468630</xdr:colOff>
                    <xdr:row>11</xdr:row>
                    <xdr:rowOff>0</xdr:rowOff>
                  </from>
                  <to>
                    <xdr:col>14</xdr:col>
                    <xdr:colOff>640080</xdr:colOff>
                    <xdr:row>12</xdr:row>
                    <xdr:rowOff>11430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4" name="Button 3">
              <controlPr defaultSize="0" print="0" autoFill="0" autoPict="0" macro="[0]!输出模2板">
                <anchor moveWithCells="1" sizeWithCells="1">
                  <from>
                    <xdr:col>10</xdr:col>
                    <xdr:colOff>506730</xdr:colOff>
                    <xdr:row>1</xdr:row>
                    <xdr:rowOff>163830</xdr:rowOff>
                  </from>
                  <to>
                    <xdr:col>15</xdr:col>
                    <xdr:colOff>11430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728F15-33E8-402E-B416-E1C984BD055C}">
  <sheetPr codeName="Sheet10">
    <tabColor rgb="FFFFFF00"/>
  </sheetPr>
  <dimension ref="A1:I11"/>
  <sheetViews>
    <sheetView zoomScale="190" zoomScaleNormal="190" workbookViewId="0">
      <selection activeCell="D8" sqref="D8"/>
    </sheetView>
  </sheetViews>
  <sheetFormatPr defaultRowHeight="12.3"/>
  <cols>
    <col min="1" max="1" width="14" customWidth="1"/>
  </cols>
  <sheetData>
    <row r="1" spans="1:9" ht="13.8">
      <c r="A1" s="287"/>
      <c r="B1" s="287">
        <v>2021</v>
      </c>
      <c r="C1" s="287">
        <v>2022</v>
      </c>
      <c r="D1" s="287">
        <v>2023</v>
      </c>
      <c r="E1" s="287" t="s">
        <v>371</v>
      </c>
      <c r="F1" s="287" t="s">
        <v>372</v>
      </c>
      <c r="G1" s="287" t="s">
        <v>374</v>
      </c>
      <c r="H1" s="287" t="s">
        <v>477</v>
      </c>
      <c r="I1" s="287" t="s">
        <v>478</v>
      </c>
    </row>
    <row r="2" spans="1:9" ht="14.1">
      <c r="A2" s="288" t="s">
        <v>363</v>
      </c>
      <c r="B2" s="203" t="e">
        <f>Summary!BS10</f>
        <v>#REF!</v>
      </c>
      <c r="C2" s="203" t="e">
        <f>Summary!BT10</f>
        <v>#REF!</v>
      </c>
      <c r="D2" s="203" t="e">
        <f>Summary!BU10</f>
        <v>#REF!</v>
      </c>
      <c r="E2" s="203" t="e">
        <f>Summary!BV10</f>
        <v>#REF!</v>
      </c>
      <c r="F2" s="203" t="e">
        <f>Summary!BW10</f>
        <v>#REF!</v>
      </c>
      <c r="G2" s="203" t="e">
        <f>Summary!BX10</f>
        <v>#REF!</v>
      </c>
      <c r="H2" s="203" t="e">
        <f>Summary!BY10</f>
        <v>#REF!</v>
      </c>
      <c r="I2" s="203" t="e">
        <f>Summary!BZ10</f>
        <v>#REF!</v>
      </c>
    </row>
    <row r="3" spans="1:9" ht="14.1">
      <c r="A3" s="288" t="s">
        <v>375</v>
      </c>
      <c r="B3" s="289" t="e">
        <f>Summary!BS11</f>
        <v>#REF!</v>
      </c>
      <c r="C3" s="289" t="e">
        <f>Summary!BT11</f>
        <v>#REF!</v>
      </c>
      <c r="D3" s="289" t="e">
        <f>Summary!BU11</f>
        <v>#REF!</v>
      </c>
      <c r="E3" s="289" t="e">
        <f>Summary!BV11</f>
        <v>#REF!</v>
      </c>
      <c r="F3" s="289" t="e">
        <f>Summary!BW11</f>
        <v>#REF!</v>
      </c>
      <c r="G3" s="289" t="e">
        <f>Summary!BX11</f>
        <v>#REF!</v>
      </c>
      <c r="H3" s="289" t="e">
        <f>Summary!BY11</f>
        <v>#REF!</v>
      </c>
      <c r="I3" s="289" t="e">
        <f>Summary!BZ11</f>
        <v>#REF!</v>
      </c>
    </row>
    <row r="4" spans="1:9" ht="14.1">
      <c r="A4" s="288" t="s">
        <v>364</v>
      </c>
      <c r="B4" s="289" t="e">
        <f>Summary!BS17</f>
        <v>#REF!</v>
      </c>
      <c r="C4" s="289" t="e">
        <f>Summary!BT17</f>
        <v>#REF!</v>
      </c>
      <c r="D4" s="289" t="e">
        <f>Summary!BU17</f>
        <v>#REF!</v>
      </c>
      <c r="E4" s="289" t="e">
        <f>Summary!BV17</f>
        <v>#REF!</v>
      </c>
      <c r="F4" s="289" t="e">
        <f>Summary!BW17</f>
        <v>#REF!</v>
      </c>
      <c r="G4" s="289" t="e">
        <f>Summary!BX17</f>
        <v>#REF!</v>
      </c>
      <c r="H4" s="289" t="e">
        <f>Summary!BY17</f>
        <v>#REF!</v>
      </c>
      <c r="I4" s="289" t="e">
        <f>Summary!BZ17</f>
        <v>#REF!</v>
      </c>
    </row>
    <row r="5" spans="1:9" ht="14.1">
      <c r="A5" s="288" t="s">
        <v>365</v>
      </c>
      <c r="B5" s="203" t="e">
        <f>Summary!BS39</f>
        <v>#REF!</v>
      </c>
      <c r="C5" s="203" t="e">
        <f>Summary!BT39</f>
        <v>#REF!</v>
      </c>
      <c r="D5" s="203" t="e">
        <f>Summary!BU39</f>
        <v>#REF!</v>
      </c>
      <c r="E5" s="203" t="e">
        <f>Summary!BV39</f>
        <v>#REF!</v>
      </c>
      <c r="F5" s="203" t="e">
        <f>Summary!BW39</f>
        <v>#REF!</v>
      </c>
      <c r="G5" s="203" t="e">
        <f>Summary!BX39</f>
        <v>#REF!</v>
      </c>
      <c r="H5" s="203" t="e">
        <f>Summary!BY39</f>
        <v>#REF!</v>
      </c>
      <c r="I5" s="203" t="e">
        <f>Summary!BZ39</f>
        <v>#REF!</v>
      </c>
    </row>
    <row r="6" spans="1:9" ht="14.1">
      <c r="A6" s="288" t="s">
        <v>376</v>
      </c>
      <c r="B6" s="289" t="e">
        <f>Summary!BS41</f>
        <v>#REF!</v>
      </c>
      <c r="C6" s="289" t="e">
        <f>Summary!BT41</f>
        <v>#REF!</v>
      </c>
      <c r="D6" s="289" t="e">
        <f>Summary!BU41</f>
        <v>#REF!</v>
      </c>
      <c r="E6" s="289" t="e">
        <f>Summary!BV41</f>
        <v>#REF!</v>
      </c>
      <c r="F6" s="289" t="e">
        <f>Summary!BW41</f>
        <v>#REF!</v>
      </c>
      <c r="G6" s="289" t="e">
        <f>Summary!BX41</f>
        <v>#REF!</v>
      </c>
      <c r="H6" s="289" t="e">
        <f>Summary!BY41</f>
        <v>#REF!</v>
      </c>
      <c r="I6" s="289" t="e">
        <f>Summary!BZ41</f>
        <v>#REF!</v>
      </c>
    </row>
    <row r="7" spans="1:9" ht="14.1">
      <c r="A7" s="288" t="s">
        <v>366</v>
      </c>
      <c r="B7" s="289" t="e">
        <f>Summary!BS93</f>
        <v>#REF!</v>
      </c>
      <c r="C7" s="289" t="e">
        <f>Summary!BT93</f>
        <v>#REF!</v>
      </c>
      <c r="D7" s="289" t="e">
        <f>Summary!BU93</f>
        <v>#REF!</v>
      </c>
      <c r="E7" s="289" t="e">
        <f>Summary!BV93</f>
        <v>#REF!</v>
      </c>
      <c r="F7" s="289" t="e">
        <f>Summary!BW93</f>
        <v>#REF!</v>
      </c>
      <c r="G7" s="289" t="e">
        <f>Summary!BX93</f>
        <v>#REF!</v>
      </c>
      <c r="H7" s="289" t="e">
        <f>Summary!BY93</f>
        <v>#REF!</v>
      </c>
      <c r="I7" s="289" t="e">
        <f>Summary!BZ93</f>
        <v>#REF!</v>
      </c>
    </row>
    <row r="8" spans="1:9" ht="14.1">
      <c r="A8" s="288" t="s">
        <v>367</v>
      </c>
      <c r="B8" s="290" t="e">
        <f>Summary!BS73</f>
        <v>#REF!</v>
      </c>
      <c r="C8" s="290" t="e">
        <f>Summary!BT73</f>
        <v>#REF!</v>
      </c>
      <c r="D8" s="290" t="e">
        <f>Summary!BU73</f>
        <v>#REF!</v>
      </c>
      <c r="E8" s="290" t="e">
        <f>Summary!BV73</f>
        <v>#REF!</v>
      </c>
      <c r="F8" s="290" t="e">
        <f>Summary!BW73</f>
        <v>#REF!</v>
      </c>
      <c r="G8" s="290" t="e">
        <f>Summary!BX73</f>
        <v>#REF!</v>
      </c>
      <c r="H8" s="290" t="e">
        <f>Summary!BY73</f>
        <v>#REF!</v>
      </c>
      <c r="I8" s="290" t="e">
        <f>Summary!BZ73</f>
        <v>#REF!</v>
      </c>
    </row>
    <row r="9" spans="1:9" ht="14.1">
      <c r="A9" s="288" t="s">
        <v>368</v>
      </c>
      <c r="B9" s="291" t="e">
        <f ca="1">Summary!BS78</f>
        <v>#REF!</v>
      </c>
      <c r="C9" s="291" t="e">
        <f ca="1">Summary!BT78</f>
        <v>#REF!</v>
      </c>
      <c r="D9" s="291" t="e">
        <f ca="1">Summary!BU78</f>
        <v>#REF!</v>
      </c>
      <c r="E9" s="291" t="e">
        <f ca="1">Summary!BV78</f>
        <v>#REF!</v>
      </c>
      <c r="F9" s="291" t="e">
        <f ca="1">Summary!BW78</f>
        <v>#REF!</v>
      </c>
      <c r="G9" s="291" t="e">
        <f ca="1">Summary!BX78</f>
        <v>#REF!</v>
      </c>
      <c r="H9" s="291" t="e">
        <f ca="1">Summary!BY78</f>
        <v>#REF!</v>
      </c>
      <c r="I9" s="291" t="e">
        <f ca="1">Summary!BZ78</f>
        <v>#REF!</v>
      </c>
    </row>
    <row r="10" spans="1:9" ht="14.1">
      <c r="A10" s="288" t="s">
        <v>369</v>
      </c>
      <c r="B10" s="291" t="e">
        <f ca="1">Summary!BS79</f>
        <v>#REF!</v>
      </c>
      <c r="C10" s="291" t="e">
        <f ca="1">Summary!BT79</f>
        <v>#REF!</v>
      </c>
      <c r="D10" s="291" t="e">
        <f ca="1">Summary!BU79</f>
        <v>#REF!</v>
      </c>
      <c r="E10" s="291" t="e">
        <f ca="1">Summary!BV79</f>
        <v>#REF!</v>
      </c>
      <c r="F10" s="291" t="e">
        <f ca="1">Summary!BW79</f>
        <v>#REF!</v>
      </c>
      <c r="G10" s="291" t="e">
        <f ca="1">Summary!BX79</f>
        <v>#REF!</v>
      </c>
      <c r="H10" s="291" t="e">
        <f ca="1">Summary!BY79</f>
        <v>#REF!</v>
      </c>
      <c r="I10" s="291" t="e">
        <f ca="1">Summary!BZ79</f>
        <v>#REF!</v>
      </c>
    </row>
    <row r="11" spans="1:9" ht="14.1">
      <c r="A11" s="288" t="s">
        <v>370</v>
      </c>
      <c r="B11" s="291" t="e">
        <f ca="1">Summary!BS85</f>
        <v>#REF!</v>
      </c>
      <c r="C11" s="291" t="e">
        <f ca="1">Summary!BT85</f>
        <v>#REF!</v>
      </c>
      <c r="D11" s="291" t="e">
        <f ca="1">Summary!BU85</f>
        <v>#REF!</v>
      </c>
      <c r="E11" s="291" t="e">
        <f ca="1">Summary!BV85</f>
        <v>#REF!</v>
      </c>
      <c r="F11" s="291" t="e">
        <f ca="1">Summary!BW85</f>
        <v>#REF!</v>
      </c>
      <c r="G11" s="291" t="e">
        <f ca="1">Summary!BX85</f>
        <v>#REF!</v>
      </c>
      <c r="H11" s="291" t="e">
        <f ca="1">Summary!BY85</f>
        <v>#REF!</v>
      </c>
      <c r="I11" s="291" t="s">
        <v>480</v>
      </c>
    </row>
  </sheetData>
  <phoneticPr fontId="20" type="noConversion"/>
  <pageMargins left="0.7" right="0.7" top="0.75" bottom="0.75" header="0.3" footer="0.3"/>
  <ignoredErrors>
    <ignoredError sqref="B2:G11" unlocked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Summary</vt:lpstr>
      <vt:lpstr>Model-BS</vt:lpstr>
      <vt:lpstr>点评模板</vt:lpstr>
      <vt:lpstr>评级报告模板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sheldon shan</dc:creator>
  <cp:lastModifiedBy>sheldon shan</cp:lastModifiedBy>
  <dcterms:created xsi:type="dcterms:W3CDTF">2024-03-04T14:11:26Z</dcterms:created>
  <dcterms:modified xsi:type="dcterms:W3CDTF">2026-06-23T08:56:51Z</dcterms:modified>
</cp:coreProperties>
</file>